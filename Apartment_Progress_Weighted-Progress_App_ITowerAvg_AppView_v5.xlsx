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ower_app\"/>
    </mc:Choice>
  </mc:AlternateContent>
  <xr:revisionPtr revIDLastSave="0" documentId="13_ncr:1_{0AFF7198-6870-4BD2-A1D3-3290DEB937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CRG Progress" sheetId="9" r:id="rId1"/>
    <sheet name="Apartment Progress" sheetId="2" r:id="rId2"/>
    <sheet name="Ground Floor" sheetId="5" r:id="rId3"/>
    <sheet name="External Development" sheetId="8" r:id="rId4"/>
    <sheet name="Roof top" sheetId="4" r:id="rId5"/>
    <sheet name="Common Area" sheetId="6" r:id="rId6"/>
    <sheet name="Work Progress (%)" sheetId="3" r:id="rId7"/>
    <sheet name="Progress App" sheetId="1" r:id="rId8"/>
  </sheets>
  <definedNames>
    <definedName name="_xlnm.Print_Area" localSheetId="1">'Apartment Progress'!$B$1:$R$669</definedName>
    <definedName name="_xlnm.Print_Area" localSheetId="5">'Common Area'!$B$1:$J$43</definedName>
    <definedName name="_xlnm.Print_Area" localSheetId="3">'External Development'!$B$1:$J$32</definedName>
    <definedName name="_xlnm.Print_Area" localSheetId="2">'Ground Floor'!$B$1:$P$20</definedName>
    <definedName name="_xlnm.Print_Area" localSheetId="0">'LCRG Progress'!$B$1:$J$16</definedName>
    <definedName name="_xlnm.Print_Area" localSheetId="4">'Roof top'!$B$1:$P$9</definedName>
    <definedName name="_xlnm.Print_Area" localSheetId="6">'Work Progress (%)'!$A$8:$BG$188</definedName>
  </definedNames>
  <calcPr calcId="181029"/>
</workbook>
</file>

<file path=xl/calcChain.xml><?xml version="1.0" encoding="utf-8"?>
<calcChain xmlns="http://schemas.openxmlformats.org/spreadsheetml/2006/main">
  <c r="J2" i="9" l="1"/>
  <c r="J9" i="9"/>
  <c r="J6" i="9"/>
  <c r="I4" i="9"/>
  <c r="I5" i="9"/>
  <c r="I6" i="9"/>
  <c r="E13" i="9"/>
  <c r="F13" i="9"/>
  <c r="G13" i="9"/>
  <c r="H13" i="9"/>
  <c r="I13" i="9"/>
  <c r="I2" i="9" s="1"/>
  <c r="D13" i="9"/>
  <c r="I8" i="9"/>
  <c r="J14" i="9"/>
  <c r="J16" i="9"/>
  <c r="J15" i="9"/>
  <c r="D9" i="9"/>
  <c r="D4" i="9" s="1"/>
  <c r="Q3" i="2"/>
  <c r="I32" i="8"/>
  <c r="I31" i="8"/>
  <c r="I30" i="8"/>
  <c r="I29" i="8"/>
  <c r="I28" i="8"/>
  <c r="I27" i="8"/>
  <c r="I26" i="8"/>
  <c r="I25" i="8"/>
  <c r="I24" i="8"/>
  <c r="I22" i="8"/>
  <c r="I21" i="8"/>
  <c r="I20" i="8"/>
  <c r="I19" i="8"/>
  <c r="I18" i="8"/>
  <c r="I17" i="8"/>
  <c r="I16" i="8"/>
  <c r="I15" i="8"/>
  <c r="I14" i="8"/>
  <c r="M346" i="2"/>
  <c r="M381" i="2"/>
  <c r="BD182" i="3"/>
  <c r="AZ182" i="3"/>
  <c r="AV182" i="3"/>
  <c r="AQ182" i="3"/>
  <c r="AI182" i="3"/>
  <c r="AD182" i="3"/>
  <c r="Y182" i="3"/>
  <c r="L182" i="3"/>
  <c r="BF182" i="3" s="1"/>
  <c r="G182" i="3"/>
  <c r="BD181" i="3"/>
  <c r="AZ181" i="3"/>
  <c r="AV181" i="3"/>
  <c r="AQ181" i="3"/>
  <c r="AI181" i="3"/>
  <c r="AD181" i="3"/>
  <c r="Y181" i="3"/>
  <c r="L181" i="3"/>
  <c r="BF181" i="3" s="1"/>
  <c r="G181" i="3"/>
  <c r="BD180" i="3"/>
  <c r="AZ180" i="3"/>
  <c r="AV180" i="3"/>
  <c r="AQ180" i="3"/>
  <c r="AI180" i="3"/>
  <c r="AD180" i="3"/>
  <c r="Y180" i="3"/>
  <c r="L180" i="3"/>
  <c r="BF180" i="3" s="1"/>
  <c r="G180" i="3"/>
  <c r="BD179" i="3"/>
  <c r="AZ179" i="3"/>
  <c r="AV179" i="3"/>
  <c r="AQ179" i="3"/>
  <c r="AI179" i="3"/>
  <c r="AD179" i="3"/>
  <c r="Y179" i="3"/>
  <c r="L179" i="3"/>
  <c r="G179" i="3"/>
  <c r="BF179" i="3" s="1"/>
  <c r="BD178" i="3"/>
  <c r="AZ178" i="3"/>
  <c r="AV178" i="3"/>
  <c r="AQ178" i="3"/>
  <c r="AI178" i="3"/>
  <c r="AD178" i="3"/>
  <c r="Y178" i="3"/>
  <c r="L178" i="3"/>
  <c r="BF178" i="3" s="1"/>
  <c r="G178" i="3"/>
  <c r="BD177" i="3"/>
  <c r="AZ177" i="3"/>
  <c r="AV177" i="3"/>
  <c r="AQ177" i="3"/>
  <c r="AI177" i="3"/>
  <c r="AD177" i="3"/>
  <c r="Y177" i="3"/>
  <c r="L177" i="3"/>
  <c r="BF177" i="3" s="1"/>
  <c r="G177" i="3"/>
  <c r="BD176" i="3"/>
  <c r="AZ176" i="3"/>
  <c r="AV176" i="3"/>
  <c r="AQ176" i="3"/>
  <c r="AI176" i="3"/>
  <c r="AD176" i="3"/>
  <c r="Y176" i="3"/>
  <c r="L176" i="3"/>
  <c r="BF176" i="3" s="1"/>
  <c r="G176" i="3"/>
  <c r="BD175" i="3"/>
  <c r="AZ175" i="3"/>
  <c r="AV175" i="3"/>
  <c r="AQ175" i="3"/>
  <c r="AI175" i="3"/>
  <c r="AD175" i="3"/>
  <c r="Y175" i="3"/>
  <c r="L175" i="3"/>
  <c r="G175" i="3"/>
  <c r="BF175" i="3" s="1"/>
  <c r="BD174" i="3"/>
  <c r="AZ174" i="3"/>
  <c r="AV174" i="3"/>
  <c r="AQ174" i="3"/>
  <c r="AI174" i="3"/>
  <c r="AD174" i="3"/>
  <c r="Y174" i="3"/>
  <c r="L174" i="3"/>
  <c r="BF174" i="3" s="1"/>
  <c r="G174" i="3"/>
  <c r="BD173" i="3"/>
  <c r="AZ173" i="3"/>
  <c r="AV173" i="3"/>
  <c r="AQ173" i="3"/>
  <c r="AI173" i="3"/>
  <c r="AD173" i="3"/>
  <c r="Y173" i="3"/>
  <c r="L173" i="3"/>
  <c r="BF173" i="3" s="1"/>
  <c r="G173" i="3"/>
  <c r="BD172" i="3"/>
  <c r="AZ172" i="3"/>
  <c r="AV172" i="3"/>
  <c r="AQ172" i="3"/>
  <c r="AI172" i="3"/>
  <c r="AD172" i="3"/>
  <c r="Y172" i="3"/>
  <c r="L172" i="3"/>
  <c r="BF172" i="3" s="1"/>
  <c r="G172" i="3"/>
  <c r="BD171" i="3"/>
  <c r="AZ171" i="3"/>
  <c r="AV171" i="3"/>
  <c r="AQ171" i="3"/>
  <c r="AI171" i="3"/>
  <c r="AD171" i="3"/>
  <c r="Y171" i="3"/>
  <c r="L171" i="3"/>
  <c r="G171" i="3"/>
  <c r="BF171" i="3" s="1"/>
  <c r="BD170" i="3"/>
  <c r="AZ170" i="3"/>
  <c r="AV170" i="3"/>
  <c r="AQ170" i="3"/>
  <c r="AI170" i="3"/>
  <c r="AD170" i="3"/>
  <c r="Y170" i="3"/>
  <c r="L170" i="3"/>
  <c r="BF170" i="3" s="1"/>
  <c r="G170" i="3"/>
  <c r="BD169" i="3"/>
  <c r="AZ169" i="3"/>
  <c r="AV169" i="3"/>
  <c r="AQ169" i="3"/>
  <c r="AI169" i="3"/>
  <c r="AD169" i="3"/>
  <c r="Y169" i="3"/>
  <c r="L169" i="3"/>
  <c r="BF169" i="3" s="1"/>
  <c r="G169" i="3"/>
  <c r="BD168" i="3"/>
  <c r="AZ168" i="3"/>
  <c r="AV168" i="3"/>
  <c r="AQ168" i="3"/>
  <c r="AI168" i="3"/>
  <c r="AD168" i="3"/>
  <c r="Y168" i="3"/>
  <c r="L168" i="3"/>
  <c r="BF168" i="3" s="1"/>
  <c r="G168" i="3"/>
  <c r="BD167" i="3"/>
  <c r="AZ167" i="3"/>
  <c r="AV167" i="3"/>
  <c r="AQ167" i="3"/>
  <c r="AI167" i="3"/>
  <c r="AD167" i="3"/>
  <c r="Y167" i="3"/>
  <c r="L167" i="3"/>
  <c r="G167" i="3"/>
  <c r="BF167" i="3" s="1"/>
  <c r="BD165" i="3"/>
  <c r="AZ165" i="3"/>
  <c r="AV165" i="3"/>
  <c r="AQ165" i="3"/>
  <c r="AI165" i="3"/>
  <c r="AD165" i="3"/>
  <c r="Y165" i="3"/>
  <c r="L165" i="3"/>
  <c r="BF165" i="3" s="1"/>
  <c r="G165" i="3"/>
  <c r="BD164" i="3"/>
  <c r="AZ164" i="3"/>
  <c r="AV164" i="3"/>
  <c r="AQ164" i="3"/>
  <c r="AI164" i="3"/>
  <c r="AD164" i="3"/>
  <c r="Y164" i="3"/>
  <c r="L164" i="3"/>
  <c r="BF164" i="3" s="1"/>
  <c r="G164" i="3"/>
  <c r="BD163" i="3"/>
  <c r="AZ163" i="3"/>
  <c r="AV163" i="3"/>
  <c r="AQ163" i="3"/>
  <c r="AI163" i="3"/>
  <c r="AD163" i="3"/>
  <c r="Y163" i="3"/>
  <c r="L163" i="3"/>
  <c r="BF163" i="3" s="1"/>
  <c r="G163" i="3"/>
  <c r="BD162" i="3"/>
  <c r="AZ162" i="3"/>
  <c r="AV162" i="3"/>
  <c r="AQ162" i="3"/>
  <c r="AI162" i="3"/>
  <c r="AD162" i="3"/>
  <c r="Y162" i="3"/>
  <c r="L162" i="3"/>
  <c r="G162" i="3"/>
  <c r="BF162" i="3" s="1"/>
  <c r="BD161" i="3"/>
  <c r="AZ161" i="3"/>
  <c r="AV161" i="3"/>
  <c r="AQ161" i="3"/>
  <c r="AI161" i="3"/>
  <c r="AD161" i="3"/>
  <c r="Y161" i="3"/>
  <c r="L161" i="3"/>
  <c r="BF161" i="3" s="1"/>
  <c r="G161" i="3"/>
  <c r="BD160" i="3"/>
  <c r="AZ160" i="3"/>
  <c r="AV160" i="3"/>
  <c r="AQ160" i="3"/>
  <c r="AI160" i="3"/>
  <c r="AD160" i="3"/>
  <c r="Y160" i="3"/>
  <c r="L160" i="3"/>
  <c r="BF160" i="3" s="1"/>
  <c r="G160" i="3"/>
  <c r="BD159" i="3"/>
  <c r="AZ159" i="3"/>
  <c r="AV159" i="3"/>
  <c r="AQ159" i="3"/>
  <c r="AI159" i="3"/>
  <c r="AD159" i="3"/>
  <c r="Y159" i="3"/>
  <c r="L159" i="3"/>
  <c r="BF159" i="3" s="1"/>
  <c r="G159" i="3"/>
  <c r="BD158" i="3"/>
  <c r="AZ158" i="3"/>
  <c r="AV158" i="3"/>
  <c r="AQ158" i="3"/>
  <c r="AI158" i="3"/>
  <c r="AD158" i="3"/>
  <c r="Y158" i="3"/>
  <c r="L158" i="3"/>
  <c r="G158" i="3"/>
  <c r="BF158" i="3" s="1"/>
  <c r="BD157" i="3"/>
  <c r="AZ157" i="3"/>
  <c r="AV157" i="3"/>
  <c r="AQ157" i="3"/>
  <c r="AI157" i="3"/>
  <c r="AD157" i="3"/>
  <c r="Y157" i="3"/>
  <c r="L157" i="3"/>
  <c r="BF157" i="3" s="1"/>
  <c r="G157" i="3"/>
  <c r="BD156" i="3"/>
  <c r="AZ156" i="3"/>
  <c r="AV156" i="3"/>
  <c r="AQ156" i="3"/>
  <c r="AI156" i="3"/>
  <c r="AD156" i="3"/>
  <c r="Y156" i="3"/>
  <c r="L156" i="3"/>
  <c r="BF156" i="3" s="1"/>
  <c r="G156" i="3"/>
  <c r="BD155" i="3"/>
  <c r="AZ155" i="3"/>
  <c r="AV155" i="3"/>
  <c r="AQ155" i="3"/>
  <c r="AI155" i="3"/>
  <c r="AD155" i="3"/>
  <c r="Y155" i="3"/>
  <c r="L155" i="3"/>
  <c r="BF155" i="3" s="1"/>
  <c r="G155" i="3"/>
  <c r="BD154" i="3"/>
  <c r="AZ154" i="3"/>
  <c r="AV154" i="3"/>
  <c r="AQ154" i="3"/>
  <c r="AI154" i="3"/>
  <c r="AD154" i="3"/>
  <c r="Y154" i="3"/>
  <c r="L154" i="3"/>
  <c r="G154" i="3"/>
  <c r="BF154" i="3" s="1"/>
  <c r="BD153" i="3"/>
  <c r="AZ153" i="3"/>
  <c r="AV153" i="3"/>
  <c r="AQ153" i="3"/>
  <c r="AI153" i="3"/>
  <c r="AD153" i="3"/>
  <c r="Y153" i="3"/>
  <c r="L153" i="3"/>
  <c r="BF153" i="3" s="1"/>
  <c r="G153" i="3"/>
  <c r="BD152" i="3"/>
  <c r="AZ152" i="3"/>
  <c r="AV152" i="3"/>
  <c r="AQ152" i="3"/>
  <c r="AI152" i="3"/>
  <c r="AD152" i="3"/>
  <c r="Y152" i="3"/>
  <c r="L152" i="3"/>
  <c r="BF152" i="3" s="1"/>
  <c r="G152" i="3"/>
  <c r="BD151" i="3"/>
  <c r="AZ151" i="3"/>
  <c r="AV151" i="3"/>
  <c r="AQ151" i="3"/>
  <c r="AI151" i="3"/>
  <c r="AD151" i="3"/>
  <c r="Y151" i="3"/>
  <c r="L151" i="3"/>
  <c r="BF151" i="3" s="1"/>
  <c r="G151" i="3"/>
  <c r="BD150" i="3"/>
  <c r="AZ150" i="3"/>
  <c r="AV150" i="3"/>
  <c r="AQ150" i="3"/>
  <c r="AI150" i="3"/>
  <c r="AD150" i="3"/>
  <c r="Y150" i="3"/>
  <c r="L150" i="3"/>
  <c r="G150" i="3"/>
  <c r="BF150" i="3" s="1"/>
  <c r="BD148" i="3"/>
  <c r="AZ148" i="3"/>
  <c r="AV148" i="3"/>
  <c r="AQ148" i="3"/>
  <c r="AI148" i="3"/>
  <c r="AD148" i="3"/>
  <c r="Y148" i="3"/>
  <c r="L148" i="3"/>
  <c r="BF148" i="3" s="1"/>
  <c r="G148" i="3"/>
  <c r="BD147" i="3"/>
  <c r="AZ147" i="3"/>
  <c r="AV147" i="3"/>
  <c r="AQ147" i="3"/>
  <c r="AI147" i="3"/>
  <c r="AD147" i="3"/>
  <c r="Y147" i="3"/>
  <c r="L147" i="3"/>
  <c r="BF147" i="3" s="1"/>
  <c r="G147" i="3"/>
  <c r="BD146" i="3"/>
  <c r="AZ146" i="3"/>
  <c r="AV146" i="3"/>
  <c r="AQ146" i="3"/>
  <c r="AI146" i="3"/>
  <c r="AD146" i="3"/>
  <c r="Y146" i="3"/>
  <c r="L146" i="3"/>
  <c r="BF146" i="3" s="1"/>
  <c r="G146" i="3"/>
  <c r="BD145" i="3"/>
  <c r="AZ145" i="3"/>
  <c r="AV145" i="3"/>
  <c r="AQ145" i="3"/>
  <c r="AI145" i="3"/>
  <c r="AD145" i="3"/>
  <c r="Y145" i="3"/>
  <c r="L145" i="3"/>
  <c r="G145" i="3"/>
  <c r="BF145" i="3" s="1"/>
  <c r="BD144" i="3"/>
  <c r="AZ144" i="3"/>
  <c r="AV144" i="3"/>
  <c r="AQ144" i="3"/>
  <c r="AI144" i="3"/>
  <c r="AD144" i="3"/>
  <c r="Y144" i="3"/>
  <c r="L144" i="3"/>
  <c r="BF144" i="3" s="1"/>
  <c r="G144" i="3"/>
  <c r="BD143" i="3"/>
  <c r="AZ143" i="3"/>
  <c r="AV143" i="3"/>
  <c r="AQ143" i="3"/>
  <c r="AI143" i="3"/>
  <c r="AD143" i="3"/>
  <c r="Y143" i="3"/>
  <c r="L143" i="3"/>
  <c r="BF143" i="3" s="1"/>
  <c r="G143" i="3"/>
  <c r="BD142" i="3"/>
  <c r="AZ142" i="3"/>
  <c r="AV142" i="3"/>
  <c r="AQ142" i="3"/>
  <c r="AI142" i="3"/>
  <c r="AD142" i="3"/>
  <c r="Y142" i="3"/>
  <c r="L142" i="3"/>
  <c r="BF142" i="3" s="1"/>
  <c r="G142" i="3"/>
  <c r="BD141" i="3"/>
  <c r="AZ141" i="3"/>
  <c r="AV141" i="3"/>
  <c r="AQ141" i="3"/>
  <c r="AI141" i="3"/>
  <c r="AD141" i="3"/>
  <c r="Y141" i="3"/>
  <c r="L141" i="3"/>
  <c r="G141" i="3"/>
  <c r="BF141" i="3" s="1"/>
  <c r="BD140" i="3"/>
  <c r="AZ140" i="3"/>
  <c r="AV140" i="3"/>
  <c r="AQ140" i="3"/>
  <c r="AI140" i="3"/>
  <c r="AD140" i="3"/>
  <c r="Y140" i="3"/>
  <c r="L140" i="3"/>
  <c r="BF140" i="3" s="1"/>
  <c r="G140" i="3"/>
  <c r="BD139" i="3"/>
  <c r="AZ139" i="3"/>
  <c r="AV139" i="3"/>
  <c r="AQ139" i="3"/>
  <c r="AI139" i="3"/>
  <c r="AD139" i="3"/>
  <c r="Y139" i="3"/>
  <c r="L139" i="3"/>
  <c r="BF139" i="3" s="1"/>
  <c r="G139" i="3"/>
  <c r="BD138" i="3"/>
  <c r="AZ138" i="3"/>
  <c r="AV138" i="3"/>
  <c r="AQ138" i="3"/>
  <c r="AI138" i="3"/>
  <c r="AD138" i="3"/>
  <c r="Y138" i="3"/>
  <c r="L138" i="3"/>
  <c r="BF138" i="3" s="1"/>
  <c r="G138" i="3"/>
  <c r="BD137" i="3"/>
  <c r="AZ137" i="3"/>
  <c r="AV137" i="3"/>
  <c r="AQ137" i="3"/>
  <c r="AI137" i="3"/>
  <c r="AD137" i="3"/>
  <c r="Y137" i="3"/>
  <c r="L137" i="3"/>
  <c r="G137" i="3"/>
  <c r="BF137" i="3" s="1"/>
  <c r="BD136" i="3"/>
  <c r="AZ136" i="3"/>
  <c r="AV136" i="3"/>
  <c r="AQ136" i="3"/>
  <c r="AI136" i="3"/>
  <c r="AD136" i="3"/>
  <c r="Y136" i="3"/>
  <c r="L136" i="3"/>
  <c r="BF136" i="3" s="1"/>
  <c r="G136" i="3"/>
  <c r="BD135" i="3"/>
  <c r="AZ135" i="3"/>
  <c r="AV135" i="3"/>
  <c r="AQ135" i="3"/>
  <c r="AI135" i="3"/>
  <c r="AD135" i="3"/>
  <c r="Y135" i="3"/>
  <c r="L135" i="3"/>
  <c r="BF135" i="3" s="1"/>
  <c r="G135" i="3"/>
  <c r="BD134" i="3"/>
  <c r="AZ134" i="3"/>
  <c r="AV134" i="3"/>
  <c r="AQ134" i="3"/>
  <c r="AI134" i="3"/>
  <c r="AD134" i="3"/>
  <c r="Y134" i="3"/>
  <c r="L134" i="3"/>
  <c r="BF134" i="3" s="1"/>
  <c r="G134" i="3"/>
  <c r="BD133" i="3"/>
  <c r="AZ133" i="3"/>
  <c r="AV133" i="3"/>
  <c r="AQ133" i="3"/>
  <c r="AI133" i="3"/>
  <c r="AD133" i="3"/>
  <c r="Y133" i="3"/>
  <c r="L133" i="3"/>
  <c r="G133" i="3"/>
  <c r="BF133" i="3" s="1"/>
  <c r="BD131" i="3"/>
  <c r="AZ131" i="3"/>
  <c r="AV131" i="3"/>
  <c r="AQ131" i="3"/>
  <c r="AI131" i="3"/>
  <c r="AD131" i="3"/>
  <c r="Y131" i="3"/>
  <c r="L131" i="3"/>
  <c r="BF131" i="3" s="1"/>
  <c r="G131" i="3"/>
  <c r="BD130" i="3"/>
  <c r="AZ130" i="3"/>
  <c r="AV130" i="3"/>
  <c r="AQ130" i="3"/>
  <c r="AI130" i="3"/>
  <c r="AD130" i="3"/>
  <c r="Y130" i="3"/>
  <c r="L130" i="3"/>
  <c r="BF130" i="3" s="1"/>
  <c r="G130" i="3"/>
  <c r="BD129" i="3"/>
  <c r="AZ129" i="3"/>
  <c r="AV129" i="3"/>
  <c r="AQ129" i="3"/>
  <c r="AI129" i="3"/>
  <c r="AD129" i="3"/>
  <c r="Y129" i="3"/>
  <c r="L129" i="3"/>
  <c r="BF129" i="3" s="1"/>
  <c r="G129" i="3"/>
  <c r="BD128" i="3"/>
  <c r="AZ128" i="3"/>
  <c r="AV128" i="3"/>
  <c r="AQ128" i="3"/>
  <c r="AI128" i="3"/>
  <c r="AD128" i="3"/>
  <c r="Y128" i="3"/>
  <c r="L128" i="3"/>
  <c r="G128" i="3"/>
  <c r="BF128" i="3" s="1"/>
  <c r="BD127" i="3"/>
  <c r="AZ127" i="3"/>
  <c r="AV127" i="3"/>
  <c r="AQ127" i="3"/>
  <c r="AI127" i="3"/>
  <c r="AD127" i="3"/>
  <c r="Y127" i="3"/>
  <c r="L127" i="3"/>
  <c r="BF127" i="3" s="1"/>
  <c r="G127" i="3"/>
  <c r="BD126" i="3"/>
  <c r="AZ126" i="3"/>
  <c r="AV126" i="3"/>
  <c r="AQ126" i="3"/>
  <c r="AI126" i="3"/>
  <c r="AD126" i="3"/>
  <c r="Y126" i="3"/>
  <c r="L126" i="3"/>
  <c r="BF126" i="3" s="1"/>
  <c r="G126" i="3"/>
  <c r="BD125" i="3"/>
  <c r="AZ125" i="3"/>
  <c r="AV125" i="3"/>
  <c r="AQ125" i="3"/>
  <c r="AI125" i="3"/>
  <c r="AD125" i="3"/>
  <c r="Y125" i="3"/>
  <c r="L125" i="3"/>
  <c r="BF125" i="3" s="1"/>
  <c r="G125" i="3"/>
  <c r="BD124" i="3"/>
  <c r="AZ124" i="3"/>
  <c r="AV124" i="3"/>
  <c r="AQ124" i="3"/>
  <c r="AI124" i="3"/>
  <c r="AD124" i="3"/>
  <c r="Y124" i="3"/>
  <c r="L124" i="3"/>
  <c r="G124" i="3"/>
  <c r="BF124" i="3" s="1"/>
  <c r="BD123" i="3"/>
  <c r="AZ123" i="3"/>
  <c r="AV123" i="3"/>
  <c r="AQ123" i="3"/>
  <c r="AI123" i="3"/>
  <c r="AD123" i="3"/>
  <c r="Y123" i="3"/>
  <c r="L123" i="3"/>
  <c r="BF123" i="3" s="1"/>
  <c r="G123" i="3"/>
  <c r="BD122" i="3"/>
  <c r="AZ122" i="3"/>
  <c r="AV122" i="3"/>
  <c r="AQ122" i="3"/>
  <c r="AI122" i="3"/>
  <c r="AD122" i="3"/>
  <c r="Y122" i="3"/>
  <c r="L122" i="3"/>
  <c r="BF122" i="3" s="1"/>
  <c r="G122" i="3"/>
  <c r="BD121" i="3"/>
  <c r="AZ121" i="3"/>
  <c r="AV121" i="3"/>
  <c r="AQ121" i="3"/>
  <c r="AI121" i="3"/>
  <c r="AD121" i="3"/>
  <c r="Y121" i="3"/>
  <c r="L121" i="3"/>
  <c r="BF121" i="3" s="1"/>
  <c r="G121" i="3"/>
  <c r="BD120" i="3"/>
  <c r="AZ120" i="3"/>
  <c r="AV120" i="3"/>
  <c r="AQ120" i="3"/>
  <c r="AI120" i="3"/>
  <c r="AD120" i="3"/>
  <c r="Y120" i="3"/>
  <c r="L120" i="3"/>
  <c r="G120" i="3"/>
  <c r="BF120" i="3" s="1"/>
  <c r="BD119" i="3"/>
  <c r="AZ119" i="3"/>
  <c r="AV119" i="3"/>
  <c r="AQ119" i="3"/>
  <c r="AI119" i="3"/>
  <c r="AD119" i="3"/>
  <c r="Y119" i="3"/>
  <c r="L119" i="3"/>
  <c r="BF119" i="3" s="1"/>
  <c r="G119" i="3"/>
  <c r="BD118" i="3"/>
  <c r="AZ118" i="3"/>
  <c r="AV118" i="3"/>
  <c r="AQ118" i="3"/>
  <c r="AI118" i="3"/>
  <c r="AD118" i="3"/>
  <c r="Y118" i="3"/>
  <c r="L118" i="3"/>
  <c r="BF118" i="3" s="1"/>
  <c r="G118" i="3"/>
  <c r="BD117" i="3"/>
  <c r="AZ117" i="3"/>
  <c r="AV117" i="3"/>
  <c r="AQ117" i="3"/>
  <c r="AI117" i="3"/>
  <c r="AD117" i="3"/>
  <c r="Y117" i="3"/>
  <c r="L117" i="3"/>
  <c r="BF117" i="3" s="1"/>
  <c r="G117" i="3"/>
  <c r="BD116" i="3"/>
  <c r="AZ116" i="3"/>
  <c r="AV116" i="3"/>
  <c r="AQ116" i="3"/>
  <c r="AI116" i="3"/>
  <c r="AD116" i="3"/>
  <c r="Y116" i="3"/>
  <c r="L116" i="3"/>
  <c r="G116" i="3"/>
  <c r="BF116" i="3" s="1"/>
  <c r="BD114" i="3"/>
  <c r="AZ114" i="3"/>
  <c r="AV114" i="3"/>
  <c r="AQ114" i="3"/>
  <c r="AI114" i="3"/>
  <c r="AD114" i="3"/>
  <c r="Y114" i="3"/>
  <c r="L114" i="3"/>
  <c r="BF114" i="3" s="1"/>
  <c r="G114" i="3"/>
  <c r="BD113" i="3"/>
  <c r="AZ113" i="3"/>
  <c r="AV113" i="3"/>
  <c r="AQ113" i="3"/>
  <c r="AI113" i="3"/>
  <c r="AD113" i="3"/>
  <c r="Y113" i="3"/>
  <c r="L113" i="3"/>
  <c r="BF113" i="3" s="1"/>
  <c r="G113" i="3"/>
  <c r="BF112" i="3"/>
  <c r="BD112" i="3"/>
  <c r="AZ112" i="3"/>
  <c r="AV112" i="3"/>
  <c r="AQ112" i="3"/>
  <c r="AI112" i="3"/>
  <c r="AD112" i="3"/>
  <c r="Y112" i="3"/>
  <c r="L112" i="3"/>
  <c r="G112" i="3"/>
  <c r="BD111" i="3"/>
  <c r="AZ111" i="3"/>
  <c r="AV111" i="3"/>
  <c r="AQ111" i="3"/>
  <c r="AI111" i="3"/>
  <c r="AD111" i="3"/>
  <c r="Y111" i="3"/>
  <c r="L111" i="3"/>
  <c r="G111" i="3"/>
  <c r="BF111" i="3" s="1"/>
  <c r="BD110" i="3"/>
  <c r="AZ110" i="3"/>
  <c r="AV110" i="3"/>
  <c r="AQ110" i="3"/>
  <c r="AI110" i="3"/>
  <c r="AD110" i="3"/>
  <c r="Y110" i="3"/>
  <c r="L110" i="3"/>
  <c r="BF110" i="3" s="1"/>
  <c r="G110" i="3"/>
  <c r="BD109" i="3"/>
  <c r="AZ109" i="3"/>
  <c r="AV109" i="3"/>
  <c r="AQ109" i="3"/>
  <c r="AI109" i="3"/>
  <c r="AD109" i="3"/>
  <c r="Y109" i="3"/>
  <c r="L109" i="3"/>
  <c r="BF109" i="3" s="1"/>
  <c r="G109" i="3"/>
  <c r="BF108" i="3"/>
  <c r="BD108" i="3"/>
  <c r="AZ108" i="3"/>
  <c r="AV108" i="3"/>
  <c r="AQ108" i="3"/>
  <c r="AI108" i="3"/>
  <c r="AD108" i="3"/>
  <c r="Y108" i="3"/>
  <c r="L108" i="3"/>
  <c r="G108" i="3"/>
  <c r="BD107" i="3"/>
  <c r="AZ107" i="3"/>
  <c r="AV107" i="3"/>
  <c r="AQ107" i="3"/>
  <c r="AI107" i="3"/>
  <c r="AD107" i="3"/>
  <c r="Y107" i="3"/>
  <c r="L107" i="3"/>
  <c r="G107" i="3"/>
  <c r="BF107" i="3" s="1"/>
  <c r="BD106" i="3"/>
  <c r="AZ106" i="3"/>
  <c r="AV106" i="3"/>
  <c r="AQ106" i="3"/>
  <c r="AI106" i="3"/>
  <c r="AD106" i="3"/>
  <c r="Y106" i="3"/>
  <c r="L106" i="3"/>
  <c r="BF106" i="3" s="1"/>
  <c r="G106" i="3"/>
  <c r="BD105" i="3"/>
  <c r="AZ105" i="3"/>
  <c r="AV105" i="3"/>
  <c r="AQ105" i="3"/>
  <c r="AI105" i="3"/>
  <c r="BF105" i="3" s="1"/>
  <c r="AD105" i="3"/>
  <c r="Y105" i="3"/>
  <c r="L105" i="3"/>
  <c r="G105" i="3"/>
  <c r="BF104" i="3"/>
  <c r="BD104" i="3"/>
  <c r="AZ104" i="3"/>
  <c r="AV104" i="3"/>
  <c r="AQ104" i="3"/>
  <c r="AI104" i="3"/>
  <c r="AD104" i="3"/>
  <c r="Y104" i="3"/>
  <c r="L104" i="3"/>
  <c r="G104" i="3"/>
  <c r="BD103" i="3"/>
  <c r="AZ103" i="3"/>
  <c r="AV103" i="3"/>
  <c r="AQ103" i="3"/>
  <c r="AI103" i="3"/>
  <c r="AD103" i="3"/>
  <c r="Y103" i="3"/>
  <c r="L103" i="3"/>
  <c r="G103" i="3"/>
  <c r="BF103" i="3" s="1"/>
  <c r="BD102" i="3"/>
  <c r="AZ102" i="3"/>
  <c r="AV102" i="3"/>
  <c r="AQ102" i="3"/>
  <c r="AI102" i="3"/>
  <c r="AD102" i="3"/>
  <c r="Y102" i="3"/>
  <c r="L102" i="3"/>
  <c r="BF102" i="3" s="1"/>
  <c r="G102" i="3"/>
  <c r="BD101" i="3"/>
  <c r="AZ101" i="3"/>
  <c r="AV101" i="3"/>
  <c r="AQ101" i="3"/>
  <c r="AI101" i="3"/>
  <c r="AD101" i="3"/>
  <c r="Y101" i="3"/>
  <c r="L101" i="3"/>
  <c r="BF101" i="3" s="1"/>
  <c r="G101" i="3"/>
  <c r="BD100" i="3"/>
  <c r="AZ100" i="3"/>
  <c r="AV100" i="3"/>
  <c r="AQ100" i="3"/>
  <c r="AI100" i="3"/>
  <c r="AD100" i="3"/>
  <c r="Y100" i="3"/>
  <c r="L100" i="3"/>
  <c r="BF100" i="3" s="1"/>
  <c r="G100" i="3"/>
  <c r="BD99" i="3"/>
  <c r="AZ99" i="3"/>
  <c r="AV99" i="3"/>
  <c r="AQ99" i="3"/>
  <c r="AI99" i="3"/>
  <c r="AD99" i="3"/>
  <c r="Y99" i="3"/>
  <c r="L99" i="3"/>
  <c r="G99" i="3"/>
  <c r="BF99" i="3" s="1"/>
  <c r="BD97" i="3"/>
  <c r="AZ97" i="3"/>
  <c r="AV97" i="3"/>
  <c r="AQ97" i="3"/>
  <c r="AI97" i="3"/>
  <c r="AD97" i="3"/>
  <c r="Y97" i="3"/>
  <c r="L97" i="3"/>
  <c r="BF97" i="3" s="1"/>
  <c r="G97" i="3"/>
  <c r="BD96" i="3"/>
  <c r="AZ96" i="3"/>
  <c r="AV96" i="3"/>
  <c r="AQ96" i="3"/>
  <c r="AI96" i="3"/>
  <c r="BF96" i="3" s="1"/>
  <c r="AD96" i="3"/>
  <c r="Y96" i="3"/>
  <c r="L96" i="3"/>
  <c r="G96" i="3"/>
  <c r="BF95" i="3"/>
  <c r="BD95" i="3"/>
  <c r="AZ95" i="3"/>
  <c r="AV95" i="3"/>
  <c r="AQ95" i="3"/>
  <c r="AI95" i="3"/>
  <c r="AD95" i="3"/>
  <c r="Y95" i="3"/>
  <c r="L95" i="3"/>
  <c r="G95" i="3"/>
  <c r="BD94" i="3"/>
  <c r="AZ94" i="3"/>
  <c r="AV94" i="3"/>
  <c r="AQ94" i="3"/>
  <c r="AI94" i="3"/>
  <c r="AD94" i="3"/>
  <c r="Y94" i="3"/>
  <c r="L94" i="3"/>
  <c r="G94" i="3"/>
  <c r="BF94" i="3" s="1"/>
  <c r="BD93" i="3"/>
  <c r="AZ93" i="3"/>
  <c r="AV93" i="3"/>
  <c r="AQ93" i="3"/>
  <c r="AI93" i="3"/>
  <c r="AD93" i="3"/>
  <c r="Y93" i="3"/>
  <c r="L93" i="3"/>
  <c r="BF93" i="3" s="1"/>
  <c r="G93" i="3"/>
  <c r="BD92" i="3"/>
  <c r="AZ92" i="3"/>
  <c r="AV92" i="3"/>
  <c r="AQ92" i="3"/>
  <c r="AI92" i="3"/>
  <c r="AD92" i="3"/>
  <c r="Y92" i="3"/>
  <c r="L92" i="3"/>
  <c r="BF92" i="3" s="1"/>
  <c r="G92" i="3"/>
  <c r="BD91" i="3"/>
  <c r="AZ91" i="3"/>
  <c r="AV91" i="3"/>
  <c r="AQ91" i="3"/>
  <c r="AI91" i="3"/>
  <c r="AD91" i="3"/>
  <c r="Y91" i="3"/>
  <c r="L91" i="3"/>
  <c r="BF91" i="3" s="1"/>
  <c r="G91" i="3"/>
  <c r="BD90" i="3"/>
  <c r="AZ90" i="3"/>
  <c r="AV90" i="3"/>
  <c r="AQ90" i="3"/>
  <c r="AI90" i="3"/>
  <c r="AD90" i="3"/>
  <c r="Y90" i="3"/>
  <c r="L90" i="3"/>
  <c r="G90" i="3"/>
  <c r="BF90" i="3" s="1"/>
  <c r="BD89" i="3"/>
  <c r="AZ89" i="3"/>
  <c r="AV89" i="3"/>
  <c r="AQ89" i="3"/>
  <c r="AI89" i="3"/>
  <c r="AD89" i="3"/>
  <c r="Y89" i="3"/>
  <c r="L89" i="3"/>
  <c r="BF89" i="3" s="1"/>
  <c r="G89" i="3"/>
  <c r="BD88" i="3"/>
  <c r="AZ88" i="3"/>
  <c r="AV88" i="3"/>
  <c r="AQ88" i="3"/>
  <c r="AI88" i="3"/>
  <c r="BF88" i="3" s="1"/>
  <c r="AD88" i="3"/>
  <c r="Y88" i="3"/>
  <c r="L88" i="3"/>
  <c r="G88" i="3"/>
  <c r="BD87" i="3"/>
  <c r="AZ87" i="3"/>
  <c r="AV87" i="3"/>
  <c r="AQ87" i="3"/>
  <c r="AI87" i="3"/>
  <c r="AD87" i="3"/>
  <c r="Y87" i="3"/>
  <c r="L87" i="3"/>
  <c r="BF87" i="3" s="1"/>
  <c r="G87" i="3"/>
  <c r="BD86" i="3"/>
  <c r="AZ86" i="3"/>
  <c r="AV86" i="3"/>
  <c r="AQ86" i="3"/>
  <c r="AI86" i="3"/>
  <c r="AD86" i="3"/>
  <c r="Y86" i="3"/>
  <c r="L86" i="3"/>
  <c r="G86" i="3"/>
  <c r="BF86" i="3" s="1"/>
  <c r="BD85" i="3"/>
  <c r="AZ85" i="3"/>
  <c r="AV85" i="3"/>
  <c r="AQ85" i="3"/>
  <c r="AI85" i="3"/>
  <c r="AD85" i="3"/>
  <c r="Y85" i="3"/>
  <c r="L85" i="3"/>
  <c r="BF85" i="3" s="1"/>
  <c r="G85" i="3"/>
  <c r="BD84" i="3"/>
  <c r="AZ84" i="3"/>
  <c r="AV84" i="3"/>
  <c r="AQ84" i="3"/>
  <c r="AI84" i="3"/>
  <c r="AD84" i="3"/>
  <c r="Y84" i="3"/>
  <c r="L84" i="3"/>
  <c r="BF84" i="3" s="1"/>
  <c r="G84" i="3"/>
  <c r="BF83" i="3"/>
  <c r="BD83" i="3"/>
  <c r="AZ83" i="3"/>
  <c r="AV83" i="3"/>
  <c r="AQ83" i="3"/>
  <c r="AI83" i="3"/>
  <c r="AD83" i="3"/>
  <c r="Y83" i="3"/>
  <c r="L83" i="3"/>
  <c r="G83" i="3"/>
  <c r="BD82" i="3"/>
  <c r="AZ82" i="3"/>
  <c r="AV82" i="3"/>
  <c r="AQ82" i="3"/>
  <c r="AI82" i="3"/>
  <c r="AD82" i="3"/>
  <c r="Y82" i="3"/>
  <c r="L82" i="3"/>
  <c r="G82" i="3"/>
  <c r="BF82" i="3" s="1"/>
  <c r="BD80" i="3"/>
  <c r="AZ80" i="3"/>
  <c r="AV80" i="3"/>
  <c r="AQ80" i="3"/>
  <c r="AI80" i="3"/>
  <c r="AD80" i="3"/>
  <c r="Y80" i="3"/>
  <c r="L80" i="3"/>
  <c r="BF80" i="3" s="1"/>
  <c r="G80" i="3"/>
  <c r="BD79" i="3"/>
  <c r="AZ79" i="3"/>
  <c r="AV79" i="3"/>
  <c r="AQ79" i="3"/>
  <c r="AI79" i="3"/>
  <c r="BF79" i="3" s="1"/>
  <c r="AD79" i="3"/>
  <c r="Y79" i="3"/>
  <c r="L79" i="3"/>
  <c r="G79" i="3"/>
  <c r="BF78" i="3"/>
  <c r="BD78" i="3"/>
  <c r="AZ78" i="3"/>
  <c r="AV78" i="3"/>
  <c r="AQ78" i="3"/>
  <c r="AI78" i="3"/>
  <c r="AD78" i="3"/>
  <c r="Y78" i="3"/>
  <c r="L78" i="3"/>
  <c r="G78" i="3"/>
  <c r="BD77" i="3"/>
  <c r="AZ77" i="3"/>
  <c r="AV77" i="3"/>
  <c r="AQ77" i="3"/>
  <c r="AI77" i="3"/>
  <c r="AD77" i="3"/>
  <c r="Y77" i="3"/>
  <c r="L77" i="3"/>
  <c r="G77" i="3"/>
  <c r="BF77" i="3" s="1"/>
  <c r="BD76" i="3"/>
  <c r="AZ76" i="3"/>
  <c r="AV76" i="3"/>
  <c r="AQ76" i="3"/>
  <c r="AI76" i="3"/>
  <c r="AD76" i="3"/>
  <c r="Y76" i="3"/>
  <c r="L76" i="3"/>
  <c r="BF76" i="3" s="1"/>
  <c r="G76" i="3"/>
  <c r="BD75" i="3"/>
  <c r="AZ75" i="3"/>
  <c r="AV75" i="3"/>
  <c r="AQ75" i="3"/>
  <c r="AI75" i="3"/>
  <c r="AD75" i="3"/>
  <c r="Y75" i="3"/>
  <c r="L75" i="3"/>
  <c r="BF75" i="3" s="1"/>
  <c r="G75" i="3"/>
  <c r="BD74" i="3"/>
  <c r="AZ74" i="3"/>
  <c r="AV74" i="3"/>
  <c r="AQ74" i="3"/>
  <c r="AI74" i="3"/>
  <c r="AD74" i="3"/>
  <c r="Y74" i="3"/>
  <c r="L74" i="3"/>
  <c r="BF74" i="3" s="1"/>
  <c r="G74" i="3"/>
  <c r="BD73" i="3"/>
  <c r="AZ73" i="3"/>
  <c r="AV73" i="3"/>
  <c r="AQ73" i="3"/>
  <c r="AI73" i="3"/>
  <c r="AD73" i="3"/>
  <c r="Y73" i="3"/>
  <c r="L73" i="3"/>
  <c r="G73" i="3"/>
  <c r="BF73" i="3" s="1"/>
  <c r="BD72" i="3"/>
  <c r="AZ72" i="3"/>
  <c r="AV72" i="3"/>
  <c r="AQ72" i="3"/>
  <c r="AI72" i="3"/>
  <c r="AD72" i="3"/>
  <c r="Y72" i="3"/>
  <c r="L72" i="3"/>
  <c r="BF72" i="3" s="1"/>
  <c r="G72" i="3"/>
  <c r="BD71" i="3"/>
  <c r="AZ71" i="3"/>
  <c r="AV71" i="3"/>
  <c r="AQ71" i="3"/>
  <c r="AI71" i="3"/>
  <c r="BF71" i="3" s="1"/>
  <c r="AD71" i="3"/>
  <c r="Y71" i="3"/>
  <c r="L71" i="3"/>
  <c r="G71" i="3"/>
  <c r="BF70" i="3"/>
  <c r="BD70" i="3"/>
  <c r="AZ70" i="3"/>
  <c r="AV70" i="3"/>
  <c r="AQ70" i="3"/>
  <c r="AI70" i="3"/>
  <c r="AD70" i="3"/>
  <c r="Y70" i="3"/>
  <c r="L70" i="3"/>
  <c r="G70" i="3"/>
  <c r="BD69" i="3"/>
  <c r="AZ69" i="3"/>
  <c r="AV69" i="3"/>
  <c r="AQ69" i="3"/>
  <c r="AI69" i="3"/>
  <c r="AD69" i="3"/>
  <c r="Y69" i="3"/>
  <c r="L69" i="3"/>
  <c r="G69" i="3"/>
  <c r="BF69" i="3" s="1"/>
  <c r="BD68" i="3"/>
  <c r="AZ68" i="3"/>
  <c r="AV68" i="3"/>
  <c r="AQ68" i="3"/>
  <c r="AI68" i="3"/>
  <c r="AD68" i="3"/>
  <c r="Y68" i="3"/>
  <c r="L68" i="3"/>
  <c r="BF68" i="3" s="1"/>
  <c r="G68" i="3"/>
  <c r="BD67" i="3"/>
  <c r="AZ67" i="3"/>
  <c r="AV67" i="3"/>
  <c r="AQ67" i="3"/>
  <c r="AI67" i="3"/>
  <c r="AD67" i="3"/>
  <c r="Y67" i="3"/>
  <c r="L67" i="3"/>
  <c r="BF67" i="3" s="1"/>
  <c r="G67" i="3"/>
  <c r="BD66" i="3"/>
  <c r="AZ66" i="3"/>
  <c r="AV66" i="3"/>
  <c r="AQ66" i="3"/>
  <c r="AI66" i="3"/>
  <c r="AD66" i="3"/>
  <c r="Y66" i="3"/>
  <c r="L66" i="3"/>
  <c r="BF66" i="3" s="1"/>
  <c r="G66" i="3"/>
  <c r="BD65" i="3"/>
  <c r="AZ65" i="3"/>
  <c r="AV65" i="3"/>
  <c r="AQ65" i="3"/>
  <c r="AI65" i="3"/>
  <c r="AD65" i="3"/>
  <c r="Y65" i="3"/>
  <c r="L65" i="3"/>
  <c r="G65" i="3"/>
  <c r="BF65" i="3" s="1"/>
  <c r="BD63" i="3"/>
  <c r="AZ63" i="3"/>
  <c r="AV63" i="3"/>
  <c r="AQ63" i="3"/>
  <c r="AI63" i="3"/>
  <c r="AD63" i="3"/>
  <c r="Y63" i="3"/>
  <c r="L63" i="3"/>
  <c r="BF63" i="3" s="1"/>
  <c r="G63" i="3"/>
  <c r="BD62" i="3"/>
  <c r="AZ62" i="3"/>
  <c r="AV62" i="3"/>
  <c r="AQ62" i="3"/>
  <c r="AI62" i="3"/>
  <c r="AD62" i="3"/>
  <c r="Y62" i="3"/>
  <c r="L62" i="3"/>
  <c r="BF62" i="3" s="1"/>
  <c r="G62" i="3"/>
  <c r="BF61" i="3"/>
  <c r="BD61" i="3"/>
  <c r="AZ61" i="3"/>
  <c r="AV61" i="3"/>
  <c r="AQ61" i="3"/>
  <c r="AI61" i="3"/>
  <c r="AD61" i="3"/>
  <c r="Y61" i="3"/>
  <c r="L61" i="3"/>
  <c r="G61" i="3"/>
  <c r="BD60" i="3"/>
  <c r="AZ60" i="3"/>
  <c r="AV60" i="3"/>
  <c r="AQ60" i="3"/>
  <c r="AI60" i="3"/>
  <c r="AD60" i="3"/>
  <c r="Y60" i="3"/>
  <c r="L60" i="3"/>
  <c r="G60" i="3"/>
  <c r="BF60" i="3" s="1"/>
  <c r="BD59" i="3"/>
  <c r="AZ59" i="3"/>
  <c r="AV59" i="3"/>
  <c r="AQ59" i="3"/>
  <c r="AI59" i="3"/>
  <c r="AD59" i="3"/>
  <c r="Y59" i="3"/>
  <c r="L59" i="3"/>
  <c r="BF59" i="3" s="1"/>
  <c r="G59" i="3"/>
  <c r="BD58" i="3"/>
  <c r="AZ58" i="3"/>
  <c r="AV58" i="3"/>
  <c r="AQ58" i="3"/>
  <c r="AI58" i="3"/>
  <c r="BF58" i="3" s="1"/>
  <c r="AD58" i="3"/>
  <c r="Y58" i="3"/>
  <c r="L58" i="3"/>
  <c r="G58" i="3"/>
  <c r="BF57" i="3"/>
  <c r="BD57" i="3"/>
  <c r="AZ57" i="3"/>
  <c r="AV57" i="3"/>
  <c r="AQ57" i="3"/>
  <c r="AI57" i="3"/>
  <c r="AD57" i="3"/>
  <c r="Y57" i="3"/>
  <c r="L57" i="3"/>
  <c r="G57" i="3"/>
  <c r="BD56" i="3"/>
  <c r="AZ56" i="3"/>
  <c r="AV56" i="3"/>
  <c r="AQ56" i="3"/>
  <c r="AI56" i="3"/>
  <c r="AD56" i="3"/>
  <c r="Y56" i="3"/>
  <c r="L56" i="3"/>
  <c r="G56" i="3"/>
  <c r="BF56" i="3" s="1"/>
  <c r="BD55" i="3"/>
  <c r="AZ55" i="3"/>
  <c r="AV55" i="3"/>
  <c r="AQ55" i="3"/>
  <c r="AI55" i="3"/>
  <c r="AD55" i="3"/>
  <c r="Y55" i="3"/>
  <c r="L55" i="3"/>
  <c r="BF55" i="3" s="1"/>
  <c r="G55" i="3"/>
  <c r="BD54" i="3"/>
  <c r="AZ54" i="3"/>
  <c r="AV54" i="3"/>
  <c r="AQ54" i="3"/>
  <c r="AI54" i="3"/>
  <c r="AD54" i="3"/>
  <c r="Y54" i="3"/>
  <c r="L54" i="3"/>
  <c r="BF54" i="3" s="1"/>
  <c r="G54" i="3"/>
  <c r="BF53" i="3"/>
  <c r="BD53" i="3"/>
  <c r="AZ53" i="3"/>
  <c r="AV53" i="3"/>
  <c r="AQ53" i="3"/>
  <c r="AI53" i="3"/>
  <c r="AD53" i="3"/>
  <c r="Y53" i="3"/>
  <c r="L53" i="3"/>
  <c r="G53" i="3"/>
  <c r="BD52" i="3"/>
  <c r="AZ52" i="3"/>
  <c r="AV52" i="3"/>
  <c r="AQ52" i="3"/>
  <c r="AI52" i="3"/>
  <c r="AD52" i="3"/>
  <c r="Y52" i="3"/>
  <c r="L52" i="3"/>
  <c r="G52" i="3"/>
  <c r="BF52" i="3" s="1"/>
  <c r="BD51" i="3"/>
  <c r="AZ51" i="3"/>
  <c r="AV51" i="3"/>
  <c r="AQ51" i="3"/>
  <c r="AI51" i="3"/>
  <c r="AD51" i="3"/>
  <c r="Y51" i="3"/>
  <c r="L51" i="3"/>
  <c r="BF51" i="3" s="1"/>
  <c r="G51" i="3"/>
  <c r="BD50" i="3"/>
  <c r="AZ50" i="3"/>
  <c r="AV50" i="3"/>
  <c r="AQ50" i="3"/>
  <c r="AI50" i="3"/>
  <c r="AD50" i="3"/>
  <c r="Y50" i="3"/>
  <c r="L50" i="3"/>
  <c r="BF50" i="3" s="1"/>
  <c r="G50" i="3"/>
  <c r="BD49" i="3"/>
  <c r="AZ49" i="3"/>
  <c r="AV49" i="3"/>
  <c r="AQ49" i="3"/>
  <c r="AI49" i="3"/>
  <c r="AD49" i="3"/>
  <c r="Y49" i="3"/>
  <c r="L49" i="3"/>
  <c r="BF49" i="3" s="1"/>
  <c r="G49" i="3"/>
  <c r="BD48" i="3"/>
  <c r="AZ48" i="3"/>
  <c r="AV48" i="3"/>
  <c r="AQ48" i="3"/>
  <c r="AI48" i="3"/>
  <c r="AD48" i="3"/>
  <c r="Y48" i="3"/>
  <c r="L48" i="3"/>
  <c r="G48" i="3"/>
  <c r="BF48" i="3" s="1"/>
  <c r="BD46" i="3"/>
  <c r="AZ46" i="3"/>
  <c r="AV46" i="3"/>
  <c r="AQ46" i="3"/>
  <c r="AI46" i="3"/>
  <c r="AD46" i="3"/>
  <c r="L46" i="3"/>
  <c r="G46" i="3"/>
  <c r="BF46" i="3" s="1"/>
  <c r="BD45" i="3"/>
  <c r="AZ45" i="3"/>
  <c r="AV45" i="3"/>
  <c r="AQ45" i="3"/>
  <c r="AI45" i="3"/>
  <c r="AD45" i="3"/>
  <c r="L45" i="3"/>
  <c r="G45" i="3"/>
  <c r="BF45" i="3" s="1"/>
  <c r="BD44" i="3"/>
  <c r="AZ44" i="3"/>
  <c r="BF44" i="3" s="1"/>
  <c r="AV44" i="3"/>
  <c r="AQ44" i="3"/>
  <c r="AI44" i="3"/>
  <c r="AD44" i="3"/>
  <c r="L44" i="3"/>
  <c r="G44" i="3"/>
  <c r="BD43" i="3"/>
  <c r="AZ43" i="3"/>
  <c r="AV43" i="3"/>
  <c r="AQ43" i="3"/>
  <c r="AI43" i="3"/>
  <c r="AD43" i="3"/>
  <c r="L43" i="3"/>
  <c r="G43" i="3"/>
  <c r="BF43" i="3" s="1"/>
  <c r="BD42" i="3"/>
  <c r="AZ42" i="3"/>
  <c r="AV42" i="3"/>
  <c r="AQ42" i="3"/>
  <c r="AI42" i="3"/>
  <c r="AD42" i="3"/>
  <c r="L42" i="3"/>
  <c r="G42" i="3"/>
  <c r="BF42" i="3" s="1"/>
  <c r="BD41" i="3"/>
  <c r="AZ41" i="3"/>
  <c r="AV41" i="3"/>
  <c r="AQ41" i="3"/>
  <c r="AI41" i="3"/>
  <c r="AD41" i="3"/>
  <c r="L41" i="3"/>
  <c r="G41" i="3"/>
  <c r="BF41" i="3" s="1"/>
  <c r="BD40" i="3"/>
  <c r="AZ40" i="3"/>
  <c r="AV40" i="3"/>
  <c r="AQ40" i="3"/>
  <c r="AI40" i="3"/>
  <c r="AD40" i="3"/>
  <c r="BF40" i="3" s="1"/>
  <c r="L40" i="3"/>
  <c r="G40" i="3"/>
  <c r="BD39" i="3"/>
  <c r="AZ39" i="3"/>
  <c r="AV39" i="3"/>
  <c r="AQ39" i="3"/>
  <c r="AI39" i="3"/>
  <c r="BF39" i="3" s="1"/>
  <c r="AD39" i="3"/>
  <c r="L39" i="3"/>
  <c r="G39" i="3"/>
  <c r="BD38" i="3"/>
  <c r="AZ38" i="3"/>
  <c r="AV38" i="3"/>
  <c r="AQ38" i="3"/>
  <c r="AI38" i="3"/>
  <c r="AD38" i="3"/>
  <c r="L38" i="3"/>
  <c r="G38" i="3"/>
  <c r="BF38" i="3" s="1"/>
  <c r="BD37" i="3"/>
  <c r="AZ37" i="3"/>
  <c r="AV37" i="3"/>
  <c r="AQ37" i="3"/>
  <c r="AI37" i="3"/>
  <c r="AD37" i="3"/>
  <c r="L37" i="3"/>
  <c r="G37" i="3"/>
  <c r="BF37" i="3" s="1"/>
  <c r="BD36" i="3"/>
  <c r="AZ36" i="3"/>
  <c r="AV36" i="3"/>
  <c r="AQ36" i="3"/>
  <c r="AI36" i="3"/>
  <c r="AD36" i="3"/>
  <c r="L36" i="3"/>
  <c r="G36" i="3"/>
  <c r="BF36" i="3" s="1"/>
  <c r="BD35" i="3"/>
  <c r="AZ35" i="3"/>
  <c r="AV35" i="3"/>
  <c r="AQ35" i="3"/>
  <c r="AI35" i="3"/>
  <c r="AD35" i="3"/>
  <c r="L35" i="3"/>
  <c r="G35" i="3"/>
  <c r="BF35" i="3" s="1"/>
  <c r="BF34" i="3"/>
  <c r="BD34" i="3"/>
  <c r="AZ34" i="3"/>
  <c r="AV34" i="3"/>
  <c r="AQ34" i="3"/>
  <c r="AI34" i="3"/>
  <c r="AD34" i="3"/>
  <c r="L34" i="3"/>
  <c r="G34" i="3"/>
  <c r="BD33" i="3"/>
  <c r="AZ33" i="3"/>
  <c r="AV33" i="3"/>
  <c r="AQ33" i="3"/>
  <c r="AI33" i="3"/>
  <c r="AD33" i="3"/>
  <c r="L33" i="3"/>
  <c r="G33" i="3"/>
  <c r="BF33" i="3" s="1"/>
  <c r="BD32" i="3"/>
  <c r="AZ32" i="3"/>
  <c r="AV32" i="3"/>
  <c r="AQ32" i="3"/>
  <c r="AI32" i="3"/>
  <c r="AD32" i="3"/>
  <c r="L32" i="3"/>
  <c r="G32" i="3"/>
  <c r="BF32" i="3" s="1"/>
  <c r="BD31" i="3"/>
  <c r="AZ31" i="3"/>
  <c r="AV31" i="3"/>
  <c r="AQ31" i="3"/>
  <c r="AI31" i="3"/>
  <c r="AD31" i="3"/>
  <c r="L31" i="3"/>
  <c r="G31" i="3"/>
  <c r="BF31" i="3" s="1"/>
  <c r="BD29" i="3"/>
  <c r="AZ29" i="3"/>
  <c r="AV29" i="3"/>
  <c r="AQ29" i="3"/>
  <c r="AI29" i="3"/>
  <c r="AD29" i="3"/>
  <c r="Y29" i="3"/>
  <c r="L29" i="3"/>
  <c r="BF29" i="3" s="1"/>
  <c r="G29" i="3"/>
  <c r="BD28" i="3"/>
  <c r="AZ28" i="3"/>
  <c r="AV28" i="3"/>
  <c r="AQ28" i="3"/>
  <c r="AI28" i="3"/>
  <c r="AD28" i="3"/>
  <c r="Y28" i="3"/>
  <c r="L28" i="3"/>
  <c r="BF28" i="3" s="1"/>
  <c r="G28" i="3"/>
  <c r="BF27" i="3"/>
  <c r="BD27" i="3"/>
  <c r="AZ27" i="3"/>
  <c r="AV27" i="3"/>
  <c r="AQ27" i="3"/>
  <c r="AI27" i="3"/>
  <c r="AD27" i="3"/>
  <c r="Y27" i="3"/>
  <c r="L27" i="3"/>
  <c r="G27" i="3"/>
  <c r="BD26" i="3"/>
  <c r="AZ26" i="3"/>
  <c r="AV26" i="3"/>
  <c r="AQ26" i="3"/>
  <c r="AI26" i="3"/>
  <c r="AD26" i="3"/>
  <c r="Y26" i="3"/>
  <c r="L26" i="3"/>
  <c r="G26" i="3"/>
  <c r="BF26" i="3" s="1"/>
  <c r="BD25" i="3"/>
  <c r="AZ25" i="3"/>
  <c r="AV25" i="3"/>
  <c r="AQ25" i="3"/>
  <c r="BF25" i="3" s="1"/>
  <c r="AI25" i="3"/>
  <c r="AD25" i="3"/>
  <c r="Y25" i="3"/>
  <c r="L25" i="3"/>
  <c r="G25" i="3"/>
  <c r="BD24" i="3"/>
  <c r="AZ24" i="3"/>
  <c r="BF24" i="3" s="1"/>
  <c r="AV24" i="3"/>
  <c r="AQ24" i="3"/>
  <c r="AI24" i="3"/>
  <c r="AD24" i="3"/>
  <c r="Y24" i="3"/>
  <c r="L24" i="3"/>
  <c r="G24" i="3"/>
  <c r="BD23" i="3"/>
  <c r="AZ23" i="3"/>
  <c r="AV23" i="3"/>
  <c r="AQ23" i="3"/>
  <c r="AI23" i="3"/>
  <c r="AD23" i="3"/>
  <c r="Y23" i="3"/>
  <c r="L23" i="3"/>
  <c r="BF23" i="3" s="1"/>
  <c r="G23" i="3"/>
  <c r="BD22" i="3"/>
  <c r="AZ22" i="3"/>
  <c r="AV22" i="3"/>
  <c r="AQ22" i="3"/>
  <c r="AI22" i="3"/>
  <c r="AD22" i="3"/>
  <c r="Y22" i="3"/>
  <c r="L22" i="3"/>
  <c r="G22" i="3"/>
  <c r="BF22" i="3" s="1"/>
  <c r="BD21" i="3"/>
  <c r="AZ21" i="3"/>
  <c r="AV21" i="3"/>
  <c r="AQ21" i="3"/>
  <c r="BF21" i="3" s="1"/>
  <c r="AI21" i="3"/>
  <c r="AD21" i="3"/>
  <c r="Y21" i="3"/>
  <c r="L21" i="3"/>
  <c r="G21" i="3"/>
  <c r="BD20" i="3"/>
  <c r="AZ20" i="3"/>
  <c r="AV20" i="3"/>
  <c r="AQ20" i="3"/>
  <c r="AI20" i="3"/>
  <c r="AD20" i="3"/>
  <c r="Y20" i="3"/>
  <c r="L20" i="3"/>
  <c r="BF20" i="3" s="1"/>
  <c r="G20" i="3"/>
  <c r="BF19" i="3"/>
  <c r="BD19" i="3"/>
  <c r="AZ19" i="3"/>
  <c r="AV19" i="3"/>
  <c r="AQ19" i="3"/>
  <c r="AI19" i="3"/>
  <c r="AD19" i="3"/>
  <c r="Y19" i="3"/>
  <c r="L19" i="3"/>
  <c r="G19" i="3"/>
  <c r="BD18" i="3"/>
  <c r="AZ18" i="3"/>
  <c r="AV18" i="3"/>
  <c r="AQ18" i="3"/>
  <c r="AI18" i="3"/>
  <c r="AD18" i="3"/>
  <c r="Y18" i="3"/>
  <c r="L18" i="3"/>
  <c r="G18" i="3"/>
  <c r="BF18" i="3" s="1"/>
  <c r="BD17" i="3"/>
  <c r="AZ17" i="3"/>
  <c r="AV17" i="3"/>
  <c r="AQ17" i="3"/>
  <c r="AI17" i="3"/>
  <c r="AD17" i="3"/>
  <c r="Y17" i="3"/>
  <c r="L17" i="3"/>
  <c r="BF17" i="3" s="1"/>
  <c r="G17" i="3"/>
  <c r="BD16" i="3"/>
  <c r="AZ16" i="3"/>
  <c r="AV16" i="3"/>
  <c r="AQ16" i="3"/>
  <c r="AI16" i="3"/>
  <c r="AD16" i="3"/>
  <c r="Y16" i="3"/>
  <c r="L16" i="3"/>
  <c r="BF16" i="3" s="1"/>
  <c r="G16" i="3"/>
  <c r="BF15" i="3"/>
  <c r="BD15" i="3"/>
  <c r="AZ15" i="3"/>
  <c r="AV15" i="3"/>
  <c r="AQ15" i="3"/>
  <c r="AI15" i="3"/>
  <c r="AD15" i="3"/>
  <c r="Y15" i="3"/>
  <c r="L15" i="3"/>
  <c r="G15" i="3"/>
  <c r="BD14" i="3"/>
  <c r="AZ14" i="3"/>
  <c r="AV14" i="3"/>
  <c r="AQ14" i="3"/>
  <c r="AI14" i="3"/>
  <c r="AD14" i="3"/>
  <c r="Y14" i="3"/>
  <c r="L14" i="3"/>
  <c r="G14" i="3"/>
  <c r="BF14" i="3" s="1"/>
  <c r="J13" i="9" l="1"/>
  <c r="E3" i="8"/>
  <c r="F3" i="8"/>
  <c r="G3" i="8"/>
  <c r="H3" i="8"/>
  <c r="D3" i="8"/>
  <c r="H32" i="6"/>
  <c r="G32" i="6"/>
  <c r="F32" i="6"/>
  <c r="E32" i="6"/>
  <c r="I32" i="6" s="1"/>
  <c r="F31" i="6"/>
  <c r="H19" i="6"/>
  <c r="H36" i="6"/>
  <c r="G36" i="6"/>
  <c r="G31" i="6" s="1"/>
  <c r="E36" i="6"/>
  <c r="H23" i="6"/>
  <c r="G23" i="6"/>
  <c r="H5" i="6"/>
  <c r="G9" i="6"/>
  <c r="H9" i="6"/>
  <c r="E9" i="6"/>
  <c r="F5" i="6"/>
  <c r="F4" i="6" s="1"/>
  <c r="G5" i="6"/>
  <c r="E5" i="6"/>
  <c r="I7" i="6"/>
  <c r="I8" i="6"/>
  <c r="H18" i="6" l="1"/>
  <c r="E31" i="6"/>
  <c r="H31" i="6"/>
  <c r="H4" i="6"/>
  <c r="G4" i="6"/>
  <c r="I9" i="6"/>
  <c r="E4" i="6"/>
  <c r="I31" i="6"/>
  <c r="H11" i="9" s="1"/>
  <c r="H6" i="9" s="1"/>
  <c r="I4" i="6"/>
  <c r="H9" i="9" s="1"/>
  <c r="H4" i="9" s="1"/>
  <c r="I5" i="6"/>
  <c r="I36" i="6"/>
  <c r="N3" i="4"/>
  <c r="P4" i="4"/>
  <c r="H23" i="8"/>
  <c r="G23" i="8"/>
  <c r="F23" i="8"/>
  <c r="E23" i="8"/>
  <c r="D23" i="8"/>
  <c r="H13" i="8"/>
  <c r="G13" i="8"/>
  <c r="F13" i="8"/>
  <c r="E13" i="8"/>
  <c r="D13" i="8"/>
  <c r="I12" i="8"/>
  <c r="I11" i="8"/>
  <c r="I10" i="8"/>
  <c r="I9" i="8"/>
  <c r="I8" i="8"/>
  <c r="I7" i="8"/>
  <c r="I6" i="8"/>
  <c r="I5" i="8"/>
  <c r="I4" i="8"/>
  <c r="O20" i="5"/>
  <c r="O19" i="5"/>
  <c r="O18" i="5"/>
  <c r="O17" i="5"/>
  <c r="O16" i="5" s="1"/>
  <c r="E16" i="5"/>
  <c r="E15" i="5" s="1"/>
  <c r="I16" i="5"/>
  <c r="I15" i="5" s="1"/>
  <c r="H16" i="5"/>
  <c r="H15" i="5" s="1"/>
  <c r="N16" i="5"/>
  <c r="N15" i="5" s="1"/>
  <c r="M16" i="5"/>
  <c r="M15" i="5" s="1"/>
  <c r="L16" i="5"/>
  <c r="L15" i="5" s="1"/>
  <c r="G16" i="5"/>
  <c r="G15" i="5" s="1"/>
  <c r="F16" i="5"/>
  <c r="F15" i="5" s="1"/>
  <c r="D16" i="5"/>
  <c r="D15" i="5" s="1"/>
  <c r="K16" i="5"/>
  <c r="K15" i="5" s="1"/>
  <c r="J16" i="5"/>
  <c r="J15" i="5" s="1"/>
  <c r="E23" i="6"/>
  <c r="I23" i="6" s="1"/>
  <c r="I10" i="6"/>
  <c r="E7" i="4"/>
  <c r="F7" i="4"/>
  <c r="G7" i="4"/>
  <c r="H7" i="4"/>
  <c r="I7" i="4"/>
  <c r="J7" i="4"/>
  <c r="K7" i="4"/>
  <c r="L7" i="4"/>
  <c r="M7" i="4"/>
  <c r="N7" i="4"/>
  <c r="O7" i="4"/>
  <c r="D7" i="4"/>
  <c r="E5" i="4"/>
  <c r="F5" i="4"/>
  <c r="G5" i="4"/>
  <c r="H5" i="4"/>
  <c r="I5" i="4"/>
  <c r="J5" i="4"/>
  <c r="K5" i="4"/>
  <c r="L5" i="4"/>
  <c r="M5" i="4"/>
  <c r="N5" i="4"/>
  <c r="O5" i="4"/>
  <c r="D5" i="4"/>
  <c r="D3" i="4"/>
  <c r="E3" i="4"/>
  <c r="F3" i="4"/>
  <c r="G3" i="4"/>
  <c r="H3" i="4"/>
  <c r="I3" i="4"/>
  <c r="J3" i="4"/>
  <c r="K3" i="4"/>
  <c r="L3" i="4"/>
  <c r="M3" i="4"/>
  <c r="O3" i="4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L550" i="2"/>
  <c r="K550" i="2"/>
  <c r="J550" i="2"/>
  <c r="I550" i="2"/>
  <c r="H550" i="2"/>
  <c r="G550" i="2"/>
  <c r="F550" i="2"/>
  <c r="E550" i="2"/>
  <c r="L549" i="2"/>
  <c r="K549" i="2"/>
  <c r="J549" i="2"/>
  <c r="I549" i="2"/>
  <c r="H549" i="2"/>
  <c r="G549" i="2"/>
  <c r="F549" i="2"/>
  <c r="E549" i="2"/>
  <c r="L548" i="2"/>
  <c r="K548" i="2"/>
  <c r="J548" i="2"/>
  <c r="I548" i="2"/>
  <c r="H548" i="2"/>
  <c r="G548" i="2"/>
  <c r="F548" i="2"/>
  <c r="E548" i="2"/>
  <c r="L547" i="2"/>
  <c r="K547" i="2"/>
  <c r="J547" i="2"/>
  <c r="I547" i="2"/>
  <c r="H547" i="2"/>
  <c r="G547" i="2"/>
  <c r="F547" i="2"/>
  <c r="E547" i="2"/>
  <c r="L546" i="2"/>
  <c r="K546" i="2"/>
  <c r="J546" i="2"/>
  <c r="I546" i="2"/>
  <c r="H546" i="2"/>
  <c r="G546" i="2"/>
  <c r="F546" i="2"/>
  <c r="E546" i="2"/>
  <c r="L545" i="2"/>
  <c r="K545" i="2"/>
  <c r="J545" i="2"/>
  <c r="I545" i="2"/>
  <c r="H545" i="2"/>
  <c r="G545" i="2"/>
  <c r="F545" i="2"/>
  <c r="E545" i="2"/>
  <c r="L544" i="2"/>
  <c r="K544" i="2"/>
  <c r="J544" i="2"/>
  <c r="I544" i="2"/>
  <c r="H544" i="2"/>
  <c r="G544" i="2"/>
  <c r="F544" i="2"/>
  <c r="E544" i="2"/>
  <c r="L543" i="2"/>
  <c r="K543" i="2"/>
  <c r="J543" i="2"/>
  <c r="I543" i="2"/>
  <c r="H543" i="2"/>
  <c r="G543" i="2"/>
  <c r="F543" i="2"/>
  <c r="E543" i="2"/>
  <c r="L542" i="2"/>
  <c r="K542" i="2"/>
  <c r="J542" i="2"/>
  <c r="I542" i="2"/>
  <c r="H542" i="2"/>
  <c r="G542" i="2"/>
  <c r="F542" i="2"/>
  <c r="E542" i="2"/>
  <c r="L541" i="2"/>
  <c r="K541" i="2"/>
  <c r="J541" i="2"/>
  <c r="I541" i="2"/>
  <c r="H541" i="2"/>
  <c r="G541" i="2"/>
  <c r="F541" i="2"/>
  <c r="E541" i="2"/>
  <c r="L540" i="2"/>
  <c r="K540" i="2"/>
  <c r="J540" i="2"/>
  <c r="I540" i="2"/>
  <c r="H540" i="2"/>
  <c r="G540" i="2"/>
  <c r="F540" i="2"/>
  <c r="E540" i="2"/>
  <c r="L539" i="2"/>
  <c r="K539" i="2"/>
  <c r="J539" i="2"/>
  <c r="I539" i="2"/>
  <c r="H539" i="2"/>
  <c r="G539" i="2"/>
  <c r="F539" i="2"/>
  <c r="E539" i="2"/>
  <c r="L538" i="2"/>
  <c r="K538" i="2"/>
  <c r="J538" i="2"/>
  <c r="I538" i="2"/>
  <c r="H538" i="2"/>
  <c r="G538" i="2"/>
  <c r="F538" i="2"/>
  <c r="E538" i="2"/>
  <c r="L537" i="2"/>
  <c r="K537" i="2"/>
  <c r="J537" i="2"/>
  <c r="I537" i="2"/>
  <c r="H537" i="2"/>
  <c r="G537" i="2"/>
  <c r="F537" i="2"/>
  <c r="E537" i="2"/>
  <c r="L536" i="2"/>
  <c r="K536" i="2"/>
  <c r="K534" i="2" s="1"/>
  <c r="J536" i="2"/>
  <c r="I536" i="2"/>
  <c r="H536" i="2"/>
  <c r="G536" i="2"/>
  <c r="G534" i="2" s="1"/>
  <c r="F536" i="2"/>
  <c r="E536" i="2"/>
  <c r="L535" i="2"/>
  <c r="K535" i="2"/>
  <c r="J535" i="2"/>
  <c r="I535" i="2"/>
  <c r="H535" i="2"/>
  <c r="G535" i="2"/>
  <c r="F535" i="2"/>
  <c r="E535" i="2"/>
  <c r="P534" i="2"/>
  <c r="O534" i="2"/>
  <c r="N534" i="2"/>
  <c r="M534" i="2"/>
  <c r="L533" i="2"/>
  <c r="K533" i="2"/>
  <c r="J533" i="2"/>
  <c r="I533" i="2"/>
  <c r="H533" i="2"/>
  <c r="G533" i="2"/>
  <c r="F533" i="2"/>
  <c r="E533" i="2"/>
  <c r="L532" i="2"/>
  <c r="K532" i="2"/>
  <c r="J532" i="2"/>
  <c r="I532" i="2"/>
  <c r="H532" i="2"/>
  <c r="G532" i="2"/>
  <c r="F532" i="2"/>
  <c r="E532" i="2"/>
  <c r="L531" i="2"/>
  <c r="K531" i="2"/>
  <c r="J531" i="2"/>
  <c r="I531" i="2"/>
  <c r="H531" i="2"/>
  <c r="G531" i="2"/>
  <c r="F531" i="2"/>
  <c r="E531" i="2"/>
  <c r="L530" i="2"/>
  <c r="K530" i="2"/>
  <c r="J530" i="2"/>
  <c r="I530" i="2"/>
  <c r="H530" i="2"/>
  <c r="G530" i="2"/>
  <c r="F530" i="2"/>
  <c r="E530" i="2"/>
  <c r="L529" i="2"/>
  <c r="K529" i="2"/>
  <c r="J529" i="2"/>
  <c r="I529" i="2"/>
  <c r="H529" i="2"/>
  <c r="G529" i="2"/>
  <c r="F529" i="2"/>
  <c r="E529" i="2"/>
  <c r="L528" i="2"/>
  <c r="K528" i="2"/>
  <c r="J528" i="2"/>
  <c r="I528" i="2"/>
  <c r="H528" i="2"/>
  <c r="G528" i="2"/>
  <c r="F528" i="2"/>
  <c r="E528" i="2"/>
  <c r="L527" i="2"/>
  <c r="K527" i="2"/>
  <c r="J527" i="2"/>
  <c r="I527" i="2"/>
  <c r="H527" i="2"/>
  <c r="G527" i="2"/>
  <c r="F527" i="2"/>
  <c r="E527" i="2"/>
  <c r="L526" i="2"/>
  <c r="K526" i="2"/>
  <c r="J526" i="2"/>
  <c r="I526" i="2"/>
  <c r="H526" i="2"/>
  <c r="G526" i="2"/>
  <c r="F526" i="2"/>
  <c r="E526" i="2"/>
  <c r="L525" i="2"/>
  <c r="K525" i="2"/>
  <c r="J525" i="2"/>
  <c r="I525" i="2"/>
  <c r="H525" i="2"/>
  <c r="G525" i="2"/>
  <c r="F525" i="2"/>
  <c r="E525" i="2"/>
  <c r="L524" i="2"/>
  <c r="K524" i="2"/>
  <c r="J524" i="2"/>
  <c r="I524" i="2"/>
  <c r="H524" i="2"/>
  <c r="G524" i="2"/>
  <c r="F524" i="2"/>
  <c r="E524" i="2"/>
  <c r="L523" i="2"/>
  <c r="K523" i="2"/>
  <c r="J523" i="2"/>
  <c r="I523" i="2"/>
  <c r="H523" i="2"/>
  <c r="G523" i="2"/>
  <c r="F523" i="2"/>
  <c r="E523" i="2"/>
  <c r="L522" i="2"/>
  <c r="K522" i="2"/>
  <c r="J522" i="2"/>
  <c r="I522" i="2"/>
  <c r="H522" i="2"/>
  <c r="G522" i="2"/>
  <c r="F522" i="2"/>
  <c r="E522" i="2"/>
  <c r="L521" i="2"/>
  <c r="K521" i="2"/>
  <c r="J521" i="2"/>
  <c r="I521" i="2"/>
  <c r="H521" i="2"/>
  <c r="G521" i="2"/>
  <c r="F521" i="2"/>
  <c r="E521" i="2"/>
  <c r="L520" i="2"/>
  <c r="K520" i="2"/>
  <c r="J520" i="2"/>
  <c r="I520" i="2"/>
  <c r="H520" i="2"/>
  <c r="G520" i="2"/>
  <c r="F520" i="2"/>
  <c r="E520" i="2"/>
  <c r="L519" i="2"/>
  <c r="L517" i="2" s="1"/>
  <c r="K519" i="2"/>
  <c r="J519" i="2"/>
  <c r="I519" i="2"/>
  <c r="H519" i="2"/>
  <c r="G519" i="2"/>
  <c r="F519" i="2"/>
  <c r="E519" i="2"/>
  <c r="L518" i="2"/>
  <c r="K518" i="2"/>
  <c r="J518" i="2"/>
  <c r="I518" i="2"/>
  <c r="H518" i="2"/>
  <c r="G518" i="2"/>
  <c r="F518" i="2"/>
  <c r="E518" i="2"/>
  <c r="P517" i="2"/>
  <c r="O517" i="2"/>
  <c r="N517" i="2"/>
  <c r="M517" i="2"/>
  <c r="L516" i="2"/>
  <c r="K516" i="2"/>
  <c r="J516" i="2"/>
  <c r="I516" i="2"/>
  <c r="H516" i="2"/>
  <c r="G516" i="2"/>
  <c r="F516" i="2"/>
  <c r="E516" i="2"/>
  <c r="L515" i="2"/>
  <c r="K515" i="2"/>
  <c r="J515" i="2"/>
  <c r="I515" i="2"/>
  <c r="H515" i="2"/>
  <c r="G515" i="2"/>
  <c r="F515" i="2"/>
  <c r="E515" i="2"/>
  <c r="L514" i="2"/>
  <c r="K514" i="2"/>
  <c r="J514" i="2"/>
  <c r="I514" i="2"/>
  <c r="H514" i="2"/>
  <c r="G514" i="2"/>
  <c r="F514" i="2"/>
  <c r="E514" i="2"/>
  <c r="L513" i="2"/>
  <c r="K513" i="2"/>
  <c r="J513" i="2"/>
  <c r="I513" i="2"/>
  <c r="H513" i="2"/>
  <c r="G513" i="2"/>
  <c r="F513" i="2"/>
  <c r="E513" i="2"/>
  <c r="L512" i="2"/>
  <c r="K512" i="2"/>
  <c r="J512" i="2"/>
  <c r="I512" i="2"/>
  <c r="H512" i="2"/>
  <c r="G512" i="2"/>
  <c r="F512" i="2"/>
  <c r="E512" i="2"/>
  <c r="L511" i="2"/>
  <c r="K511" i="2"/>
  <c r="J511" i="2"/>
  <c r="I511" i="2"/>
  <c r="H511" i="2"/>
  <c r="G511" i="2"/>
  <c r="F511" i="2"/>
  <c r="E511" i="2"/>
  <c r="L510" i="2"/>
  <c r="K510" i="2"/>
  <c r="J510" i="2"/>
  <c r="I510" i="2"/>
  <c r="H510" i="2"/>
  <c r="G510" i="2"/>
  <c r="F510" i="2"/>
  <c r="E510" i="2"/>
  <c r="L509" i="2"/>
  <c r="K509" i="2"/>
  <c r="J509" i="2"/>
  <c r="I509" i="2"/>
  <c r="H509" i="2"/>
  <c r="G509" i="2"/>
  <c r="F509" i="2"/>
  <c r="E509" i="2"/>
  <c r="L508" i="2"/>
  <c r="K508" i="2"/>
  <c r="J508" i="2"/>
  <c r="I508" i="2"/>
  <c r="H508" i="2"/>
  <c r="G508" i="2"/>
  <c r="F508" i="2"/>
  <c r="E508" i="2"/>
  <c r="L507" i="2"/>
  <c r="K507" i="2"/>
  <c r="J507" i="2"/>
  <c r="I507" i="2"/>
  <c r="H507" i="2"/>
  <c r="G507" i="2"/>
  <c r="F507" i="2"/>
  <c r="E507" i="2"/>
  <c r="L506" i="2"/>
  <c r="K506" i="2"/>
  <c r="J506" i="2"/>
  <c r="I506" i="2"/>
  <c r="H506" i="2"/>
  <c r="G506" i="2"/>
  <c r="F506" i="2"/>
  <c r="E506" i="2"/>
  <c r="L505" i="2"/>
  <c r="K505" i="2"/>
  <c r="J505" i="2"/>
  <c r="I505" i="2"/>
  <c r="H505" i="2"/>
  <c r="G505" i="2"/>
  <c r="F505" i="2"/>
  <c r="E505" i="2"/>
  <c r="L504" i="2"/>
  <c r="K504" i="2"/>
  <c r="J504" i="2"/>
  <c r="I504" i="2"/>
  <c r="H504" i="2"/>
  <c r="G504" i="2"/>
  <c r="F504" i="2"/>
  <c r="E504" i="2"/>
  <c r="L503" i="2"/>
  <c r="K503" i="2"/>
  <c r="J503" i="2"/>
  <c r="I503" i="2"/>
  <c r="H503" i="2"/>
  <c r="G503" i="2"/>
  <c r="F503" i="2"/>
  <c r="E503" i="2"/>
  <c r="L502" i="2"/>
  <c r="K502" i="2"/>
  <c r="J502" i="2"/>
  <c r="I502" i="2"/>
  <c r="I500" i="2" s="1"/>
  <c r="H502" i="2"/>
  <c r="G502" i="2"/>
  <c r="F502" i="2"/>
  <c r="E502" i="2"/>
  <c r="L501" i="2"/>
  <c r="K501" i="2"/>
  <c r="J501" i="2"/>
  <c r="I501" i="2"/>
  <c r="H501" i="2"/>
  <c r="G501" i="2"/>
  <c r="F501" i="2"/>
  <c r="E501" i="2"/>
  <c r="P500" i="2"/>
  <c r="O500" i="2"/>
  <c r="N500" i="2"/>
  <c r="M500" i="2"/>
  <c r="L499" i="2"/>
  <c r="K499" i="2"/>
  <c r="J499" i="2"/>
  <c r="I499" i="2"/>
  <c r="H499" i="2"/>
  <c r="G499" i="2"/>
  <c r="F499" i="2"/>
  <c r="E499" i="2"/>
  <c r="L498" i="2"/>
  <c r="K498" i="2"/>
  <c r="J498" i="2"/>
  <c r="I498" i="2"/>
  <c r="H498" i="2"/>
  <c r="G498" i="2"/>
  <c r="F498" i="2"/>
  <c r="E498" i="2"/>
  <c r="L497" i="2"/>
  <c r="K497" i="2"/>
  <c r="J497" i="2"/>
  <c r="I497" i="2"/>
  <c r="H497" i="2"/>
  <c r="G497" i="2"/>
  <c r="F497" i="2"/>
  <c r="E497" i="2"/>
  <c r="L496" i="2"/>
  <c r="K496" i="2"/>
  <c r="J496" i="2"/>
  <c r="I496" i="2"/>
  <c r="H496" i="2"/>
  <c r="G496" i="2"/>
  <c r="F496" i="2"/>
  <c r="E496" i="2"/>
  <c r="L495" i="2"/>
  <c r="K495" i="2"/>
  <c r="J495" i="2"/>
  <c r="I495" i="2"/>
  <c r="H495" i="2"/>
  <c r="G495" i="2"/>
  <c r="F495" i="2"/>
  <c r="E495" i="2"/>
  <c r="L494" i="2"/>
  <c r="K494" i="2"/>
  <c r="J494" i="2"/>
  <c r="I494" i="2"/>
  <c r="H494" i="2"/>
  <c r="G494" i="2"/>
  <c r="F494" i="2"/>
  <c r="E494" i="2"/>
  <c r="L493" i="2"/>
  <c r="K493" i="2"/>
  <c r="J493" i="2"/>
  <c r="I493" i="2"/>
  <c r="H493" i="2"/>
  <c r="G493" i="2"/>
  <c r="F493" i="2"/>
  <c r="E493" i="2"/>
  <c r="L492" i="2"/>
  <c r="K492" i="2"/>
  <c r="J492" i="2"/>
  <c r="I492" i="2"/>
  <c r="H492" i="2"/>
  <c r="G492" i="2"/>
  <c r="F492" i="2"/>
  <c r="E492" i="2"/>
  <c r="L491" i="2"/>
  <c r="K491" i="2"/>
  <c r="J491" i="2"/>
  <c r="I491" i="2"/>
  <c r="H491" i="2"/>
  <c r="G491" i="2"/>
  <c r="F491" i="2"/>
  <c r="E491" i="2"/>
  <c r="L490" i="2"/>
  <c r="K490" i="2"/>
  <c r="J490" i="2"/>
  <c r="I490" i="2"/>
  <c r="H490" i="2"/>
  <c r="G490" i="2"/>
  <c r="F490" i="2"/>
  <c r="E490" i="2"/>
  <c r="L489" i="2"/>
  <c r="K489" i="2"/>
  <c r="J489" i="2"/>
  <c r="I489" i="2"/>
  <c r="H489" i="2"/>
  <c r="G489" i="2"/>
  <c r="F489" i="2"/>
  <c r="E489" i="2"/>
  <c r="L488" i="2"/>
  <c r="K488" i="2"/>
  <c r="J488" i="2"/>
  <c r="I488" i="2"/>
  <c r="H488" i="2"/>
  <c r="G488" i="2"/>
  <c r="F488" i="2"/>
  <c r="E488" i="2"/>
  <c r="L487" i="2"/>
  <c r="K487" i="2"/>
  <c r="J487" i="2"/>
  <c r="I487" i="2"/>
  <c r="H487" i="2"/>
  <c r="G487" i="2"/>
  <c r="F487" i="2"/>
  <c r="E487" i="2"/>
  <c r="L486" i="2"/>
  <c r="K486" i="2"/>
  <c r="J486" i="2"/>
  <c r="I486" i="2"/>
  <c r="H486" i="2"/>
  <c r="G486" i="2"/>
  <c r="F486" i="2"/>
  <c r="E486" i="2"/>
  <c r="L485" i="2"/>
  <c r="K485" i="2"/>
  <c r="J485" i="2"/>
  <c r="I485" i="2"/>
  <c r="H485" i="2"/>
  <c r="G485" i="2"/>
  <c r="F485" i="2"/>
  <c r="F483" i="2" s="1"/>
  <c r="E485" i="2"/>
  <c r="L484" i="2"/>
  <c r="K484" i="2"/>
  <c r="J484" i="2"/>
  <c r="I484" i="2"/>
  <c r="H484" i="2"/>
  <c r="G484" i="2"/>
  <c r="F484" i="2"/>
  <c r="E484" i="2"/>
  <c r="P483" i="2"/>
  <c r="O483" i="2"/>
  <c r="N483" i="2"/>
  <c r="M483" i="2"/>
  <c r="L482" i="2"/>
  <c r="K482" i="2"/>
  <c r="J482" i="2"/>
  <c r="I482" i="2"/>
  <c r="H482" i="2"/>
  <c r="G482" i="2"/>
  <c r="F482" i="2"/>
  <c r="E482" i="2"/>
  <c r="L481" i="2"/>
  <c r="K481" i="2"/>
  <c r="J481" i="2"/>
  <c r="I481" i="2"/>
  <c r="H481" i="2"/>
  <c r="G481" i="2"/>
  <c r="F481" i="2"/>
  <c r="E481" i="2"/>
  <c r="L480" i="2"/>
  <c r="K480" i="2"/>
  <c r="J480" i="2"/>
  <c r="I480" i="2"/>
  <c r="H480" i="2"/>
  <c r="G480" i="2"/>
  <c r="F480" i="2"/>
  <c r="E480" i="2"/>
  <c r="L479" i="2"/>
  <c r="K479" i="2"/>
  <c r="J479" i="2"/>
  <c r="I479" i="2"/>
  <c r="H479" i="2"/>
  <c r="G479" i="2"/>
  <c r="F479" i="2"/>
  <c r="E479" i="2"/>
  <c r="L478" i="2"/>
  <c r="K478" i="2"/>
  <c r="J478" i="2"/>
  <c r="I478" i="2"/>
  <c r="H478" i="2"/>
  <c r="G478" i="2"/>
  <c r="F478" i="2"/>
  <c r="E478" i="2"/>
  <c r="L477" i="2"/>
  <c r="K477" i="2"/>
  <c r="J477" i="2"/>
  <c r="I477" i="2"/>
  <c r="H477" i="2"/>
  <c r="G477" i="2"/>
  <c r="F477" i="2"/>
  <c r="E477" i="2"/>
  <c r="L476" i="2"/>
  <c r="K476" i="2"/>
  <c r="J476" i="2"/>
  <c r="I476" i="2"/>
  <c r="H476" i="2"/>
  <c r="G476" i="2"/>
  <c r="F476" i="2"/>
  <c r="E476" i="2"/>
  <c r="L475" i="2"/>
  <c r="K475" i="2"/>
  <c r="J475" i="2"/>
  <c r="I475" i="2"/>
  <c r="H475" i="2"/>
  <c r="G475" i="2"/>
  <c r="F475" i="2"/>
  <c r="E475" i="2"/>
  <c r="L474" i="2"/>
  <c r="K474" i="2"/>
  <c r="J474" i="2"/>
  <c r="I474" i="2"/>
  <c r="H474" i="2"/>
  <c r="G474" i="2"/>
  <c r="F474" i="2"/>
  <c r="E474" i="2"/>
  <c r="L473" i="2"/>
  <c r="K473" i="2"/>
  <c r="J473" i="2"/>
  <c r="I473" i="2"/>
  <c r="H473" i="2"/>
  <c r="G473" i="2"/>
  <c r="F473" i="2"/>
  <c r="E473" i="2"/>
  <c r="L472" i="2"/>
  <c r="K472" i="2"/>
  <c r="J472" i="2"/>
  <c r="I472" i="2"/>
  <c r="H472" i="2"/>
  <c r="G472" i="2"/>
  <c r="F472" i="2"/>
  <c r="E472" i="2"/>
  <c r="L471" i="2"/>
  <c r="K471" i="2"/>
  <c r="J471" i="2"/>
  <c r="I471" i="2"/>
  <c r="H471" i="2"/>
  <c r="G471" i="2"/>
  <c r="F471" i="2"/>
  <c r="E471" i="2"/>
  <c r="L470" i="2"/>
  <c r="K470" i="2"/>
  <c r="J470" i="2"/>
  <c r="I470" i="2"/>
  <c r="H470" i="2"/>
  <c r="G470" i="2"/>
  <c r="F470" i="2"/>
  <c r="E470" i="2"/>
  <c r="L469" i="2"/>
  <c r="K469" i="2"/>
  <c r="J469" i="2"/>
  <c r="I469" i="2"/>
  <c r="H469" i="2"/>
  <c r="G469" i="2"/>
  <c r="F469" i="2"/>
  <c r="E469" i="2"/>
  <c r="L468" i="2"/>
  <c r="K468" i="2"/>
  <c r="K466" i="2" s="1"/>
  <c r="J468" i="2"/>
  <c r="I468" i="2"/>
  <c r="H468" i="2"/>
  <c r="G468" i="2"/>
  <c r="F468" i="2"/>
  <c r="E468" i="2"/>
  <c r="L467" i="2"/>
  <c r="K467" i="2"/>
  <c r="J467" i="2"/>
  <c r="I467" i="2"/>
  <c r="H467" i="2"/>
  <c r="G467" i="2"/>
  <c r="F467" i="2"/>
  <c r="E467" i="2"/>
  <c r="P466" i="2"/>
  <c r="O466" i="2"/>
  <c r="N466" i="2"/>
  <c r="M466" i="2"/>
  <c r="L465" i="2"/>
  <c r="K465" i="2"/>
  <c r="J465" i="2"/>
  <c r="I465" i="2"/>
  <c r="H465" i="2"/>
  <c r="G465" i="2"/>
  <c r="F465" i="2"/>
  <c r="E465" i="2"/>
  <c r="L464" i="2"/>
  <c r="K464" i="2"/>
  <c r="J464" i="2"/>
  <c r="I464" i="2"/>
  <c r="H464" i="2"/>
  <c r="G464" i="2"/>
  <c r="F464" i="2"/>
  <c r="E464" i="2"/>
  <c r="L463" i="2"/>
  <c r="K463" i="2"/>
  <c r="J463" i="2"/>
  <c r="I463" i="2"/>
  <c r="H463" i="2"/>
  <c r="G463" i="2"/>
  <c r="F463" i="2"/>
  <c r="E463" i="2"/>
  <c r="L462" i="2"/>
  <c r="K462" i="2"/>
  <c r="J462" i="2"/>
  <c r="I462" i="2"/>
  <c r="H462" i="2"/>
  <c r="G462" i="2"/>
  <c r="F462" i="2"/>
  <c r="E462" i="2"/>
  <c r="L461" i="2"/>
  <c r="K461" i="2"/>
  <c r="J461" i="2"/>
  <c r="I461" i="2"/>
  <c r="H461" i="2"/>
  <c r="G461" i="2"/>
  <c r="F461" i="2"/>
  <c r="E461" i="2"/>
  <c r="L460" i="2"/>
  <c r="K460" i="2"/>
  <c r="J460" i="2"/>
  <c r="I460" i="2"/>
  <c r="H460" i="2"/>
  <c r="G460" i="2"/>
  <c r="F460" i="2"/>
  <c r="E460" i="2"/>
  <c r="L459" i="2"/>
  <c r="K459" i="2"/>
  <c r="J459" i="2"/>
  <c r="I459" i="2"/>
  <c r="H459" i="2"/>
  <c r="G459" i="2"/>
  <c r="F459" i="2"/>
  <c r="E459" i="2"/>
  <c r="L458" i="2"/>
  <c r="K458" i="2"/>
  <c r="J458" i="2"/>
  <c r="I458" i="2"/>
  <c r="H458" i="2"/>
  <c r="G458" i="2"/>
  <c r="F458" i="2"/>
  <c r="E458" i="2"/>
  <c r="L457" i="2"/>
  <c r="K457" i="2"/>
  <c r="J457" i="2"/>
  <c r="I457" i="2"/>
  <c r="H457" i="2"/>
  <c r="G457" i="2"/>
  <c r="F457" i="2"/>
  <c r="E457" i="2"/>
  <c r="L456" i="2"/>
  <c r="K456" i="2"/>
  <c r="J456" i="2"/>
  <c r="I456" i="2"/>
  <c r="H456" i="2"/>
  <c r="G456" i="2"/>
  <c r="F456" i="2"/>
  <c r="E456" i="2"/>
  <c r="L455" i="2"/>
  <c r="K455" i="2"/>
  <c r="J455" i="2"/>
  <c r="I455" i="2"/>
  <c r="H455" i="2"/>
  <c r="G455" i="2"/>
  <c r="F455" i="2"/>
  <c r="E455" i="2"/>
  <c r="L454" i="2"/>
  <c r="K454" i="2"/>
  <c r="J454" i="2"/>
  <c r="I454" i="2"/>
  <c r="H454" i="2"/>
  <c r="G454" i="2"/>
  <c r="F454" i="2"/>
  <c r="E454" i="2"/>
  <c r="L453" i="2"/>
  <c r="K453" i="2"/>
  <c r="J453" i="2"/>
  <c r="I453" i="2"/>
  <c r="H453" i="2"/>
  <c r="G453" i="2"/>
  <c r="F453" i="2"/>
  <c r="E453" i="2"/>
  <c r="L452" i="2"/>
  <c r="K452" i="2"/>
  <c r="J452" i="2"/>
  <c r="I452" i="2"/>
  <c r="H452" i="2"/>
  <c r="G452" i="2"/>
  <c r="F452" i="2"/>
  <c r="E452" i="2"/>
  <c r="L451" i="2"/>
  <c r="K451" i="2"/>
  <c r="J451" i="2"/>
  <c r="I451" i="2"/>
  <c r="H451" i="2"/>
  <c r="G451" i="2"/>
  <c r="F451" i="2"/>
  <c r="E451" i="2"/>
  <c r="L450" i="2"/>
  <c r="K450" i="2"/>
  <c r="J450" i="2"/>
  <c r="I450" i="2"/>
  <c r="H450" i="2"/>
  <c r="G450" i="2"/>
  <c r="F450" i="2"/>
  <c r="E450" i="2"/>
  <c r="P449" i="2"/>
  <c r="O449" i="2"/>
  <c r="N449" i="2"/>
  <c r="M449" i="2"/>
  <c r="L448" i="2"/>
  <c r="K448" i="2"/>
  <c r="J448" i="2"/>
  <c r="I448" i="2"/>
  <c r="H448" i="2"/>
  <c r="G448" i="2"/>
  <c r="F448" i="2"/>
  <c r="E448" i="2"/>
  <c r="L447" i="2"/>
  <c r="K447" i="2"/>
  <c r="J447" i="2"/>
  <c r="I447" i="2"/>
  <c r="H447" i="2"/>
  <c r="G447" i="2"/>
  <c r="F447" i="2"/>
  <c r="E447" i="2"/>
  <c r="L446" i="2"/>
  <c r="K446" i="2"/>
  <c r="J446" i="2"/>
  <c r="I446" i="2"/>
  <c r="H446" i="2"/>
  <c r="G446" i="2"/>
  <c r="F446" i="2"/>
  <c r="E446" i="2"/>
  <c r="L445" i="2"/>
  <c r="K445" i="2"/>
  <c r="J445" i="2"/>
  <c r="I445" i="2"/>
  <c r="H445" i="2"/>
  <c r="G445" i="2"/>
  <c r="F445" i="2"/>
  <c r="E445" i="2"/>
  <c r="L444" i="2"/>
  <c r="K444" i="2"/>
  <c r="J444" i="2"/>
  <c r="I444" i="2"/>
  <c r="H444" i="2"/>
  <c r="G444" i="2"/>
  <c r="F444" i="2"/>
  <c r="E444" i="2"/>
  <c r="L443" i="2"/>
  <c r="K443" i="2"/>
  <c r="J443" i="2"/>
  <c r="I443" i="2"/>
  <c r="H443" i="2"/>
  <c r="G443" i="2"/>
  <c r="F443" i="2"/>
  <c r="E443" i="2"/>
  <c r="L442" i="2"/>
  <c r="K442" i="2"/>
  <c r="J442" i="2"/>
  <c r="I442" i="2"/>
  <c r="H442" i="2"/>
  <c r="G442" i="2"/>
  <c r="F442" i="2"/>
  <c r="E442" i="2"/>
  <c r="L441" i="2"/>
  <c r="K441" i="2"/>
  <c r="J441" i="2"/>
  <c r="I441" i="2"/>
  <c r="H441" i="2"/>
  <c r="G441" i="2"/>
  <c r="F441" i="2"/>
  <c r="E441" i="2"/>
  <c r="L440" i="2"/>
  <c r="K440" i="2"/>
  <c r="J440" i="2"/>
  <c r="I440" i="2"/>
  <c r="H440" i="2"/>
  <c r="G440" i="2"/>
  <c r="F440" i="2"/>
  <c r="E440" i="2"/>
  <c r="L439" i="2"/>
  <c r="K439" i="2"/>
  <c r="J439" i="2"/>
  <c r="I439" i="2"/>
  <c r="H439" i="2"/>
  <c r="G439" i="2"/>
  <c r="F439" i="2"/>
  <c r="E439" i="2"/>
  <c r="L438" i="2"/>
  <c r="K438" i="2"/>
  <c r="J438" i="2"/>
  <c r="I438" i="2"/>
  <c r="H438" i="2"/>
  <c r="G438" i="2"/>
  <c r="F438" i="2"/>
  <c r="E438" i="2"/>
  <c r="L437" i="2"/>
  <c r="K437" i="2"/>
  <c r="J437" i="2"/>
  <c r="I437" i="2"/>
  <c r="H437" i="2"/>
  <c r="G437" i="2"/>
  <c r="F437" i="2"/>
  <c r="E437" i="2"/>
  <c r="L436" i="2"/>
  <c r="K436" i="2"/>
  <c r="J436" i="2"/>
  <c r="I436" i="2"/>
  <c r="H436" i="2"/>
  <c r="G436" i="2"/>
  <c r="F436" i="2"/>
  <c r="E436" i="2"/>
  <c r="L435" i="2"/>
  <c r="K435" i="2"/>
  <c r="J435" i="2"/>
  <c r="I435" i="2"/>
  <c r="H435" i="2"/>
  <c r="G435" i="2"/>
  <c r="F435" i="2"/>
  <c r="E435" i="2"/>
  <c r="L434" i="2"/>
  <c r="K434" i="2"/>
  <c r="J434" i="2"/>
  <c r="I434" i="2"/>
  <c r="H434" i="2"/>
  <c r="G434" i="2"/>
  <c r="F434" i="2"/>
  <c r="E434" i="2"/>
  <c r="E432" i="2" s="1"/>
  <c r="L433" i="2"/>
  <c r="K433" i="2"/>
  <c r="J433" i="2"/>
  <c r="I433" i="2"/>
  <c r="H433" i="2"/>
  <c r="G433" i="2"/>
  <c r="F433" i="2"/>
  <c r="E433" i="2"/>
  <c r="P432" i="2"/>
  <c r="O432" i="2"/>
  <c r="N432" i="2"/>
  <c r="M432" i="2"/>
  <c r="L431" i="2"/>
  <c r="K431" i="2"/>
  <c r="J431" i="2"/>
  <c r="I431" i="2"/>
  <c r="H431" i="2"/>
  <c r="G431" i="2"/>
  <c r="F431" i="2"/>
  <c r="E431" i="2"/>
  <c r="L430" i="2"/>
  <c r="K430" i="2"/>
  <c r="J430" i="2"/>
  <c r="I430" i="2"/>
  <c r="H430" i="2"/>
  <c r="G430" i="2"/>
  <c r="F430" i="2"/>
  <c r="E430" i="2"/>
  <c r="L429" i="2"/>
  <c r="K429" i="2"/>
  <c r="J429" i="2"/>
  <c r="I429" i="2"/>
  <c r="H429" i="2"/>
  <c r="G429" i="2"/>
  <c r="F429" i="2"/>
  <c r="E429" i="2"/>
  <c r="L428" i="2"/>
  <c r="K428" i="2"/>
  <c r="J428" i="2"/>
  <c r="I428" i="2"/>
  <c r="H428" i="2"/>
  <c r="G428" i="2"/>
  <c r="F428" i="2"/>
  <c r="E428" i="2"/>
  <c r="L427" i="2"/>
  <c r="K427" i="2"/>
  <c r="J427" i="2"/>
  <c r="I427" i="2"/>
  <c r="H427" i="2"/>
  <c r="G427" i="2"/>
  <c r="F427" i="2"/>
  <c r="E427" i="2"/>
  <c r="L426" i="2"/>
  <c r="K426" i="2"/>
  <c r="J426" i="2"/>
  <c r="I426" i="2"/>
  <c r="H426" i="2"/>
  <c r="G426" i="2"/>
  <c r="F426" i="2"/>
  <c r="E426" i="2"/>
  <c r="L425" i="2"/>
  <c r="K425" i="2"/>
  <c r="J425" i="2"/>
  <c r="I425" i="2"/>
  <c r="H425" i="2"/>
  <c r="G425" i="2"/>
  <c r="F425" i="2"/>
  <c r="E425" i="2"/>
  <c r="L424" i="2"/>
  <c r="K424" i="2"/>
  <c r="J424" i="2"/>
  <c r="I424" i="2"/>
  <c r="H424" i="2"/>
  <c r="G424" i="2"/>
  <c r="F424" i="2"/>
  <c r="E424" i="2"/>
  <c r="L423" i="2"/>
  <c r="K423" i="2"/>
  <c r="J423" i="2"/>
  <c r="I423" i="2"/>
  <c r="H423" i="2"/>
  <c r="G423" i="2"/>
  <c r="F423" i="2"/>
  <c r="E423" i="2"/>
  <c r="L422" i="2"/>
  <c r="K422" i="2"/>
  <c r="J422" i="2"/>
  <c r="I422" i="2"/>
  <c r="H422" i="2"/>
  <c r="G422" i="2"/>
  <c r="F422" i="2"/>
  <c r="E422" i="2"/>
  <c r="L421" i="2"/>
  <c r="K421" i="2"/>
  <c r="J421" i="2"/>
  <c r="I421" i="2"/>
  <c r="H421" i="2"/>
  <c r="G421" i="2"/>
  <c r="F421" i="2"/>
  <c r="E421" i="2"/>
  <c r="L420" i="2"/>
  <c r="K420" i="2"/>
  <c r="J420" i="2"/>
  <c r="I420" i="2"/>
  <c r="H420" i="2"/>
  <c r="G420" i="2"/>
  <c r="F420" i="2"/>
  <c r="E420" i="2"/>
  <c r="L419" i="2"/>
  <c r="K419" i="2"/>
  <c r="J419" i="2"/>
  <c r="I419" i="2"/>
  <c r="H419" i="2"/>
  <c r="G419" i="2"/>
  <c r="F419" i="2"/>
  <c r="E419" i="2"/>
  <c r="L418" i="2"/>
  <c r="K418" i="2"/>
  <c r="J418" i="2"/>
  <c r="I418" i="2"/>
  <c r="H418" i="2"/>
  <c r="G418" i="2"/>
  <c r="F418" i="2"/>
  <c r="E418" i="2"/>
  <c r="L417" i="2"/>
  <c r="L415" i="2" s="1"/>
  <c r="K417" i="2"/>
  <c r="J417" i="2"/>
  <c r="J415" i="2" s="1"/>
  <c r="I417" i="2"/>
  <c r="H417" i="2"/>
  <c r="G417" i="2"/>
  <c r="F417" i="2"/>
  <c r="F415" i="2" s="1"/>
  <c r="E417" i="2"/>
  <c r="L416" i="2"/>
  <c r="K416" i="2"/>
  <c r="J416" i="2"/>
  <c r="I416" i="2"/>
  <c r="H416" i="2"/>
  <c r="G416" i="2"/>
  <c r="F416" i="2"/>
  <c r="E416" i="2"/>
  <c r="P415" i="2"/>
  <c r="O415" i="2"/>
  <c r="N415" i="2"/>
  <c r="M415" i="2"/>
  <c r="L414" i="2"/>
  <c r="K414" i="2"/>
  <c r="J414" i="2"/>
  <c r="I414" i="2"/>
  <c r="H414" i="2"/>
  <c r="G414" i="2"/>
  <c r="F414" i="2"/>
  <c r="E414" i="2"/>
  <c r="L413" i="2"/>
  <c r="K413" i="2"/>
  <c r="J413" i="2"/>
  <c r="I413" i="2"/>
  <c r="H413" i="2"/>
  <c r="G413" i="2"/>
  <c r="F413" i="2"/>
  <c r="E413" i="2"/>
  <c r="L412" i="2"/>
  <c r="K412" i="2"/>
  <c r="J412" i="2"/>
  <c r="I412" i="2"/>
  <c r="H412" i="2"/>
  <c r="G412" i="2"/>
  <c r="F412" i="2"/>
  <c r="E412" i="2"/>
  <c r="L411" i="2"/>
  <c r="K411" i="2"/>
  <c r="J411" i="2"/>
  <c r="I411" i="2"/>
  <c r="H411" i="2"/>
  <c r="G411" i="2"/>
  <c r="F411" i="2"/>
  <c r="E411" i="2"/>
  <c r="L410" i="2"/>
  <c r="K410" i="2"/>
  <c r="J410" i="2"/>
  <c r="I410" i="2"/>
  <c r="H410" i="2"/>
  <c r="G410" i="2"/>
  <c r="F410" i="2"/>
  <c r="E410" i="2"/>
  <c r="L409" i="2"/>
  <c r="K409" i="2"/>
  <c r="J409" i="2"/>
  <c r="I409" i="2"/>
  <c r="H409" i="2"/>
  <c r="G409" i="2"/>
  <c r="F409" i="2"/>
  <c r="E409" i="2"/>
  <c r="L408" i="2"/>
  <c r="K408" i="2"/>
  <c r="J408" i="2"/>
  <c r="I408" i="2"/>
  <c r="H408" i="2"/>
  <c r="G408" i="2"/>
  <c r="F408" i="2"/>
  <c r="E408" i="2"/>
  <c r="L407" i="2"/>
  <c r="K407" i="2"/>
  <c r="J407" i="2"/>
  <c r="I407" i="2"/>
  <c r="H407" i="2"/>
  <c r="G407" i="2"/>
  <c r="F407" i="2"/>
  <c r="E407" i="2"/>
  <c r="L406" i="2"/>
  <c r="K406" i="2"/>
  <c r="J406" i="2"/>
  <c r="I406" i="2"/>
  <c r="H406" i="2"/>
  <c r="G406" i="2"/>
  <c r="F406" i="2"/>
  <c r="E406" i="2"/>
  <c r="L405" i="2"/>
  <c r="K405" i="2"/>
  <c r="J405" i="2"/>
  <c r="I405" i="2"/>
  <c r="H405" i="2"/>
  <c r="G405" i="2"/>
  <c r="F405" i="2"/>
  <c r="E405" i="2"/>
  <c r="L404" i="2"/>
  <c r="K404" i="2"/>
  <c r="J404" i="2"/>
  <c r="I404" i="2"/>
  <c r="H404" i="2"/>
  <c r="G404" i="2"/>
  <c r="F404" i="2"/>
  <c r="E404" i="2"/>
  <c r="L403" i="2"/>
  <c r="K403" i="2"/>
  <c r="J403" i="2"/>
  <c r="I403" i="2"/>
  <c r="H403" i="2"/>
  <c r="G403" i="2"/>
  <c r="F403" i="2"/>
  <c r="E403" i="2"/>
  <c r="L402" i="2"/>
  <c r="K402" i="2"/>
  <c r="J402" i="2"/>
  <c r="I402" i="2"/>
  <c r="H402" i="2"/>
  <c r="G402" i="2"/>
  <c r="F402" i="2"/>
  <c r="E402" i="2"/>
  <c r="L401" i="2"/>
  <c r="K401" i="2"/>
  <c r="J401" i="2"/>
  <c r="I401" i="2"/>
  <c r="H401" i="2"/>
  <c r="G401" i="2"/>
  <c r="F401" i="2"/>
  <c r="E401" i="2"/>
  <c r="L400" i="2"/>
  <c r="K400" i="2"/>
  <c r="J400" i="2"/>
  <c r="I400" i="2"/>
  <c r="H400" i="2"/>
  <c r="G400" i="2"/>
  <c r="G398" i="2" s="1"/>
  <c r="F400" i="2"/>
  <c r="E400" i="2"/>
  <c r="L399" i="2"/>
  <c r="K399" i="2"/>
  <c r="J399" i="2"/>
  <c r="I399" i="2"/>
  <c r="H399" i="2"/>
  <c r="G399" i="2"/>
  <c r="F399" i="2"/>
  <c r="E399" i="2"/>
  <c r="P398" i="2"/>
  <c r="O398" i="2"/>
  <c r="N398" i="2"/>
  <c r="M398" i="2"/>
  <c r="L397" i="2"/>
  <c r="K397" i="2"/>
  <c r="J397" i="2"/>
  <c r="I397" i="2"/>
  <c r="H397" i="2"/>
  <c r="G397" i="2"/>
  <c r="F397" i="2"/>
  <c r="E397" i="2"/>
  <c r="L396" i="2"/>
  <c r="K396" i="2"/>
  <c r="J396" i="2"/>
  <c r="I396" i="2"/>
  <c r="H396" i="2"/>
  <c r="G396" i="2"/>
  <c r="F396" i="2"/>
  <c r="E396" i="2"/>
  <c r="L395" i="2"/>
  <c r="K395" i="2"/>
  <c r="J395" i="2"/>
  <c r="I395" i="2"/>
  <c r="H395" i="2"/>
  <c r="G395" i="2"/>
  <c r="F395" i="2"/>
  <c r="E395" i="2"/>
  <c r="L394" i="2"/>
  <c r="K394" i="2"/>
  <c r="J394" i="2"/>
  <c r="I394" i="2"/>
  <c r="H394" i="2"/>
  <c r="G394" i="2"/>
  <c r="F394" i="2"/>
  <c r="E394" i="2"/>
  <c r="L393" i="2"/>
  <c r="K393" i="2"/>
  <c r="J393" i="2"/>
  <c r="I393" i="2"/>
  <c r="H393" i="2"/>
  <c r="G393" i="2"/>
  <c r="F393" i="2"/>
  <c r="E393" i="2"/>
  <c r="L392" i="2"/>
  <c r="K392" i="2"/>
  <c r="J392" i="2"/>
  <c r="I392" i="2"/>
  <c r="H392" i="2"/>
  <c r="G392" i="2"/>
  <c r="F392" i="2"/>
  <c r="E392" i="2"/>
  <c r="L391" i="2"/>
  <c r="K391" i="2"/>
  <c r="J391" i="2"/>
  <c r="I391" i="2"/>
  <c r="H391" i="2"/>
  <c r="G391" i="2"/>
  <c r="F391" i="2"/>
  <c r="E391" i="2"/>
  <c r="L390" i="2"/>
  <c r="K390" i="2"/>
  <c r="J390" i="2"/>
  <c r="I390" i="2"/>
  <c r="H390" i="2"/>
  <c r="G390" i="2"/>
  <c r="F390" i="2"/>
  <c r="E390" i="2"/>
  <c r="L389" i="2"/>
  <c r="K389" i="2"/>
  <c r="J389" i="2"/>
  <c r="I389" i="2"/>
  <c r="H389" i="2"/>
  <c r="G389" i="2"/>
  <c r="F389" i="2"/>
  <c r="E389" i="2"/>
  <c r="L388" i="2"/>
  <c r="K388" i="2"/>
  <c r="J388" i="2"/>
  <c r="I388" i="2"/>
  <c r="H388" i="2"/>
  <c r="G388" i="2"/>
  <c r="F388" i="2"/>
  <c r="E388" i="2"/>
  <c r="L387" i="2"/>
  <c r="K387" i="2"/>
  <c r="J387" i="2"/>
  <c r="I387" i="2"/>
  <c r="H387" i="2"/>
  <c r="G387" i="2"/>
  <c r="F387" i="2"/>
  <c r="E387" i="2"/>
  <c r="L386" i="2"/>
  <c r="K386" i="2"/>
  <c r="J386" i="2"/>
  <c r="I386" i="2"/>
  <c r="H386" i="2"/>
  <c r="G386" i="2"/>
  <c r="F386" i="2"/>
  <c r="E386" i="2"/>
  <c r="L385" i="2"/>
  <c r="K385" i="2"/>
  <c r="J385" i="2"/>
  <c r="I385" i="2"/>
  <c r="H385" i="2"/>
  <c r="G385" i="2"/>
  <c r="F385" i="2"/>
  <c r="E385" i="2"/>
  <c r="L384" i="2"/>
  <c r="K384" i="2"/>
  <c r="J384" i="2"/>
  <c r="I384" i="2"/>
  <c r="H384" i="2"/>
  <c r="G384" i="2"/>
  <c r="F384" i="2"/>
  <c r="E384" i="2"/>
  <c r="L383" i="2"/>
  <c r="K383" i="2"/>
  <c r="J383" i="2"/>
  <c r="I383" i="2"/>
  <c r="H383" i="2"/>
  <c r="G383" i="2"/>
  <c r="F383" i="2"/>
  <c r="E383" i="2"/>
  <c r="L382" i="2"/>
  <c r="K382" i="2"/>
  <c r="J382" i="2"/>
  <c r="I382" i="2"/>
  <c r="H382" i="2"/>
  <c r="G382" i="2"/>
  <c r="F382" i="2"/>
  <c r="E382" i="2"/>
  <c r="P381" i="2"/>
  <c r="O381" i="2"/>
  <c r="N381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L362" i="2"/>
  <c r="K362" i="2"/>
  <c r="J362" i="2"/>
  <c r="I362" i="2"/>
  <c r="H362" i="2"/>
  <c r="G362" i="2"/>
  <c r="F362" i="2"/>
  <c r="L361" i="2"/>
  <c r="K361" i="2"/>
  <c r="J361" i="2"/>
  <c r="I361" i="2"/>
  <c r="H361" i="2"/>
  <c r="G361" i="2"/>
  <c r="F361" i="2"/>
  <c r="L360" i="2"/>
  <c r="K360" i="2"/>
  <c r="J360" i="2"/>
  <c r="I360" i="2"/>
  <c r="H360" i="2"/>
  <c r="G360" i="2"/>
  <c r="F360" i="2"/>
  <c r="L359" i="2"/>
  <c r="K359" i="2"/>
  <c r="J359" i="2"/>
  <c r="I359" i="2"/>
  <c r="H359" i="2"/>
  <c r="G359" i="2"/>
  <c r="F359" i="2"/>
  <c r="L358" i="2"/>
  <c r="K358" i="2"/>
  <c r="J358" i="2"/>
  <c r="I358" i="2"/>
  <c r="H358" i="2"/>
  <c r="G358" i="2"/>
  <c r="F358" i="2"/>
  <c r="L357" i="2"/>
  <c r="K357" i="2"/>
  <c r="J357" i="2"/>
  <c r="I357" i="2"/>
  <c r="H357" i="2"/>
  <c r="G357" i="2"/>
  <c r="F357" i="2"/>
  <c r="L356" i="2"/>
  <c r="K356" i="2"/>
  <c r="J356" i="2"/>
  <c r="I356" i="2"/>
  <c r="H356" i="2"/>
  <c r="G356" i="2"/>
  <c r="F356" i="2"/>
  <c r="L355" i="2"/>
  <c r="K355" i="2"/>
  <c r="J355" i="2"/>
  <c r="I355" i="2"/>
  <c r="H355" i="2"/>
  <c r="G355" i="2"/>
  <c r="F355" i="2"/>
  <c r="L354" i="2"/>
  <c r="K354" i="2"/>
  <c r="J354" i="2"/>
  <c r="I354" i="2"/>
  <c r="H354" i="2"/>
  <c r="G354" i="2"/>
  <c r="F354" i="2"/>
  <c r="L353" i="2"/>
  <c r="K353" i="2"/>
  <c r="J353" i="2"/>
  <c r="I353" i="2"/>
  <c r="H353" i="2"/>
  <c r="G353" i="2"/>
  <c r="F353" i="2"/>
  <c r="L352" i="2"/>
  <c r="K352" i="2"/>
  <c r="J352" i="2"/>
  <c r="I352" i="2"/>
  <c r="H352" i="2"/>
  <c r="G352" i="2"/>
  <c r="F352" i="2"/>
  <c r="L351" i="2"/>
  <c r="K351" i="2"/>
  <c r="J351" i="2"/>
  <c r="I351" i="2"/>
  <c r="H351" i="2"/>
  <c r="G351" i="2"/>
  <c r="F351" i="2"/>
  <c r="L350" i="2"/>
  <c r="K350" i="2"/>
  <c r="J350" i="2"/>
  <c r="I350" i="2"/>
  <c r="H350" i="2"/>
  <c r="G350" i="2"/>
  <c r="F350" i="2"/>
  <c r="L349" i="2"/>
  <c r="K349" i="2"/>
  <c r="J349" i="2"/>
  <c r="I349" i="2"/>
  <c r="H349" i="2"/>
  <c r="G349" i="2"/>
  <c r="F349" i="2"/>
  <c r="L348" i="2"/>
  <c r="K348" i="2"/>
  <c r="J348" i="2"/>
  <c r="I348" i="2"/>
  <c r="H348" i="2"/>
  <c r="G348" i="2"/>
  <c r="F348" i="2"/>
  <c r="L347" i="2"/>
  <c r="K347" i="2"/>
  <c r="J347" i="2"/>
  <c r="I347" i="2"/>
  <c r="H347" i="2"/>
  <c r="G347" i="2"/>
  <c r="F347" i="2"/>
  <c r="P346" i="2"/>
  <c r="O346" i="2"/>
  <c r="N346" i="2"/>
  <c r="L345" i="2"/>
  <c r="K345" i="2"/>
  <c r="J345" i="2"/>
  <c r="I345" i="2"/>
  <c r="H345" i="2"/>
  <c r="G345" i="2"/>
  <c r="F345" i="2"/>
  <c r="L344" i="2"/>
  <c r="K344" i="2"/>
  <c r="J344" i="2"/>
  <c r="I344" i="2"/>
  <c r="H344" i="2"/>
  <c r="G344" i="2"/>
  <c r="F344" i="2"/>
  <c r="L343" i="2"/>
  <c r="K343" i="2"/>
  <c r="J343" i="2"/>
  <c r="I343" i="2"/>
  <c r="H343" i="2"/>
  <c r="G343" i="2"/>
  <c r="F343" i="2"/>
  <c r="L342" i="2"/>
  <c r="K342" i="2"/>
  <c r="J342" i="2"/>
  <c r="I342" i="2"/>
  <c r="H342" i="2"/>
  <c r="G342" i="2"/>
  <c r="F342" i="2"/>
  <c r="L341" i="2"/>
  <c r="K341" i="2"/>
  <c r="J341" i="2"/>
  <c r="I341" i="2"/>
  <c r="H341" i="2"/>
  <c r="G341" i="2"/>
  <c r="F341" i="2"/>
  <c r="L340" i="2"/>
  <c r="K340" i="2"/>
  <c r="J340" i="2"/>
  <c r="I340" i="2"/>
  <c r="H340" i="2"/>
  <c r="G340" i="2"/>
  <c r="F340" i="2"/>
  <c r="L339" i="2"/>
  <c r="K339" i="2"/>
  <c r="J339" i="2"/>
  <c r="I339" i="2"/>
  <c r="H339" i="2"/>
  <c r="G339" i="2"/>
  <c r="F339" i="2"/>
  <c r="L338" i="2"/>
  <c r="K338" i="2"/>
  <c r="J338" i="2"/>
  <c r="I338" i="2"/>
  <c r="H338" i="2"/>
  <c r="G338" i="2"/>
  <c r="F338" i="2"/>
  <c r="L337" i="2"/>
  <c r="K337" i="2"/>
  <c r="J337" i="2"/>
  <c r="I337" i="2"/>
  <c r="H337" i="2"/>
  <c r="G337" i="2"/>
  <c r="F337" i="2"/>
  <c r="L336" i="2"/>
  <c r="K336" i="2"/>
  <c r="J336" i="2"/>
  <c r="I336" i="2"/>
  <c r="H336" i="2"/>
  <c r="G336" i="2"/>
  <c r="F336" i="2"/>
  <c r="L335" i="2"/>
  <c r="K335" i="2"/>
  <c r="J335" i="2"/>
  <c r="I335" i="2"/>
  <c r="H335" i="2"/>
  <c r="G335" i="2"/>
  <c r="F335" i="2"/>
  <c r="L334" i="2"/>
  <c r="K334" i="2"/>
  <c r="J334" i="2"/>
  <c r="I334" i="2"/>
  <c r="H334" i="2"/>
  <c r="G334" i="2"/>
  <c r="F334" i="2"/>
  <c r="L333" i="2"/>
  <c r="K333" i="2"/>
  <c r="J333" i="2"/>
  <c r="I333" i="2"/>
  <c r="H333" i="2"/>
  <c r="G333" i="2"/>
  <c r="F333" i="2"/>
  <c r="L332" i="2"/>
  <c r="K332" i="2"/>
  <c r="J332" i="2"/>
  <c r="I332" i="2"/>
  <c r="H332" i="2"/>
  <c r="G332" i="2"/>
  <c r="F332" i="2"/>
  <c r="L331" i="2"/>
  <c r="L329" i="2" s="1"/>
  <c r="K331" i="2"/>
  <c r="J331" i="2"/>
  <c r="I331" i="2"/>
  <c r="H331" i="2"/>
  <c r="G331" i="2"/>
  <c r="F331" i="2"/>
  <c r="L330" i="2"/>
  <c r="K330" i="2"/>
  <c r="J330" i="2"/>
  <c r="I330" i="2"/>
  <c r="H330" i="2"/>
  <c r="G330" i="2"/>
  <c r="F330" i="2"/>
  <c r="P329" i="2"/>
  <c r="O329" i="2"/>
  <c r="N329" i="2"/>
  <c r="M329" i="2"/>
  <c r="L328" i="2"/>
  <c r="K328" i="2"/>
  <c r="J328" i="2"/>
  <c r="I328" i="2"/>
  <c r="H328" i="2"/>
  <c r="G328" i="2"/>
  <c r="F328" i="2"/>
  <c r="L327" i="2"/>
  <c r="K327" i="2"/>
  <c r="J327" i="2"/>
  <c r="I327" i="2"/>
  <c r="H327" i="2"/>
  <c r="G327" i="2"/>
  <c r="F327" i="2"/>
  <c r="L326" i="2"/>
  <c r="K326" i="2"/>
  <c r="J326" i="2"/>
  <c r="I326" i="2"/>
  <c r="H326" i="2"/>
  <c r="G326" i="2"/>
  <c r="F326" i="2"/>
  <c r="L325" i="2"/>
  <c r="K325" i="2"/>
  <c r="J325" i="2"/>
  <c r="I325" i="2"/>
  <c r="H325" i="2"/>
  <c r="G325" i="2"/>
  <c r="F325" i="2"/>
  <c r="L324" i="2"/>
  <c r="K324" i="2"/>
  <c r="J324" i="2"/>
  <c r="I324" i="2"/>
  <c r="H324" i="2"/>
  <c r="G324" i="2"/>
  <c r="F324" i="2"/>
  <c r="L323" i="2"/>
  <c r="K323" i="2"/>
  <c r="J323" i="2"/>
  <c r="I323" i="2"/>
  <c r="H323" i="2"/>
  <c r="G323" i="2"/>
  <c r="F323" i="2"/>
  <c r="L322" i="2"/>
  <c r="K322" i="2"/>
  <c r="J322" i="2"/>
  <c r="I322" i="2"/>
  <c r="H322" i="2"/>
  <c r="G322" i="2"/>
  <c r="F322" i="2"/>
  <c r="L321" i="2"/>
  <c r="K321" i="2"/>
  <c r="J321" i="2"/>
  <c r="I321" i="2"/>
  <c r="H321" i="2"/>
  <c r="G321" i="2"/>
  <c r="F321" i="2"/>
  <c r="L320" i="2"/>
  <c r="K320" i="2"/>
  <c r="J320" i="2"/>
  <c r="I320" i="2"/>
  <c r="H320" i="2"/>
  <c r="G320" i="2"/>
  <c r="F320" i="2"/>
  <c r="L319" i="2"/>
  <c r="K319" i="2"/>
  <c r="J319" i="2"/>
  <c r="I319" i="2"/>
  <c r="H319" i="2"/>
  <c r="G319" i="2"/>
  <c r="F319" i="2"/>
  <c r="L318" i="2"/>
  <c r="K318" i="2"/>
  <c r="J318" i="2"/>
  <c r="I318" i="2"/>
  <c r="H318" i="2"/>
  <c r="G318" i="2"/>
  <c r="F318" i="2"/>
  <c r="L317" i="2"/>
  <c r="K317" i="2"/>
  <c r="J317" i="2"/>
  <c r="I317" i="2"/>
  <c r="H317" i="2"/>
  <c r="G317" i="2"/>
  <c r="F317" i="2"/>
  <c r="L316" i="2"/>
  <c r="K316" i="2"/>
  <c r="J316" i="2"/>
  <c r="I316" i="2"/>
  <c r="H316" i="2"/>
  <c r="G316" i="2"/>
  <c r="F316" i="2"/>
  <c r="L315" i="2"/>
  <c r="K315" i="2"/>
  <c r="J315" i="2"/>
  <c r="I315" i="2"/>
  <c r="H315" i="2"/>
  <c r="G315" i="2"/>
  <c r="F315" i="2"/>
  <c r="L314" i="2"/>
  <c r="K314" i="2"/>
  <c r="J314" i="2"/>
  <c r="I314" i="2"/>
  <c r="H314" i="2"/>
  <c r="G314" i="2"/>
  <c r="F314" i="2"/>
  <c r="L313" i="2"/>
  <c r="K313" i="2"/>
  <c r="J313" i="2"/>
  <c r="I313" i="2"/>
  <c r="H313" i="2"/>
  <c r="G313" i="2"/>
  <c r="F313" i="2"/>
  <c r="P312" i="2"/>
  <c r="O312" i="2"/>
  <c r="N312" i="2"/>
  <c r="M312" i="2"/>
  <c r="L311" i="2"/>
  <c r="K311" i="2"/>
  <c r="J311" i="2"/>
  <c r="I311" i="2"/>
  <c r="H311" i="2"/>
  <c r="G311" i="2"/>
  <c r="F311" i="2"/>
  <c r="L310" i="2"/>
  <c r="K310" i="2"/>
  <c r="J310" i="2"/>
  <c r="I310" i="2"/>
  <c r="H310" i="2"/>
  <c r="G310" i="2"/>
  <c r="F310" i="2"/>
  <c r="L309" i="2"/>
  <c r="K309" i="2"/>
  <c r="J309" i="2"/>
  <c r="I309" i="2"/>
  <c r="H309" i="2"/>
  <c r="G309" i="2"/>
  <c r="F309" i="2"/>
  <c r="L308" i="2"/>
  <c r="K308" i="2"/>
  <c r="J308" i="2"/>
  <c r="I308" i="2"/>
  <c r="H308" i="2"/>
  <c r="G308" i="2"/>
  <c r="F308" i="2"/>
  <c r="L307" i="2"/>
  <c r="K307" i="2"/>
  <c r="J307" i="2"/>
  <c r="I307" i="2"/>
  <c r="H307" i="2"/>
  <c r="G307" i="2"/>
  <c r="F307" i="2"/>
  <c r="L306" i="2"/>
  <c r="K306" i="2"/>
  <c r="J306" i="2"/>
  <c r="I306" i="2"/>
  <c r="H306" i="2"/>
  <c r="G306" i="2"/>
  <c r="F306" i="2"/>
  <c r="L305" i="2"/>
  <c r="K305" i="2"/>
  <c r="J305" i="2"/>
  <c r="I305" i="2"/>
  <c r="H305" i="2"/>
  <c r="G305" i="2"/>
  <c r="F305" i="2"/>
  <c r="L304" i="2"/>
  <c r="K304" i="2"/>
  <c r="J304" i="2"/>
  <c r="I304" i="2"/>
  <c r="H304" i="2"/>
  <c r="G304" i="2"/>
  <c r="F304" i="2"/>
  <c r="L303" i="2"/>
  <c r="K303" i="2"/>
  <c r="J303" i="2"/>
  <c r="I303" i="2"/>
  <c r="H303" i="2"/>
  <c r="G303" i="2"/>
  <c r="F303" i="2"/>
  <c r="L302" i="2"/>
  <c r="K302" i="2"/>
  <c r="J302" i="2"/>
  <c r="I302" i="2"/>
  <c r="H302" i="2"/>
  <c r="G302" i="2"/>
  <c r="F302" i="2"/>
  <c r="L301" i="2"/>
  <c r="K301" i="2"/>
  <c r="J301" i="2"/>
  <c r="I301" i="2"/>
  <c r="H301" i="2"/>
  <c r="G301" i="2"/>
  <c r="F301" i="2"/>
  <c r="L300" i="2"/>
  <c r="K300" i="2"/>
  <c r="J300" i="2"/>
  <c r="I300" i="2"/>
  <c r="H300" i="2"/>
  <c r="G300" i="2"/>
  <c r="F300" i="2"/>
  <c r="L299" i="2"/>
  <c r="K299" i="2"/>
  <c r="J299" i="2"/>
  <c r="I299" i="2"/>
  <c r="H299" i="2"/>
  <c r="G299" i="2"/>
  <c r="F299" i="2"/>
  <c r="L298" i="2"/>
  <c r="K298" i="2"/>
  <c r="J298" i="2"/>
  <c r="I298" i="2"/>
  <c r="H298" i="2"/>
  <c r="G298" i="2"/>
  <c r="F298" i="2"/>
  <c r="L297" i="2"/>
  <c r="K297" i="2"/>
  <c r="J297" i="2"/>
  <c r="I297" i="2"/>
  <c r="H297" i="2"/>
  <c r="G297" i="2"/>
  <c r="F297" i="2"/>
  <c r="L296" i="2"/>
  <c r="K296" i="2"/>
  <c r="J296" i="2"/>
  <c r="I296" i="2"/>
  <c r="H296" i="2"/>
  <c r="G296" i="2"/>
  <c r="F296" i="2"/>
  <c r="P295" i="2"/>
  <c r="O295" i="2"/>
  <c r="N295" i="2"/>
  <c r="M295" i="2"/>
  <c r="L294" i="2"/>
  <c r="K294" i="2"/>
  <c r="J294" i="2"/>
  <c r="I294" i="2"/>
  <c r="H294" i="2"/>
  <c r="G294" i="2"/>
  <c r="F294" i="2"/>
  <c r="L293" i="2"/>
  <c r="K293" i="2"/>
  <c r="J293" i="2"/>
  <c r="I293" i="2"/>
  <c r="H293" i="2"/>
  <c r="G293" i="2"/>
  <c r="F293" i="2"/>
  <c r="L292" i="2"/>
  <c r="K292" i="2"/>
  <c r="J292" i="2"/>
  <c r="I292" i="2"/>
  <c r="H292" i="2"/>
  <c r="G292" i="2"/>
  <c r="F292" i="2"/>
  <c r="L291" i="2"/>
  <c r="K291" i="2"/>
  <c r="J291" i="2"/>
  <c r="I291" i="2"/>
  <c r="H291" i="2"/>
  <c r="G291" i="2"/>
  <c r="F291" i="2"/>
  <c r="L290" i="2"/>
  <c r="K290" i="2"/>
  <c r="J290" i="2"/>
  <c r="I290" i="2"/>
  <c r="H290" i="2"/>
  <c r="G290" i="2"/>
  <c r="F290" i="2"/>
  <c r="L289" i="2"/>
  <c r="K289" i="2"/>
  <c r="J289" i="2"/>
  <c r="I289" i="2"/>
  <c r="H289" i="2"/>
  <c r="G289" i="2"/>
  <c r="F289" i="2"/>
  <c r="L288" i="2"/>
  <c r="K288" i="2"/>
  <c r="J288" i="2"/>
  <c r="I288" i="2"/>
  <c r="H288" i="2"/>
  <c r="G288" i="2"/>
  <c r="F288" i="2"/>
  <c r="L287" i="2"/>
  <c r="K287" i="2"/>
  <c r="J287" i="2"/>
  <c r="I287" i="2"/>
  <c r="H287" i="2"/>
  <c r="G287" i="2"/>
  <c r="F287" i="2"/>
  <c r="L286" i="2"/>
  <c r="K286" i="2"/>
  <c r="J286" i="2"/>
  <c r="I286" i="2"/>
  <c r="H286" i="2"/>
  <c r="G286" i="2"/>
  <c r="F286" i="2"/>
  <c r="L285" i="2"/>
  <c r="K285" i="2"/>
  <c r="J285" i="2"/>
  <c r="I285" i="2"/>
  <c r="H285" i="2"/>
  <c r="G285" i="2"/>
  <c r="F285" i="2"/>
  <c r="L284" i="2"/>
  <c r="K284" i="2"/>
  <c r="J284" i="2"/>
  <c r="I284" i="2"/>
  <c r="H284" i="2"/>
  <c r="G284" i="2"/>
  <c r="F284" i="2"/>
  <c r="L283" i="2"/>
  <c r="K283" i="2"/>
  <c r="J283" i="2"/>
  <c r="I283" i="2"/>
  <c r="H283" i="2"/>
  <c r="G283" i="2"/>
  <c r="F283" i="2"/>
  <c r="L282" i="2"/>
  <c r="K282" i="2"/>
  <c r="J282" i="2"/>
  <c r="I282" i="2"/>
  <c r="H282" i="2"/>
  <c r="G282" i="2"/>
  <c r="F282" i="2"/>
  <c r="L281" i="2"/>
  <c r="K281" i="2"/>
  <c r="J281" i="2"/>
  <c r="I281" i="2"/>
  <c r="H281" i="2"/>
  <c r="G281" i="2"/>
  <c r="F281" i="2"/>
  <c r="L280" i="2"/>
  <c r="K280" i="2"/>
  <c r="J280" i="2"/>
  <c r="I280" i="2"/>
  <c r="H280" i="2"/>
  <c r="G280" i="2"/>
  <c r="F280" i="2"/>
  <c r="L279" i="2"/>
  <c r="K279" i="2"/>
  <c r="J279" i="2"/>
  <c r="I279" i="2"/>
  <c r="H279" i="2"/>
  <c r="G279" i="2"/>
  <c r="F279" i="2"/>
  <c r="P278" i="2"/>
  <c r="O278" i="2"/>
  <c r="N278" i="2"/>
  <c r="M278" i="2"/>
  <c r="L277" i="2"/>
  <c r="K277" i="2"/>
  <c r="J277" i="2"/>
  <c r="I277" i="2"/>
  <c r="H277" i="2"/>
  <c r="G277" i="2"/>
  <c r="F277" i="2"/>
  <c r="L276" i="2"/>
  <c r="K276" i="2"/>
  <c r="J276" i="2"/>
  <c r="I276" i="2"/>
  <c r="H276" i="2"/>
  <c r="G276" i="2"/>
  <c r="F276" i="2"/>
  <c r="L275" i="2"/>
  <c r="K275" i="2"/>
  <c r="J275" i="2"/>
  <c r="I275" i="2"/>
  <c r="H275" i="2"/>
  <c r="G275" i="2"/>
  <c r="F275" i="2"/>
  <c r="L274" i="2"/>
  <c r="K274" i="2"/>
  <c r="J274" i="2"/>
  <c r="I274" i="2"/>
  <c r="H274" i="2"/>
  <c r="G274" i="2"/>
  <c r="F274" i="2"/>
  <c r="L273" i="2"/>
  <c r="K273" i="2"/>
  <c r="J273" i="2"/>
  <c r="I273" i="2"/>
  <c r="H273" i="2"/>
  <c r="G273" i="2"/>
  <c r="F273" i="2"/>
  <c r="L272" i="2"/>
  <c r="K272" i="2"/>
  <c r="J272" i="2"/>
  <c r="I272" i="2"/>
  <c r="H272" i="2"/>
  <c r="G272" i="2"/>
  <c r="F272" i="2"/>
  <c r="L271" i="2"/>
  <c r="K271" i="2"/>
  <c r="J271" i="2"/>
  <c r="I271" i="2"/>
  <c r="H271" i="2"/>
  <c r="G271" i="2"/>
  <c r="F271" i="2"/>
  <c r="L270" i="2"/>
  <c r="K270" i="2"/>
  <c r="J270" i="2"/>
  <c r="I270" i="2"/>
  <c r="H270" i="2"/>
  <c r="G270" i="2"/>
  <c r="F270" i="2"/>
  <c r="L269" i="2"/>
  <c r="K269" i="2"/>
  <c r="J269" i="2"/>
  <c r="I269" i="2"/>
  <c r="H269" i="2"/>
  <c r="G269" i="2"/>
  <c r="F269" i="2"/>
  <c r="L268" i="2"/>
  <c r="K268" i="2"/>
  <c r="J268" i="2"/>
  <c r="I268" i="2"/>
  <c r="H268" i="2"/>
  <c r="G268" i="2"/>
  <c r="F268" i="2"/>
  <c r="L267" i="2"/>
  <c r="K267" i="2"/>
  <c r="J267" i="2"/>
  <c r="I267" i="2"/>
  <c r="H267" i="2"/>
  <c r="G267" i="2"/>
  <c r="F267" i="2"/>
  <c r="L266" i="2"/>
  <c r="K266" i="2"/>
  <c r="J266" i="2"/>
  <c r="I266" i="2"/>
  <c r="H266" i="2"/>
  <c r="G266" i="2"/>
  <c r="F266" i="2"/>
  <c r="L265" i="2"/>
  <c r="K265" i="2"/>
  <c r="J265" i="2"/>
  <c r="I265" i="2"/>
  <c r="H265" i="2"/>
  <c r="G265" i="2"/>
  <c r="F265" i="2"/>
  <c r="L264" i="2"/>
  <c r="K264" i="2"/>
  <c r="J264" i="2"/>
  <c r="I264" i="2"/>
  <c r="H264" i="2"/>
  <c r="G264" i="2"/>
  <c r="F264" i="2"/>
  <c r="L263" i="2"/>
  <c r="K263" i="2"/>
  <c r="J263" i="2"/>
  <c r="I263" i="2"/>
  <c r="H263" i="2"/>
  <c r="G263" i="2"/>
  <c r="F263" i="2"/>
  <c r="L262" i="2"/>
  <c r="K262" i="2"/>
  <c r="J262" i="2"/>
  <c r="I262" i="2"/>
  <c r="H262" i="2"/>
  <c r="G262" i="2"/>
  <c r="F262" i="2"/>
  <c r="P261" i="2"/>
  <c r="O261" i="2"/>
  <c r="N261" i="2"/>
  <c r="M261" i="2"/>
  <c r="L260" i="2"/>
  <c r="K260" i="2"/>
  <c r="J260" i="2"/>
  <c r="I260" i="2"/>
  <c r="H260" i="2"/>
  <c r="G260" i="2"/>
  <c r="F260" i="2"/>
  <c r="L259" i="2"/>
  <c r="K259" i="2"/>
  <c r="J259" i="2"/>
  <c r="I259" i="2"/>
  <c r="H259" i="2"/>
  <c r="G259" i="2"/>
  <c r="F259" i="2"/>
  <c r="L258" i="2"/>
  <c r="K258" i="2"/>
  <c r="J258" i="2"/>
  <c r="I258" i="2"/>
  <c r="H258" i="2"/>
  <c r="G258" i="2"/>
  <c r="F258" i="2"/>
  <c r="L257" i="2"/>
  <c r="K257" i="2"/>
  <c r="J257" i="2"/>
  <c r="I257" i="2"/>
  <c r="H257" i="2"/>
  <c r="G257" i="2"/>
  <c r="F257" i="2"/>
  <c r="L256" i="2"/>
  <c r="K256" i="2"/>
  <c r="J256" i="2"/>
  <c r="I256" i="2"/>
  <c r="H256" i="2"/>
  <c r="G256" i="2"/>
  <c r="F256" i="2"/>
  <c r="L255" i="2"/>
  <c r="K255" i="2"/>
  <c r="J255" i="2"/>
  <c r="I255" i="2"/>
  <c r="H255" i="2"/>
  <c r="G255" i="2"/>
  <c r="F255" i="2"/>
  <c r="L254" i="2"/>
  <c r="K254" i="2"/>
  <c r="J254" i="2"/>
  <c r="I254" i="2"/>
  <c r="H254" i="2"/>
  <c r="G254" i="2"/>
  <c r="F254" i="2"/>
  <c r="L253" i="2"/>
  <c r="K253" i="2"/>
  <c r="J253" i="2"/>
  <c r="I253" i="2"/>
  <c r="H253" i="2"/>
  <c r="G253" i="2"/>
  <c r="F253" i="2"/>
  <c r="L252" i="2"/>
  <c r="K252" i="2"/>
  <c r="J252" i="2"/>
  <c r="I252" i="2"/>
  <c r="H252" i="2"/>
  <c r="G252" i="2"/>
  <c r="F252" i="2"/>
  <c r="L251" i="2"/>
  <c r="K251" i="2"/>
  <c r="J251" i="2"/>
  <c r="I251" i="2"/>
  <c r="H251" i="2"/>
  <c r="G251" i="2"/>
  <c r="F251" i="2"/>
  <c r="L250" i="2"/>
  <c r="K250" i="2"/>
  <c r="J250" i="2"/>
  <c r="I250" i="2"/>
  <c r="H250" i="2"/>
  <c r="G250" i="2"/>
  <c r="F250" i="2"/>
  <c r="L249" i="2"/>
  <c r="K249" i="2"/>
  <c r="J249" i="2"/>
  <c r="I249" i="2"/>
  <c r="H249" i="2"/>
  <c r="G249" i="2"/>
  <c r="F249" i="2"/>
  <c r="L248" i="2"/>
  <c r="K248" i="2"/>
  <c r="J248" i="2"/>
  <c r="I248" i="2"/>
  <c r="H248" i="2"/>
  <c r="G248" i="2"/>
  <c r="F248" i="2"/>
  <c r="L247" i="2"/>
  <c r="K247" i="2"/>
  <c r="J247" i="2"/>
  <c r="I247" i="2"/>
  <c r="H247" i="2"/>
  <c r="G247" i="2"/>
  <c r="F247" i="2"/>
  <c r="L246" i="2"/>
  <c r="K246" i="2"/>
  <c r="J246" i="2"/>
  <c r="I246" i="2"/>
  <c r="H246" i="2"/>
  <c r="G246" i="2"/>
  <c r="F246" i="2"/>
  <c r="E244" i="2"/>
  <c r="L245" i="2"/>
  <c r="K245" i="2"/>
  <c r="J245" i="2"/>
  <c r="I245" i="2"/>
  <c r="H245" i="2"/>
  <c r="G245" i="2"/>
  <c r="F245" i="2"/>
  <c r="P244" i="2"/>
  <c r="O244" i="2"/>
  <c r="N244" i="2"/>
  <c r="M244" i="2"/>
  <c r="L243" i="2"/>
  <c r="K243" i="2"/>
  <c r="J243" i="2"/>
  <c r="I243" i="2"/>
  <c r="H243" i="2"/>
  <c r="G243" i="2"/>
  <c r="F243" i="2"/>
  <c r="L242" i="2"/>
  <c r="K242" i="2"/>
  <c r="J242" i="2"/>
  <c r="I242" i="2"/>
  <c r="H242" i="2"/>
  <c r="G242" i="2"/>
  <c r="F242" i="2"/>
  <c r="L241" i="2"/>
  <c r="K241" i="2"/>
  <c r="J241" i="2"/>
  <c r="I241" i="2"/>
  <c r="H241" i="2"/>
  <c r="G241" i="2"/>
  <c r="F241" i="2"/>
  <c r="L240" i="2"/>
  <c r="K240" i="2"/>
  <c r="J240" i="2"/>
  <c r="I240" i="2"/>
  <c r="H240" i="2"/>
  <c r="G240" i="2"/>
  <c r="F240" i="2"/>
  <c r="L239" i="2"/>
  <c r="K239" i="2"/>
  <c r="J239" i="2"/>
  <c r="I239" i="2"/>
  <c r="H239" i="2"/>
  <c r="G239" i="2"/>
  <c r="F239" i="2"/>
  <c r="L238" i="2"/>
  <c r="K238" i="2"/>
  <c r="J238" i="2"/>
  <c r="I238" i="2"/>
  <c r="H238" i="2"/>
  <c r="G238" i="2"/>
  <c r="F238" i="2"/>
  <c r="L237" i="2"/>
  <c r="K237" i="2"/>
  <c r="J237" i="2"/>
  <c r="I237" i="2"/>
  <c r="H237" i="2"/>
  <c r="G237" i="2"/>
  <c r="F237" i="2"/>
  <c r="L236" i="2"/>
  <c r="K236" i="2"/>
  <c r="J236" i="2"/>
  <c r="I236" i="2"/>
  <c r="H236" i="2"/>
  <c r="G236" i="2"/>
  <c r="F236" i="2"/>
  <c r="L235" i="2"/>
  <c r="K235" i="2"/>
  <c r="J235" i="2"/>
  <c r="I235" i="2"/>
  <c r="H235" i="2"/>
  <c r="G235" i="2"/>
  <c r="F235" i="2"/>
  <c r="L234" i="2"/>
  <c r="K234" i="2"/>
  <c r="J234" i="2"/>
  <c r="I234" i="2"/>
  <c r="H234" i="2"/>
  <c r="G234" i="2"/>
  <c r="F234" i="2"/>
  <c r="L233" i="2"/>
  <c r="K233" i="2"/>
  <c r="J233" i="2"/>
  <c r="I233" i="2"/>
  <c r="H233" i="2"/>
  <c r="G233" i="2"/>
  <c r="F233" i="2"/>
  <c r="L232" i="2"/>
  <c r="K232" i="2"/>
  <c r="J232" i="2"/>
  <c r="I232" i="2"/>
  <c r="H232" i="2"/>
  <c r="G232" i="2"/>
  <c r="F232" i="2"/>
  <c r="L231" i="2"/>
  <c r="K231" i="2"/>
  <c r="J231" i="2"/>
  <c r="I231" i="2"/>
  <c r="H231" i="2"/>
  <c r="G231" i="2"/>
  <c r="F231" i="2"/>
  <c r="L230" i="2"/>
  <c r="K230" i="2"/>
  <c r="J230" i="2"/>
  <c r="I230" i="2"/>
  <c r="H230" i="2"/>
  <c r="G230" i="2"/>
  <c r="F230" i="2"/>
  <c r="L229" i="2"/>
  <c r="K229" i="2"/>
  <c r="J229" i="2"/>
  <c r="I229" i="2"/>
  <c r="H229" i="2"/>
  <c r="G229" i="2"/>
  <c r="F229" i="2"/>
  <c r="L228" i="2"/>
  <c r="K228" i="2"/>
  <c r="J228" i="2"/>
  <c r="I228" i="2"/>
  <c r="H228" i="2"/>
  <c r="G228" i="2"/>
  <c r="F228" i="2"/>
  <c r="P227" i="2"/>
  <c r="O227" i="2"/>
  <c r="N227" i="2"/>
  <c r="M227" i="2"/>
  <c r="L226" i="2"/>
  <c r="K226" i="2"/>
  <c r="J226" i="2"/>
  <c r="I226" i="2"/>
  <c r="H226" i="2"/>
  <c r="G226" i="2"/>
  <c r="F226" i="2"/>
  <c r="L225" i="2"/>
  <c r="K225" i="2"/>
  <c r="J225" i="2"/>
  <c r="I225" i="2"/>
  <c r="H225" i="2"/>
  <c r="G225" i="2"/>
  <c r="F225" i="2"/>
  <c r="L224" i="2"/>
  <c r="K224" i="2"/>
  <c r="J224" i="2"/>
  <c r="I224" i="2"/>
  <c r="H224" i="2"/>
  <c r="G224" i="2"/>
  <c r="F224" i="2"/>
  <c r="L223" i="2"/>
  <c r="K223" i="2"/>
  <c r="J223" i="2"/>
  <c r="I223" i="2"/>
  <c r="H223" i="2"/>
  <c r="G223" i="2"/>
  <c r="F223" i="2"/>
  <c r="L222" i="2"/>
  <c r="K222" i="2"/>
  <c r="J222" i="2"/>
  <c r="I222" i="2"/>
  <c r="H222" i="2"/>
  <c r="G222" i="2"/>
  <c r="F222" i="2"/>
  <c r="L221" i="2"/>
  <c r="K221" i="2"/>
  <c r="J221" i="2"/>
  <c r="I221" i="2"/>
  <c r="H221" i="2"/>
  <c r="G221" i="2"/>
  <c r="F221" i="2"/>
  <c r="L220" i="2"/>
  <c r="K220" i="2"/>
  <c r="J220" i="2"/>
  <c r="I220" i="2"/>
  <c r="H220" i="2"/>
  <c r="G220" i="2"/>
  <c r="F220" i="2"/>
  <c r="L219" i="2"/>
  <c r="K219" i="2"/>
  <c r="J219" i="2"/>
  <c r="I219" i="2"/>
  <c r="H219" i="2"/>
  <c r="G219" i="2"/>
  <c r="F219" i="2"/>
  <c r="L218" i="2"/>
  <c r="K218" i="2"/>
  <c r="J218" i="2"/>
  <c r="I218" i="2"/>
  <c r="H218" i="2"/>
  <c r="G218" i="2"/>
  <c r="F218" i="2"/>
  <c r="L217" i="2"/>
  <c r="K217" i="2"/>
  <c r="J217" i="2"/>
  <c r="I217" i="2"/>
  <c r="H217" i="2"/>
  <c r="G217" i="2"/>
  <c r="F217" i="2"/>
  <c r="L216" i="2"/>
  <c r="K216" i="2"/>
  <c r="J216" i="2"/>
  <c r="I216" i="2"/>
  <c r="H216" i="2"/>
  <c r="G216" i="2"/>
  <c r="F216" i="2"/>
  <c r="L215" i="2"/>
  <c r="K215" i="2"/>
  <c r="J215" i="2"/>
  <c r="I215" i="2"/>
  <c r="H215" i="2"/>
  <c r="G215" i="2"/>
  <c r="F215" i="2"/>
  <c r="L214" i="2"/>
  <c r="K214" i="2"/>
  <c r="J214" i="2"/>
  <c r="I214" i="2"/>
  <c r="H214" i="2"/>
  <c r="G214" i="2"/>
  <c r="F214" i="2"/>
  <c r="L213" i="2"/>
  <c r="K213" i="2"/>
  <c r="J213" i="2"/>
  <c r="I213" i="2"/>
  <c r="H213" i="2"/>
  <c r="G213" i="2"/>
  <c r="F213" i="2"/>
  <c r="L212" i="2"/>
  <c r="K212" i="2"/>
  <c r="J212" i="2"/>
  <c r="I212" i="2"/>
  <c r="H212" i="2"/>
  <c r="G212" i="2"/>
  <c r="F212" i="2"/>
  <c r="L211" i="2"/>
  <c r="K211" i="2"/>
  <c r="J211" i="2"/>
  <c r="I211" i="2"/>
  <c r="H211" i="2"/>
  <c r="G211" i="2"/>
  <c r="F211" i="2"/>
  <c r="P210" i="2"/>
  <c r="O210" i="2"/>
  <c r="N210" i="2"/>
  <c r="M210" i="2"/>
  <c r="L209" i="2"/>
  <c r="K209" i="2"/>
  <c r="J209" i="2"/>
  <c r="I209" i="2"/>
  <c r="H209" i="2"/>
  <c r="G209" i="2"/>
  <c r="F209" i="2"/>
  <c r="L208" i="2"/>
  <c r="K208" i="2"/>
  <c r="J208" i="2"/>
  <c r="I208" i="2"/>
  <c r="H208" i="2"/>
  <c r="G208" i="2"/>
  <c r="F208" i="2"/>
  <c r="L207" i="2"/>
  <c r="K207" i="2"/>
  <c r="J207" i="2"/>
  <c r="I207" i="2"/>
  <c r="H207" i="2"/>
  <c r="G207" i="2"/>
  <c r="F207" i="2"/>
  <c r="L206" i="2"/>
  <c r="K206" i="2"/>
  <c r="J206" i="2"/>
  <c r="I206" i="2"/>
  <c r="H206" i="2"/>
  <c r="G206" i="2"/>
  <c r="F206" i="2"/>
  <c r="L205" i="2"/>
  <c r="K205" i="2"/>
  <c r="J205" i="2"/>
  <c r="I205" i="2"/>
  <c r="H205" i="2"/>
  <c r="G205" i="2"/>
  <c r="F205" i="2"/>
  <c r="L204" i="2"/>
  <c r="K204" i="2"/>
  <c r="J204" i="2"/>
  <c r="I204" i="2"/>
  <c r="H204" i="2"/>
  <c r="G204" i="2"/>
  <c r="F204" i="2"/>
  <c r="L203" i="2"/>
  <c r="K203" i="2"/>
  <c r="J203" i="2"/>
  <c r="I203" i="2"/>
  <c r="H203" i="2"/>
  <c r="G203" i="2"/>
  <c r="F203" i="2"/>
  <c r="L202" i="2"/>
  <c r="K202" i="2"/>
  <c r="J202" i="2"/>
  <c r="I202" i="2"/>
  <c r="H202" i="2"/>
  <c r="G202" i="2"/>
  <c r="F202" i="2"/>
  <c r="L201" i="2"/>
  <c r="K201" i="2"/>
  <c r="J201" i="2"/>
  <c r="I201" i="2"/>
  <c r="H201" i="2"/>
  <c r="G201" i="2"/>
  <c r="F201" i="2"/>
  <c r="L200" i="2"/>
  <c r="K200" i="2"/>
  <c r="J200" i="2"/>
  <c r="I200" i="2"/>
  <c r="H200" i="2"/>
  <c r="G200" i="2"/>
  <c r="F200" i="2"/>
  <c r="L199" i="2"/>
  <c r="K199" i="2"/>
  <c r="J199" i="2"/>
  <c r="I199" i="2"/>
  <c r="H199" i="2"/>
  <c r="G199" i="2"/>
  <c r="F199" i="2"/>
  <c r="L198" i="2"/>
  <c r="K198" i="2"/>
  <c r="J198" i="2"/>
  <c r="I198" i="2"/>
  <c r="H198" i="2"/>
  <c r="G198" i="2"/>
  <c r="F198" i="2"/>
  <c r="L197" i="2"/>
  <c r="K197" i="2"/>
  <c r="J197" i="2"/>
  <c r="I197" i="2"/>
  <c r="H197" i="2"/>
  <c r="G197" i="2"/>
  <c r="F197" i="2"/>
  <c r="L196" i="2"/>
  <c r="K196" i="2"/>
  <c r="J196" i="2"/>
  <c r="I196" i="2"/>
  <c r="H196" i="2"/>
  <c r="G196" i="2"/>
  <c r="F196" i="2"/>
  <c r="L195" i="2"/>
  <c r="K195" i="2"/>
  <c r="J195" i="2"/>
  <c r="I195" i="2"/>
  <c r="H195" i="2"/>
  <c r="G195" i="2"/>
  <c r="F195" i="2"/>
  <c r="L194" i="2"/>
  <c r="K194" i="2"/>
  <c r="J194" i="2"/>
  <c r="I194" i="2"/>
  <c r="H194" i="2"/>
  <c r="G194" i="2"/>
  <c r="F194" i="2"/>
  <c r="P193" i="2"/>
  <c r="O193" i="2"/>
  <c r="N193" i="2"/>
  <c r="M193" i="2"/>
  <c r="J62" i="2"/>
  <c r="J63" i="2"/>
  <c r="J64" i="2"/>
  <c r="J65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P157" i="2"/>
  <c r="O157" i="2"/>
  <c r="N157" i="2"/>
  <c r="M157" i="2"/>
  <c r="P140" i="2"/>
  <c r="O140" i="2"/>
  <c r="N140" i="2"/>
  <c r="M140" i="2"/>
  <c r="P123" i="2"/>
  <c r="O123" i="2"/>
  <c r="N123" i="2"/>
  <c r="M123" i="2"/>
  <c r="P106" i="2"/>
  <c r="O106" i="2"/>
  <c r="N106" i="2"/>
  <c r="M106" i="2"/>
  <c r="P89" i="2"/>
  <c r="O89" i="2"/>
  <c r="N89" i="2"/>
  <c r="M89" i="2"/>
  <c r="P72" i="2"/>
  <c r="O72" i="2"/>
  <c r="N72" i="2"/>
  <c r="M72" i="2"/>
  <c r="P55" i="2"/>
  <c r="O55" i="2"/>
  <c r="N55" i="2"/>
  <c r="M55" i="2"/>
  <c r="P38" i="2"/>
  <c r="O38" i="2"/>
  <c r="N38" i="2"/>
  <c r="M38" i="2"/>
  <c r="P21" i="2"/>
  <c r="O21" i="2"/>
  <c r="N21" i="2"/>
  <c r="M21" i="2"/>
  <c r="M4" i="2"/>
  <c r="N4" i="2"/>
  <c r="N3" i="2" s="1"/>
  <c r="O4" i="2"/>
  <c r="P4" i="2"/>
  <c r="L173" i="2"/>
  <c r="K173" i="2"/>
  <c r="J173" i="2"/>
  <c r="I173" i="2"/>
  <c r="H173" i="2"/>
  <c r="G173" i="2"/>
  <c r="F173" i="2"/>
  <c r="E173" i="2"/>
  <c r="L172" i="2"/>
  <c r="K172" i="2"/>
  <c r="J172" i="2"/>
  <c r="I172" i="2"/>
  <c r="H172" i="2"/>
  <c r="G172" i="2"/>
  <c r="F172" i="2"/>
  <c r="E172" i="2"/>
  <c r="L171" i="2"/>
  <c r="K171" i="2"/>
  <c r="J171" i="2"/>
  <c r="I171" i="2"/>
  <c r="H171" i="2"/>
  <c r="G171" i="2"/>
  <c r="F171" i="2"/>
  <c r="E171" i="2"/>
  <c r="L170" i="2"/>
  <c r="K170" i="2"/>
  <c r="J170" i="2"/>
  <c r="I170" i="2"/>
  <c r="H170" i="2"/>
  <c r="G170" i="2"/>
  <c r="F170" i="2"/>
  <c r="E170" i="2"/>
  <c r="L169" i="2"/>
  <c r="K169" i="2"/>
  <c r="J169" i="2"/>
  <c r="I169" i="2"/>
  <c r="H169" i="2"/>
  <c r="G169" i="2"/>
  <c r="F169" i="2"/>
  <c r="E169" i="2"/>
  <c r="L168" i="2"/>
  <c r="K168" i="2"/>
  <c r="J168" i="2"/>
  <c r="I168" i="2"/>
  <c r="H168" i="2"/>
  <c r="G168" i="2"/>
  <c r="F168" i="2"/>
  <c r="E168" i="2"/>
  <c r="L167" i="2"/>
  <c r="K167" i="2"/>
  <c r="J167" i="2"/>
  <c r="I167" i="2"/>
  <c r="H167" i="2"/>
  <c r="G167" i="2"/>
  <c r="F167" i="2"/>
  <c r="E167" i="2"/>
  <c r="L166" i="2"/>
  <c r="K166" i="2"/>
  <c r="J166" i="2"/>
  <c r="I166" i="2"/>
  <c r="H166" i="2"/>
  <c r="G166" i="2"/>
  <c r="F166" i="2"/>
  <c r="E166" i="2"/>
  <c r="L165" i="2"/>
  <c r="K165" i="2"/>
  <c r="J165" i="2"/>
  <c r="I165" i="2"/>
  <c r="H165" i="2"/>
  <c r="G165" i="2"/>
  <c r="F165" i="2"/>
  <c r="E165" i="2"/>
  <c r="L164" i="2"/>
  <c r="K164" i="2"/>
  <c r="J164" i="2"/>
  <c r="I164" i="2"/>
  <c r="H164" i="2"/>
  <c r="G164" i="2"/>
  <c r="F164" i="2"/>
  <c r="E164" i="2"/>
  <c r="L163" i="2"/>
  <c r="K163" i="2"/>
  <c r="J163" i="2"/>
  <c r="I163" i="2"/>
  <c r="H163" i="2"/>
  <c r="G163" i="2"/>
  <c r="F163" i="2"/>
  <c r="E163" i="2"/>
  <c r="L162" i="2"/>
  <c r="K162" i="2"/>
  <c r="J162" i="2"/>
  <c r="I162" i="2"/>
  <c r="H162" i="2"/>
  <c r="G162" i="2"/>
  <c r="F162" i="2"/>
  <c r="E162" i="2"/>
  <c r="L161" i="2"/>
  <c r="K161" i="2"/>
  <c r="J161" i="2"/>
  <c r="I161" i="2"/>
  <c r="H161" i="2"/>
  <c r="G161" i="2"/>
  <c r="F161" i="2"/>
  <c r="E161" i="2"/>
  <c r="L160" i="2"/>
  <c r="K160" i="2"/>
  <c r="J160" i="2"/>
  <c r="I160" i="2"/>
  <c r="H160" i="2"/>
  <c r="G160" i="2"/>
  <c r="F160" i="2"/>
  <c r="E160" i="2"/>
  <c r="L159" i="2"/>
  <c r="K159" i="2"/>
  <c r="K157" i="2" s="1"/>
  <c r="J159" i="2"/>
  <c r="J157" i="2" s="1"/>
  <c r="I159" i="2"/>
  <c r="I157" i="2" s="1"/>
  <c r="H159" i="2"/>
  <c r="G159" i="2"/>
  <c r="G157" i="2" s="1"/>
  <c r="F159" i="2"/>
  <c r="F157" i="2" s="1"/>
  <c r="E159" i="2"/>
  <c r="L158" i="2"/>
  <c r="K158" i="2"/>
  <c r="J158" i="2"/>
  <c r="I158" i="2"/>
  <c r="H158" i="2"/>
  <c r="G158" i="2"/>
  <c r="F158" i="2"/>
  <c r="E158" i="2"/>
  <c r="L156" i="2"/>
  <c r="K156" i="2"/>
  <c r="J156" i="2"/>
  <c r="I156" i="2"/>
  <c r="H156" i="2"/>
  <c r="G156" i="2"/>
  <c r="F156" i="2"/>
  <c r="E156" i="2"/>
  <c r="L155" i="2"/>
  <c r="K155" i="2"/>
  <c r="J155" i="2"/>
  <c r="I155" i="2"/>
  <c r="H155" i="2"/>
  <c r="G155" i="2"/>
  <c r="F155" i="2"/>
  <c r="E155" i="2"/>
  <c r="L154" i="2"/>
  <c r="K154" i="2"/>
  <c r="J154" i="2"/>
  <c r="I154" i="2"/>
  <c r="H154" i="2"/>
  <c r="G154" i="2"/>
  <c r="F154" i="2"/>
  <c r="E154" i="2"/>
  <c r="L153" i="2"/>
  <c r="K153" i="2"/>
  <c r="J153" i="2"/>
  <c r="I153" i="2"/>
  <c r="H153" i="2"/>
  <c r="G153" i="2"/>
  <c r="F153" i="2"/>
  <c r="E153" i="2"/>
  <c r="L152" i="2"/>
  <c r="K152" i="2"/>
  <c r="J152" i="2"/>
  <c r="I152" i="2"/>
  <c r="H152" i="2"/>
  <c r="G152" i="2"/>
  <c r="F152" i="2"/>
  <c r="E152" i="2"/>
  <c r="L151" i="2"/>
  <c r="K151" i="2"/>
  <c r="J151" i="2"/>
  <c r="I151" i="2"/>
  <c r="H151" i="2"/>
  <c r="G151" i="2"/>
  <c r="F151" i="2"/>
  <c r="E151" i="2"/>
  <c r="L150" i="2"/>
  <c r="K150" i="2"/>
  <c r="J150" i="2"/>
  <c r="I150" i="2"/>
  <c r="H150" i="2"/>
  <c r="G150" i="2"/>
  <c r="F150" i="2"/>
  <c r="E150" i="2"/>
  <c r="L149" i="2"/>
  <c r="K149" i="2"/>
  <c r="J149" i="2"/>
  <c r="I149" i="2"/>
  <c r="H149" i="2"/>
  <c r="G149" i="2"/>
  <c r="F149" i="2"/>
  <c r="E149" i="2"/>
  <c r="L148" i="2"/>
  <c r="K148" i="2"/>
  <c r="J148" i="2"/>
  <c r="I148" i="2"/>
  <c r="H148" i="2"/>
  <c r="G148" i="2"/>
  <c r="F148" i="2"/>
  <c r="E148" i="2"/>
  <c r="L147" i="2"/>
  <c r="K147" i="2"/>
  <c r="J147" i="2"/>
  <c r="I147" i="2"/>
  <c r="H147" i="2"/>
  <c r="G147" i="2"/>
  <c r="F147" i="2"/>
  <c r="E147" i="2"/>
  <c r="L146" i="2"/>
  <c r="K146" i="2"/>
  <c r="J146" i="2"/>
  <c r="I146" i="2"/>
  <c r="H146" i="2"/>
  <c r="G146" i="2"/>
  <c r="F146" i="2"/>
  <c r="E146" i="2"/>
  <c r="L145" i="2"/>
  <c r="K145" i="2"/>
  <c r="J145" i="2"/>
  <c r="I145" i="2"/>
  <c r="H145" i="2"/>
  <c r="G145" i="2"/>
  <c r="F145" i="2"/>
  <c r="E145" i="2"/>
  <c r="L144" i="2"/>
  <c r="K144" i="2"/>
  <c r="J144" i="2"/>
  <c r="I144" i="2"/>
  <c r="H144" i="2"/>
  <c r="G144" i="2"/>
  <c r="F144" i="2"/>
  <c r="E144" i="2"/>
  <c r="L143" i="2"/>
  <c r="K143" i="2"/>
  <c r="J143" i="2"/>
  <c r="I143" i="2"/>
  <c r="H143" i="2"/>
  <c r="G143" i="2"/>
  <c r="F143" i="2"/>
  <c r="E143" i="2"/>
  <c r="L142" i="2"/>
  <c r="L140" i="2" s="1"/>
  <c r="K142" i="2"/>
  <c r="K140" i="2" s="1"/>
  <c r="J142" i="2"/>
  <c r="J140" i="2" s="1"/>
  <c r="I142" i="2"/>
  <c r="I140" i="2" s="1"/>
  <c r="H142" i="2"/>
  <c r="G142" i="2"/>
  <c r="G140" i="2" s="1"/>
  <c r="F142" i="2"/>
  <c r="F140" i="2" s="1"/>
  <c r="E142" i="2"/>
  <c r="L141" i="2"/>
  <c r="K141" i="2"/>
  <c r="J141" i="2"/>
  <c r="I141" i="2"/>
  <c r="H141" i="2"/>
  <c r="G141" i="2"/>
  <c r="F141" i="2"/>
  <c r="E141" i="2"/>
  <c r="L139" i="2"/>
  <c r="K139" i="2"/>
  <c r="J139" i="2"/>
  <c r="I139" i="2"/>
  <c r="H139" i="2"/>
  <c r="G139" i="2"/>
  <c r="F139" i="2"/>
  <c r="E139" i="2"/>
  <c r="L138" i="2"/>
  <c r="K138" i="2"/>
  <c r="J138" i="2"/>
  <c r="I138" i="2"/>
  <c r="H138" i="2"/>
  <c r="G138" i="2"/>
  <c r="F138" i="2"/>
  <c r="E138" i="2"/>
  <c r="L137" i="2"/>
  <c r="K137" i="2"/>
  <c r="J137" i="2"/>
  <c r="I137" i="2"/>
  <c r="H137" i="2"/>
  <c r="G137" i="2"/>
  <c r="F137" i="2"/>
  <c r="E137" i="2"/>
  <c r="L136" i="2"/>
  <c r="K136" i="2"/>
  <c r="J136" i="2"/>
  <c r="I136" i="2"/>
  <c r="H136" i="2"/>
  <c r="G136" i="2"/>
  <c r="F136" i="2"/>
  <c r="E136" i="2"/>
  <c r="L135" i="2"/>
  <c r="K135" i="2"/>
  <c r="J135" i="2"/>
  <c r="I135" i="2"/>
  <c r="H135" i="2"/>
  <c r="G135" i="2"/>
  <c r="F135" i="2"/>
  <c r="E135" i="2"/>
  <c r="L134" i="2"/>
  <c r="K134" i="2"/>
  <c r="J134" i="2"/>
  <c r="I134" i="2"/>
  <c r="H134" i="2"/>
  <c r="G134" i="2"/>
  <c r="F134" i="2"/>
  <c r="E134" i="2"/>
  <c r="L133" i="2"/>
  <c r="K133" i="2"/>
  <c r="J133" i="2"/>
  <c r="I133" i="2"/>
  <c r="H133" i="2"/>
  <c r="G133" i="2"/>
  <c r="F133" i="2"/>
  <c r="E133" i="2"/>
  <c r="L132" i="2"/>
  <c r="K132" i="2"/>
  <c r="J132" i="2"/>
  <c r="I132" i="2"/>
  <c r="H132" i="2"/>
  <c r="G132" i="2"/>
  <c r="F132" i="2"/>
  <c r="E132" i="2"/>
  <c r="L131" i="2"/>
  <c r="K131" i="2"/>
  <c r="J131" i="2"/>
  <c r="I131" i="2"/>
  <c r="H131" i="2"/>
  <c r="G131" i="2"/>
  <c r="F131" i="2"/>
  <c r="E131" i="2"/>
  <c r="L130" i="2"/>
  <c r="K130" i="2"/>
  <c r="J130" i="2"/>
  <c r="I130" i="2"/>
  <c r="H130" i="2"/>
  <c r="G130" i="2"/>
  <c r="F130" i="2"/>
  <c r="E130" i="2"/>
  <c r="L129" i="2"/>
  <c r="K129" i="2"/>
  <c r="J129" i="2"/>
  <c r="I129" i="2"/>
  <c r="H129" i="2"/>
  <c r="G129" i="2"/>
  <c r="F129" i="2"/>
  <c r="E129" i="2"/>
  <c r="L128" i="2"/>
  <c r="K128" i="2"/>
  <c r="J128" i="2"/>
  <c r="I128" i="2"/>
  <c r="H128" i="2"/>
  <c r="G128" i="2"/>
  <c r="F128" i="2"/>
  <c r="E128" i="2"/>
  <c r="L127" i="2"/>
  <c r="K127" i="2"/>
  <c r="J127" i="2"/>
  <c r="I127" i="2"/>
  <c r="H127" i="2"/>
  <c r="G127" i="2"/>
  <c r="F127" i="2"/>
  <c r="E127" i="2"/>
  <c r="L126" i="2"/>
  <c r="K126" i="2"/>
  <c r="J126" i="2"/>
  <c r="I126" i="2"/>
  <c r="H126" i="2"/>
  <c r="G126" i="2"/>
  <c r="F126" i="2"/>
  <c r="E126" i="2"/>
  <c r="L125" i="2"/>
  <c r="K125" i="2"/>
  <c r="K123" i="2" s="1"/>
  <c r="J125" i="2"/>
  <c r="J123" i="2" s="1"/>
  <c r="I125" i="2"/>
  <c r="I123" i="2" s="1"/>
  <c r="H125" i="2"/>
  <c r="G125" i="2"/>
  <c r="G123" i="2" s="1"/>
  <c r="F125" i="2"/>
  <c r="F123" i="2" s="1"/>
  <c r="E125" i="2"/>
  <c r="L124" i="2"/>
  <c r="K124" i="2"/>
  <c r="J124" i="2"/>
  <c r="I124" i="2"/>
  <c r="H124" i="2"/>
  <c r="G124" i="2"/>
  <c r="F124" i="2"/>
  <c r="E124" i="2"/>
  <c r="L122" i="2"/>
  <c r="K122" i="2"/>
  <c r="J122" i="2"/>
  <c r="I122" i="2"/>
  <c r="H122" i="2"/>
  <c r="G122" i="2"/>
  <c r="F122" i="2"/>
  <c r="E122" i="2"/>
  <c r="L121" i="2"/>
  <c r="K121" i="2"/>
  <c r="J121" i="2"/>
  <c r="I121" i="2"/>
  <c r="H121" i="2"/>
  <c r="G121" i="2"/>
  <c r="F121" i="2"/>
  <c r="E121" i="2"/>
  <c r="L120" i="2"/>
  <c r="K120" i="2"/>
  <c r="J120" i="2"/>
  <c r="I120" i="2"/>
  <c r="H120" i="2"/>
  <c r="G120" i="2"/>
  <c r="F120" i="2"/>
  <c r="E120" i="2"/>
  <c r="L119" i="2"/>
  <c r="K119" i="2"/>
  <c r="J119" i="2"/>
  <c r="I119" i="2"/>
  <c r="H119" i="2"/>
  <c r="G119" i="2"/>
  <c r="F119" i="2"/>
  <c r="E119" i="2"/>
  <c r="L118" i="2"/>
  <c r="K118" i="2"/>
  <c r="J118" i="2"/>
  <c r="I118" i="2"/>
  <c r="H118" i="2"/>
  <c r="G118" i="2"/>
  <c r="F118" i="2"/>
  <c r="E118" i="2"/>
  <c r="L117" i="2"/>
  <c r="K117" i="2"/>
  <c r="J117" i="2"/>
  <c r="I117" i="2"/>
  <c r="H117" i="2"/>
  <c r="G117" i="2"/>
  <c r="F117" i="2"/>
  <c r="E117" i="2"/>
  <c r="L116" i="2"/>
  <c r="K116" i="2"/>
  <c r="J116" i="2"/>
  <c r="I116" i="2"/>
  <c r="H116" i="2"/>
  <c r="G116" i="2"/>
  <c r="F116" i="2"/>
  <c r="E116" i="2"/>
  <c r="L115" i="2"/>
  <c r="K115" i="2"/>
  <c r="J115" i="2"/>
  <c r="I115" i="2"/>
  <c r="H115" i="2"/>
  <c r="G115" i="2"/>
  <c r="F115" i="2"/>
  <c r="E115" i="2"/>
  <c r="L114" i="2"/>
  <c r="K114" i="2"/>
  <c r="J114" i="2"/>
  <c r="I114" i="2"/>
  <c r="H114" i="2"/>
  <c r="G114" i="2"/>
  <c r="F114" i="2"/>
  <c r="E114" i="2"/>
  <c r="L113" i="2"/>
  <c r="K113" i="2"/>
  <c r="J113" i="2"/>
  <c r="I113" i="2"/>
  <c r="H113" i="2"/>
  <c r="G113" i="2"/>
  <c r="F113" i="2"/>
  <c r="E113" i="2"/>
  <c r="L112" i="2"/>
  <c r="K112" i="2"/>
  <c r="J112" i="2"/>
  <c r="I112" i="2"/>
  <c r="H112" i="2"/>
  <c r="G112" i="2"/>
  <c r="F112" i="2"/>
  <c r="E112" i="2"/>
  <c r="L111" i="2"/>
  <c r="K111" i="2"/>
  <c r="J111" i="2"/>
  <c r="I111" i="2"/>
  <c r="H111" i="2"/>
  <c r="G111" i="2"/>
  <c r="F111" i="2"/>
  <c r="E111" i="2"/>
  <c r="L110" i="2"/>
  <c r="K110" i="2"/>
  <c r="J110" i="2"/>
  <c r="I110" i="2"/>
  <c r="H110" i="2"/>
  <c r="G110" i="2"/>
  <c r="F110" i="2"/>
  <c r="E110" i="2"/>
  <c r="L109" i="2"/>
  <c r="K109" i="2"/>
  <c r="J109" i="2"/>
  <c r="I109" i="2"/>
  <c r="H109" i="2"/>
  <c r="G109" i="2"/>
  <c r="F109" i="2"/>
  <c r="E109" i="2"/>
  <c r="L108" i="2"/>
  <c r="K108" i="2"/>
  <c r="J108" i="2"/>
  <c r="I108" i="2"/>
  <c r="H108" i="2"/>
  <c r="G108" i="2"/>
  <c r="F108" i="2"/>
  <c r="E108" i="2"/>
  <c r="L107" i="2"/>
  <c r="K107" i="2"/>
  <c r="J107" i="2"/>
  <c r="I107" i="2"/>
  <c r="H107" i="2"/>
  <c r="G107" i="2"/>
  <c r="F107" i="2"/>
  <c r="E107" i="2"/>
  <c r="L105" i="2"/>
  <c r="K105" i="2"/>
  <c r="J105" i="2"/>
  <c r="I105" i="2"/>
  <c r="H105" i="2"/>
  <c r="G105" i="2"/>
  <c r="F105" i="2"/>
  <c r="E105" i="2"/>
  <c r="L104" i="2"/>
  <c r="K104" i="2"/>
  <c r="J104" i="2"/>
  <c r="I104" i="2"/>
  <c r="H104" i="2"/>
  <c r="G104" i="2"/>
  <c r="F104" i="2"/>
  <c r="E104" i="2"/>
  <c r="L103" i="2"/>
  <c r="K103" i="2"/>
  <c r="J103" i="2"/>
  <c r="I103" i="2"/>
  <c r="H103" i="2"/>
  <c r="G103" i="2"/>
  <c r="F103" i="2"/>
  <c r="E103" i="2"/>
  <c r="L102" i="2"/>
  <c r="K102" i="2"/>
  <c r="J102" i="2"/>
  <c r="I102" i="2"/>
  <c r="H102" i="2"/>
  <c r="G102" i="2"/>
  <c r="F102" i="2"/>
  <c r="E102" i="2"/>
  <c r="L101" i="2"/>
  <c r="K101" i="2"/>
  <c r="J101" i="2"/>
  <c r="I101" i="2"/>
  <c r="H101" i="2"/>
  <c r="G101" i="2"/>
  <c r="F101" i="2"/>
  <c r="E101" i="2"/>
  <c r="L100" i="2"/>
  <c r="K100" i="2"/>
  <c r="J100" i="2"/>
  <c r="I100" i="2"/>
  <c r="H100" i="2"/>
  <c r="G100" i="2"/>
  <c r="F100" i="2"/>
  <c r="E100" i="2"/>
  <c r="L99" i="2"/>
  <c r="K99" i="2"/>
  <c r="J99" i="2"/>
  <c r="I99" i="2"/>
  <c r="H99" i="2"/>
  <c r="G99" i="2"/>
  <c r="F99" i="2"/>
  <c r="E99" i="2"/>
  <c r="L98" i="2"/>
  <c r="K98" i="2"/>
  <c r="J98" i="2"/>
  <c r="I98" i="2"/>
  <c r="H98" i="2"/>
  <c r="G98" i="2"/>
  <c r="F98" i="2"/>
  <c r="E98" i="2"/>
  <c r="L97" i="2"/>
  <c r="K97" i="2"/>
  <c r="J97" i="2"/>
  <c r="I97" i="2"/>
  <c r="H97" i="2"/>
  <c r="G97" i="2"/>
  <c r="F97" i="2"/>
  <c r="E97" i="2"/>
  <c r="L96" i="2"/>
  <c r="K96" i="2"/>
  <c r="J96" i="2"/>
  <c r="I96" i="2"/>
  <c r="H96" i="2"/>
  <c r="G96" i="2"/>
  <c r="F96" i="2"/>
  <c r="E96" i="2"/>
  <c r="L95" i="2"/>
  <c r="K95" i="2"/>
  <c r="J95" i="2"/>
  <c r="I95" i="2"/>
  <c r="H95" i="2"/>
  <c r="G95" i="2"/>
  <c r="F95" i="2"/>
  <c r="E95" i="2"/>
  <c r="L94" i="2"/>
  <c r="K94" i="2"/>
  <c r="J94" i="2"/>
  <c r="I94" i="2"/>
  <c r="H94" i="2"/>
  <c r="G94" i="2"/>
  <c r="F94" i="2"/>
  <c r="E94" i="2"/>
  <c r="L93" i="2"/>
  <c r="K93" i="2"/>
  <c r="J93" i="2"/>
  <c r="I93" i="2"/>
  <c r="H93" i="2"/>
  <c r="G93" i="2"/>
  <c r="F93" i="2"/>
  <c r="E93" i="2"/>
  <c r="L92" i="2"/>
  <c r="K92" i="2"/>
  <c r="J92" i="2"/>
  <c r="I92" i="2"/>
  <c r="H92" i="2"/>
  <c r="G92" i="2"/>
  <c r="F92" i="2"/>
  <c r="E92" i="2"/>
  <c r="L91" i="2"/>
  <c r="K91" i="2"/>
  <c r="J91" i="2"/>
  <c r="I91" i="2"/>
  <c r="H91" i="2"/>
  <c r="G91" i="2"/>
  <c r="F91" i="2"/>
  <c r="E91" i="2"/>
  <c r="L90" i="2"/>
  <c r="K90" i="2"/>
  <c r="J90" i="2"/>
  <c r="I90" i="2"/>
  <c r="H90" i="2"/>
  <c r="G90" i="2"/>
  <c r="F90" i="2"/>
  <c r="E90" i="2"/>
  <c r="L88" i="2"/>
  <c r="K88" i="2"/>
  <c r="J88" i="2"/>
  <c r="I88" i="2"/>
  <c r="H88" i="2"/>
  <c r="G88" i="2"/>
  <c r="F88" i="2"/>
  <c r="E88" i="2"/>
  <c r="L87" i="2"/>
  <c r="K87" i="2"/>
  <c r="J87" i="2"/>
  <c r="I87" i="2"/>
  <c r="H87" i="2"/>
  <c r="G87" i="2"/>
  <c r="F87" i="2"/>
  <c r="E87" i="2"/>
  <c r="L86" i="2"/>
  <c r="K86" i="2"/>
  <c r="J86" i="2"/>
  <c r="I86" i="2"/>
  <c r="H86" i="2"/>
  <c r="G86" i="2"/>
  <c r="F86" i="2"/>
  <c r="E86" i="2"/>
  <c r="L85" i="2"/>
  <c r="K85" i="2"/>
  <c r="J85" i="2"/>
  <c r="I85" i="2"/>
  <c r="H85" i="2"/>
  <c r="G85" i="2"/>
  <c r="F85" i="2"/>
  <c r="E85" i="2"/>
  <c r="L84" i="2"/>
  <c r="K84" i="2"/>
  <c r="J84" i="2"/>
  <c r="I84" i="2"/>
  <c r="H84" i="2"/>
  <c r="G84" i="2"/>
  <c r="F84" i="2"/>
  <c r="E84" i="2"/>
  <c r="L83" i="2"/>
  <c r="K83" i="2"/>
  <c r="J83" i="2"/>
  <c r="I83" i="2"/>
  <c r="H83" i="2"/>
  <c r="G83" i="2"/>
  <c r="F83" i="2"/>
  <c r="E83" i="2"/>
  <c r="L82" i="2"/>
  <c r="K82" i="2"/>
  <c r="J82" i="2"/>
  <c r="I82" i="2"/>
  <c r="H82" i="2"/>
  <c r="G82" i="2"/>
  <c r="F82" i="2"/>
  <c r="E82" i="2"/>
  <c r="L81" i="2"/>
  <c r="K81" i="2"/>
  <c r="J81" i="2"/>
  <c r="I81" i="2"/>
  <c r="H81" i="2"/>
  <c r="G81" i="2"/>
  <c r="F81" i="2"/>
  <c r="E81" i="2"/>
  <c r="L80" i="2"/>
  <c r="K80" i="2"/>
  <c r="J80" i="2"/>
  <c r="I80" i="2"/>
  <c r="H80" i="2"/>
  <c r="G80" i="2"/>
  <c r="F80" i="2"/>
  <c r="E80" i="2"/>
  <c r="L79" i="2"/>
  <c r="K79" i="2"/>
  <c r="J79" i="2"/>
  <c r="I79" i="2"/>
  <c r="H79" i="2"/>
  <c r="G79" i="2"/>
  <c r="F79" i="2"/>
  <c r="E79" i="2"/>
  <c r="L78" i="2"/>
  <c r="K78" i="2"/>
  <c r="J78" i="2"/>
  <c r="I78" i="2"/>
  <c r="H78" i="2"/>
  <c r="G78" i="2"/>
  <c r="F78" i="2"/>
  <c r="E78" i="2"/>
  <c r="L77" i="2"/>
  <c r="K77" i="2"/>
  <c r="J77" i="2"/>
  <c r="I77" i="2"/>
  <c r="H77" i="2"/>
  <c r="G77" i="2"/>
  <c r="F77" i="2"/>
  <c r="E77" i="2"/>
  <c r="L76" i="2"/>
  <c r="K76" i="2"/>
  <c r="J76" i="2"/>
  <c r="I76" i="2"/>
  <c r="H76" i="2"/>
  <c r="G76" i="2"/>
  <c r="F76" i="2"/>
  <c r="E76" i="2"/>
  <c r="L75" i="2"/>
  <c r="K75" i="2"/>
  <c r="J75" i="2"/>
  <c r="I75" i="2"/>
  <c r="H75" i="2"/>
  <c r="G75" i="2"/>
  <c r="F75" i="2"/>
  <c r="E75" i="2"/>
  <c r="L74" i="2"/>
  <c r="K74" i="2"/>
  <c r="J74" i="2"/>
  <c r="I74" i="2"/>
  <c r="H74" i="2"/>
  <c r="G74" i="2"/>
  <c r="F74" i="2"/>
  <c r="E74" i="2"/>
  <c r="L73" i="2"/>
  <c r="K73" i="2"/>
  <c r="J73" i="2"/>
  <c r="I73" i="2"/>
  <c r="H73" i="2"/>
  <c r="G73" i="2"/>
  <c r="F73" i="2"/>
  <c r="E73" i="2"/>
  <c r="L71" i="2"/>
  <c r="K71" i="2"/>
  <c r="J71" i="2"/>
  <c r="I71" i="2"/>
  <c r="H71" i="2"/>
  <c r="G71" i="2"/>
  <c r="F71" i="2"/>
  <c r="E71" i="2"/>
  <c r="L70" i="2"/>
  <c r="K70" i="2"/>
  <c r="J70" i="2"/>
  <c r="I70" i="2"/>
  <c r="H70" i="2"/>
  <c r="G70" i="2"/>
  <c r="F70" i="2"/>
  <c r="E70" i="2"/>
  <c r="L69" i="2"/>
  <c r="K69" i="2"/>
  <c r="J69" i="2"/>
  <c r="I69" i="2"/>
  <c r="H69" i="2"/>
  <c r="G69" i="2"/>
  <c r="F69" i="2"/>
  <c r="E69" i="2"/>
  <c r="L68" i="2"/>
  <c r="K68" i="2"/>
  <c r="J68" i="2"/>
  <c r="I68" i="2"/>
  <c r="H68" i="2"/>
  <c r="G68" i="2"/>
  <c r="F68" i="2"/>
  <c r="E68" i="2"/>
  <c r="L67" i="2"/>
  <c r="K67" i="2"/>
  <c r="J67" i="2"/>
  <c r="I67" i="2"/>
  <c r="H67" i="2"/>
  <c r="G67" i="2"/>
  <c r="F67" i="2"/>
  <c r="E67" i="2"/>
  <c r="L66" i="2"/>
  <c r="K66" i="2"/>
  <c r="J66" i="2"/>
  <c r="I66" i="2"/>
  <c r="H66" i="2"/>
  <c r="G66" i="2"/>
  <c r="F66" i="2"/>
  <c r="E66" i="2"/>
  <c r="L65" i="2"/>
  <c r="K65" i="2"/>
  <c r="I65" i="2"/>
  <c r="H65" i="2"/>
  <c r="G65" i="2"/>
  <c r="F65" i="2"/>
  <c r="E65" i="2"/>
  <c r="L64" i="2"/>
  <c r="K64" i="2"/>
  <c r="I64" i="2"/>
  <c r="H64" i="2"/>
  <c r="G64" i="2"/>
  <c r="F64" i="2"/>
  <c r="E64" i="2"/>
  <c r="L63" i="2"/>
  <c r="K63" i="2"/>
  <c r="I63" i="2"/>
  <c r="H63" i="2"/>
  <c r="G63" i="2"/>
  <c r="F63" i="2"/>
  <c r="E63" i="2"/>
  <c r="L62" i="2"/>
  <c r="K62" i="2"/>
  <c r="I62" i="2"/>
  <c r="H62" i="2"/>
  <c r="G62" i="2"/>
  <c r="F62" i="2"/>
  <c r="E62" i="2"/>
  <c r="L61" i="2"/>
  <c r="K61" i="2"/>
  <c r="J61" i="2"/>
  <c r="I61" i="2"/>
  <c r="H61" i="2"/>
  <c r="G61" i="2"/>
  <c r="F61" i="2"/>
  <c r="E61" i="2"/>
  <c r="L60" i="2"/>
  <c r="K60" i="2"/>
  <c r="J60" i="2"/>
  <c r="I60" i="2"/>
  <c r="H60" i="2"/>
  <c r="G60" i="2"/>
  <c r="F60" i="2"/>
  <c r="E60" i="2"/>
  <c r="L59" i="2"/>
  <c r="K59" i="2"/>
  <c r="J59" i="2"/>
  <c r="I59" i="2"/>
  <c r="H59" i="2"/>
  <c r="G59" i="2"/>
  <c r="F59" i="2"/>
  <c r="E59" i="2"/>
  <c r="L58" i="2"/>
  <c r="K58" i="2"/>
  <c r="J58" i="2"/>
  <c r="I58" i="2"/>
  <c r="H58" i="2"/>
  <c r="G58" i="2"/>
  <c r="F58" i="2"/>
  <c r="E58" i="2"/>
  <c r="L57" i="2"/>
  <c r="K57" i="2"/>
  <c r="J57" i="2"/>
  <c r="I57" i="2"/>
  <c r="H57" i="2"/>
  <c r="G57" i="2"/>
  <c r="F57" i="2"/>
  <c r="E57" i="2"/>
  <c r="L56" i="2"/>
  <c r="K56" i="2"/>
  <c r="J56" i="2"/>
  <c r="I56" i="2"/>
  <c r="H56" i="2"/>
  <c r="G56" i="2"/>
  <c r="F56" i="2"/>
  <c r="E56" i="2"/>
  <c r="L54" i="2"/>
  <c r="K54" i="2"/>
  <c r="J54" i="2"/>
  <c r="I54" i="2"/>
  <c r="H54" i="2"/>
  <c r="G54" i="2"/>
  <c r="F54" i="2"/>
  <c r="E54" i="2"/>
  <c r="L53" i="2"/>
  <c r="K53" i="2"/>
  <c r="J53" i="2"/>
  <c r="I53" i="2"/>
  <c r="H53" i="2"/>
  <c r="G53" i="2"/>
  <c r="F53" i="2"/>
  <c r="E53" i="2"/>
  <c r="L52" i="2"/>
  <c r="K52" i="2"/>
  <c r="J52" i="2"/>
  <c r="I52" i="2"/>
  <c r="H52" i="2"/>
  <c r="G52" i="2"/>
  <c r="F52" i="2"/>
  <c r="E52" i="2"/>
  <c r="L51" i="2"/>
  <c r="K51" i="2"/>
  <c r="J51" i="2"/>
  <c r="I51" i="2"/>
  <c r="H51" i="2"/>
  <c r="G51" i="2"/>
  <c r="F51" i="2"/>
  <c r="E51" i="2"/>
  <c r="L50" i="2"/>
  <c r="K50" i="2"/>
  <c r="J50" i="2"/>
  <c r="I50" i="2"/>
  <c r="H50" i="2"/>
  <c r="G50" i="2"/>
  <c r="F50" i="2"/>
  <c r="E50" i="2"/>
  <c r="L49" i="2"/>
  <c r="K49" i="2"/>
  <c r="J49" i="2"/>
  <c r="I49" i="2"/>
  <c r="H49" i="2"/>
  <c r="G49" i="2"/>
  <c r="F49" i="2"/>
  <c r="E49" i="2"/>
  <c r="L48" i="2"/>
  <c r="K48" i="2"/>
  <c r="J48" i="2"/>
  <c r="I48" i="2"/>
  <c r="H48" i="2"/>
  <c r="G48" i="2"/>
  <c r="F48" i="2"/>
  <c r="E48" i="2"/>
  <c r="L47" i="2"/>
  <c r="K47" i="2"/>
  <c r="J47" i="2"/>
  <c r="I47" i="2"/>
  <c r="H47" i="2"/>
  <c r="G47" i="2"/>
  <c r="F47" i="2"/>
  <c r="E47" i="2"/>
  <c r="L46" i="2"/>
  <c r="K46" i="2"/>
  <c r="J46" i="2"/>
  <c r="I46" i="2"/>
  <c r="H46" i="2"/>
  <c r="G46" i="2"/>
  <c r="F46" i="2"/>
  <c r="E46" i="2"/>
  <c r="L45" i="2"/>
  <c r="K45" i="2"/>
  <c r="J45" i="2"/>
  <c r="I45" i="2"/>
  <c r="H45" i="2"/>
  <c r="G45" i="2"/>
  <c r="F45" i="2"/>
  <c r="E45" i="2"/>
  <c r="L44" i="2"/>
  <c r="K44" i="2"/>
  <c r="J44" i="2"/>
  <c r="I44" i="2"/>
  <c r="H44" i="2"/>
  <c r="G44" i="2"/>
  <c r="F44" i="2"/>
  <c r="E44" i="2"/>
  <c r="L43" i="2"/>
  <c r="K43" i="2"/>
  <c r="J43" i="2"/>
  <c r="I43" i="2"/>
  <c r="H43" i="2"/>
  <c r="G43" i="2"/>
  <c r="F43" i="2"/>
  <c r="E43" i="2"/>
  <c r="L42" i="2"/>
  <c r="K42" i="2"/>
  <c r="J42" i="2"/>
  <c r="I42" i="2"/>
  <c r="H42" i="2"/>
  <c r="G42" i="2"/>
  <c r="F42" i="2"/>
  <c r="E42" i="2"/>
  <c r="L41" i="2"/>
  <c r="K41" i="2"/>
  <c r="J41" i="2"/>
  <c r="I41" i="2"/>
  <c r="H41" i="2"/>
  <c r="G41" i="2"/>
  <c r="F41" i="2"/>
  <c r="E41" i="2"/>
  <c r="L40" i="2"/>
  <c r="K40" i="2"/>
  <c r="J40" i="2"/>
  <c r="I40" i="2"/>
  <c r="H40" i="2"/>
  <c r="G40" i="2"/>
  <c r="F40" i="2"/>
  <c r="E40" i="2"/>
  <c r="L39" i="2"/>
  <c r="K39" i="2"/>
  <c r="J39" i="2"/>
  <c r="I39" i="2"/>
  <c r="H39" i="2"/>
  <c r="G39" i="2"/>
  <c r="F39" i="2"/>
  <c r="E39" i="2"/>
  <c r="L37" i="2"/>
  <c r="K37" i="2"/>
  <c r="J37" i="2"/>
  <c r="I37" i="2"/>
  <c r="H37" i="2"/>
  <c r="G37" i="2"/>
  <c r="F37" i="2"/>
  <c r="E37" i="2"/>
  <c r="L36" i="2"/>
  <c r="K36" i="2"/>
  <c r="J36" i="2"/>
  <c r="I36" i="2"/>
  <c r="H36" i="2"/>
  <c r="G36" i="2"/>
  <c r="F36" i="2"/>
  <c r="E36" i="2"/>
  <c r="L35" i="2"/>
  <c r="K35" i="2"/>
  <c r="J35" i="2"/>
  <c r="I35" i="2"/>
  <c r="H35" i="2"/>
  <c r="G35" i="2"/>
  <c r="F35" i="2"/>
  <c r="E35" i="2"/>
  <c r="L34" i="2"/>
  <c r="K34" i="2"/>
  <c r="J34" i="2"/>
  <c r="I34" i="2"/>
  <c r="H34" i="2"/>
  <c r="G34" i="2"/>
  <c r="F34" i="2"/>
  <c r="E34" i="2"/>
  <c r="L33" i="2"/>
  <c r="K33" i="2"/>
  <c r="J33" i="2"/>
  <c r="I33" i="2"/>
  <c r="H33" i="2"/>
  <c r="G33" i="2"/>
  <c r="F33" i="2"/>
  <c r="E33" i="2"/>
  <c r="L32" i="2"/>
  <c r="K32" i="2"/>
  <c r="J32" i="2"/>
  <c r="I32" i="2"/>
  <c r="H32" i="2"/>
  <c r="G32" i="2"/>
  <c r="F32" i="2"/>
  <c r="E32" i="2"/>
  <c r="L31" i="2"/>
  <c r="K31" i="2"/>
  <c r="J31" i="2"/>
  <c r="I31" i="2"/>
  <c r="H31" i="2"/>
  <c r="G31" i="2"/>
  <c r="F31" i="2"/>
  <c r="E31" i="2"/>
  <c r="L30" i="2"/>
  <c r="K30" i="2"/>
  <c r="J30" i="2"/>
  <c r="I30" i="2"/>
  <c r="H30" i="2"/>
  <c r="G30" i="2"/>
  <c r="F30" i="2"/>
  <c r="E30" i="2"/>
  <c r="L29" i="2"/>
  <c r="K29" i="2"/>
  <c r="J29" i="2"/>
  <c r="I29" i="2"/>
  <c r="H29" i="2"/>
  <c r="G29" i="2"/>
  <c r="F29" i="2"/>
  <c r="E29" i="2"/>
  <c r="L28" i="2"/>
  <c r="K28" i="2"/>
  <c r="J28" i="2"/>
  <c r="I28" i="2"/>
  <c r="H28" i="2"/>
  <c r="G28" i="2"/>
  <c r="F28" i="2"/>
  <c r="E28" i="2"/>
  <c r="L27" i="2"/>
  <c r="K27" i="2"/>
  <c r="J27" i="2"/>
  <c r="I27" i="2"/>
  <c r="H27" i="2"/>
  <c r="G27" i="2"/>
  <c r="F27" i="2"/>
  <c r="E27" i="2"/>
  <c r="L26" i="2"/>
  <c r="K26" i="2"/>
  <c r="J26" i="2"/>
  <c r="I26" i="2"/>
  <c r="H26" i="2"/>
  <c r="G26" i="2"/>
  <c r="F26" i="2"/>
  <c r="E26" i="2"/>
  <c r="L25" i="2"/>
  <c r="K25" i="2"/>
  <c r="J25" i="2"/>
  <c r="I25" i="2"/>
  <c r="H25" i="2"/>
  <c r="G25" i="2"/>
  <c r="F25" i="2"/>
  <c r="E25" i="2"/>
  <c r="L24" i="2"/>
  <c r="K24" i="2"/>
  <c r="J24" i="2"/>
  <c r="I24" i="2"/>
  <c r="H24" i="2"/>
  <c r="G24" i="2"/>
  <c r="F24" i="2"/>
  <c r="E24" i="2"/>
  <c r="L23" i="2"/>
  <c r="K23" i="2"/>
  <c r="J23" i="2"/>
  <c r="I23" i="2"/>
  <c r="H23" i="2"/>
  <c r="G23" i="2"/>
  <c r="F23" i="2"/>
  <c r="E23" i="2"/>
  <c r="L22" i="2"/>
  <c r="K22" i="2"/>
  <c r="J22" i="2"/>
  <c r="I22" i="2"/>
  <c r="H22" i="2"/>
  <c r="G22" i="2"/>
  <c r="F22" i="2"/>
  <c r="E22" i="2"/>
  <c r="L20" i="2"/>
  <c r="K20" i="2"/>
  <c r="J20" i="2"/>
  <c r="I20" i="2"/>
  <c r="H20" i="2"/>
  <c r="G20" i="2"/>
  <c r="E20" i="2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H17" i="2"/>
  <c r="G17" i="2"/>
  <c r="F17" i="2"/>
  <c r="E17" i="2"/>
  <c r="L16" i="2"/>
  <c r="K16" i="2"/>
  <c r="J16" i="2"/>
  <c r="I16" i="2"/>
  <c r="H16" i="2"/>
  <c r="G16" i="2"/>
  <c r="F16" i="2"/>
  <c r="E16" i="2"/>
  <c r="L15" i="2"/>
  <c r="K15" i="2"/>
  <c r="J15" i="2"/>
  <c r="I15" i="2"/>
  <c r="H15" i="2"/>
  <c r="G15" i="2"/>
  <c r="F15" i="2"/>
  <c r="E15" i="2"/>
  <c r="L14" i="2"/>
  <c r="K14" i="2"/>
  <c r="J14" i="2"/>
  <c r="I14" i="2"/>
  <c r="H14" i="2"/>
  <c r="G14" i="2"/>
  <c r="E14" i="2"/>
  <c r="L13" i="2"/>
  <c r="K13" i="2"/>
  <c r="J13" i="2"/>
  <c r="I13" i="2"/>
  <c r="H13" i="2"/>
  <c r="G13" i="2"/>
  <c r="F13" i="2"/>
  <c r="E13" i="2"/>
  <c r="L12" i="2"/>
  <c r="K12" i="2"/>
  <c r="J12" i="2"/>
  <c r="I12" i="2"/>
  <c r="H12" i="2"/>
  <c r="G12" i="2"/>
  <c r="F12" i="2"/>
  <c r="E12" i="2"/>
  <c r="L11" i="2"/>
  <c r="K11" i="2"/>
  <c r="I11" i="2"/>
  <c r="H11" i="2"/>
  <c r="G11" i="2"/>
  <c r="F11" i="2"/>
  <c r="E11" i="2"/>
  <c r="L10" i="2"/>
  <c r="K10" i="2"/>
  <c r="J10" i="2"/>
  <c r="I10" i="2"/>
  <c r="H10" i="2"/>
  <c r="G10" i="2"/>
  <c r="F10" i="2"/>
  <c r="E10" i="2"/>
  <c r="L9" i="2"/>
  <c r="K9" i="2"/>
  <c r="J9" i="2"/>
  <c r="I9" i="2"/>
  <c r="H9" i="2"/>
  <c r="G9" i="2"/>
  <c r="E9" i="2"/>
  <c r="L8" i="2"/>
  <c r="K8" i="2"/>
  <c r="J8" i="2"/>
  <c r="I8" i="2"/>
  <c r="H8" i="2"/>
  <c r="G8" i="2"/>
  <c r="F8" i="2"/>
  <c r="E8" i="2"/>
  <c r="L7" i="2"/>
  <c r="K7" i="2"/>
  <c r="J7" i="2"/>
  <c r="I7" i="2"/>
  <c r="H7" i="2"/>
  <c r="G7" i="2"/>
  <c r="E7" i="2"/>
  <c r="L6" i="2"/>
  <c r="K6" i="2"/>
  <c r="J6" i="2"/>
  <c r="I6" i="2"/>
  <c r="H6" i="2"/>
  <c r="G6" i="2"/>
  <c r="E6" i="2"/>
  <c r="L5" i="2"/>
  <c r="B17" i="1" s="1"/>
  <c r="K5" i="2"/>
  <c r="B16" i="1" s="1"/>
  <c r="J5" i="2"/>
  <c r="B15" i="1" s="1"/>
  <c r="I5" i="2"/>
  <c r="B14" i="1" s="1"/>
  <c r="H5" i="2"/>
  <c r="B13" i="1" s="1"/>
  <c r="G5" i="2"/>
  <c r="B12" i="1" s="1"/>
  <c r="E5" i="2"/>
  <c r="B10" i="1" s="1"/>
  <c r="AM8" i="3"/>
  <c r="AX4" i="3"/>
  <c r="AK4" i="3"/>
  <c r="K4" i="3"/>
  <c r="J4" i="3"/>
  <c r="I4" i="3"/>
  <c r="H4" i="3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B21" i="1"/>
  <c r="B20" i="1"/>
  <c r="B19" i="1"/>
  <c r="B18" i="1"/>
  <c r="B6" i="1"/>
  <c r="B5" i="1"/>
  <c r="P3" i="4" l="1"/>
  <c r="G9" i="9" s="1"/>
  <c r="G4" i="9" s="1"/>
  <c r="O15" i="5"/>
  <c r="F11" i="9" s="1"/>
  <c r="F6" i="9" s="1"/>
  <c r="M380" i="2"/>
  <c r="F295" i="2"/>
  <c r="K278" i="2"/>
  <c r="H295" i="2"/>
  <c r="G210" i="2"/>
  <c r="L193" i="2"/>
  <c r="L227" i="2"/>
  <c r="G346" i="2"/>
  <c r="H123" i="2"/>
  <c r="H157" i="2"/>
  <c r="E19" i="6"/>
  <c r="H140" i="2"/>
  <c r="F19" i="6"/>
  <c r="F18" i="6" s="1"/>
  <c r="G19" i="6"/>
  <c r="G18" i="6" s="1"/>
  <c r="H4" i="5"/>
  <c r="H3" i="5" s="1"/>
  <c r="L4" i="5"/>
  <c r="L3" i="5" s="1"/>
  <c r="J10" i="5"/>
  <c r="J9" i="5" s="1"/>
  <c r="M4" i="5"/>
  <c r="M3" i="5" s="1"/>
  <c r="K4" i="5"/>
  <c r="K3" i="5" s="1"/>
  <c r="G4" i="5"/>
  <c r="G3" i="5" s="1"/>
  <c r="N4" i="5"/>
  <c r="N3" i="5" s="1"/>
  <c r="D4" i="5"/>
  <c r="D3" i="5" s="1"/>
  <c r="F10" i="5"/>
  <c r="F9" i="5" s="1"/>
  <c r="M10" i="5"/>
  <c r="M9" i="5" s="1"/>
  <c r="G10" i="5"/>
  <c r="G9" i="5" s="1"/>
  <c r="N10" i="5"/>
  <c r="N9" i="5" s="1"/>
  <c r="K10" i="5"/>
  <c r="K9" i="5" s="1"/>
  <c r="I3" i="8"/>
  <c r="E9" i="9" s="1"/>
  <c r="E4" i="9" s="1"/>
  <c r="I23" i="8"/>
  <c r="E11" i="9" s="1"/>
  <c r="E6" i="9" s="1"/>
  <c r="I13" i="8"/>
  <c r="E10" i="9" s="1"/>
  <c r="E5" i="9" s="1"/>
  <c r="E123" i="2"/>
  <c r="K312" i="2"/>
  <c r="M3" i="2"/>
  <c r="C18" i="1" s="1"/>
  <c r="L157" i="2"/>
  <c r="J261" i="2"/>
  <c r="I30" i="6"/>
  <c r="I25" i="6"/>
  <c r="I29" i="6"/>
  <c r="I34" i="6"/>
  <c r="I21" i="6"/>
  <c r="I42" i="6"/>
  <c r="P5" i="4"/>
  <c r="G10" i="9" s="1"/>
  <c r="G5" i="9" s="1"/>
  <c r="D10" i="5"/>
  <c r="D9" i="5" s="1"/>
  <c r="L10" i="5"/>
  <c r="L9" i="5" s="1"/>
  <c r="E10" i="5"/>
  <c r="E9" i="5" s="1"/>
  <c r="I10" i="5"/>
  <c r="I9" i="5" s="1"/>
  <c r="I4" i="5"/>
  <c r="I3" i="5" s="1"/>
  <c r="H10" i="5"/>
  <c r="H9" i="5" s="1"/>
  <c r="Q340" i="2"/>
  <c r="Q341" i="2"/>
  <c r="Q342" i="2"/>
  <c r="Q343" i="2"/>
  <c r="Q344" i="2"/>
  <c r="Q345" i="2"/>
  <c r="O3" i="2"/>
  <c r="C20" i="1" s="1"/>
  <c r="P3" i="2"/>
  <c r="C21" i="1" s="1"/>
  <c r="Q308" i="2"/>
  <c r="Q518" i="2"/>
  <c r="Q519" i="2"/>
  <c r="Q528" i="2"/>
  <c r="L244" i="2"/>
  <c r="H261" i="2"/>
  <c r="Q405" i="2"/>
  <c r="Q406" i="2"/>
  <c r="Q407" i="2"/>
  <c r="Q408" i="2"/>
  <c r="Q409" i="2"/>
  <c r="Q410" i="2"/>
  <c r="Q411" i="2"/>
  <c r="Q412" i="2"/>
  <c r="H449" i="2"/>
  <c r="Q217" i="2"/>
  <c r="Q218" i="2"/>
  <c r="Q219" i="2"/>
  <c r="Q220" i="2"/>
  <c r="Q221" i="2"/>
  <c r="Q222" i="2"/>
  <c r="Q223" i="2"/>
  <c r="Q224" i="2"/>
  <c r="Q248" i="2"/>
  <c r="Q256" i="2"/>
  <c r="Q288" i="2"/>
  <c r="L312" i="2"/>
  <c r="Q436" i="2"/>
  <c r="Q444" i="2"/>
  <c r="Q476" i="2"/>
  <c r="Q321" i="2"/>
  <c r="Q322" i="2"/>
  <c r="Q323" i="2"/>
  <c r="Q324" i="2"/>
  <c r="Q325" i="2"/>
  <c r="Q326" i="2"/>
  <c r="Q327" i="2"/>
  <c r="Q328" i="2"/>
  <c r="Q516" i="2"/>
  <c r="Q541" i="2"/>
  <c r="Q542" i="2"/>
  <c r="Q543" i="2"/>
  <c r="Q544" i="2"/>
  <c r="Q545" i="2"/>
  <c r="Q546" i="2"/>
  <c r="Q547" i="2"/>
  <c r="Q548" i="2"/>
  <c r="J534" i="2"/>
  <c r="L381" i="2"/>
  <c r="Q360" i="2"/>
  <c r="Q382" i="2"/>
  <c r="Q383" i="2"/>
  <c r="Q392" i="2"/>
  <c r="Q416" i="2"/>
  <c r="Q424" i="2"/>
  <c r="Q425" i="2"/>
  <c r="Q426" i="2"/>
  <c r="Q427" i="2"/>
  <c r="Q428" i="2"/>
  <c r="Q429" i="2"/>
  <c r="Q430" i="2"/>
  <c r="Q431" i="2"/>
  <c r="L449" i="2"/>
  <c r="F517" i="2"/>
  <c r="Q194" i="2"/>
  <c r="Q195" i="2"/>
  <c r="Q204" i="2"/>
  <c r="Q228" i="2"/>
  <c r="M192" i="2"/>
  <c r="Q276" i="2"/>
  <c r="Q464" i="2"/>
  <c r="Q496" i="2"/>
  <c r="I193" i="2"/>
  <c r="O192" i="2"/>
  <c r="J210" i="2"/>
  <c r="F244" i="2"/>
  <c r="Q249" i="2"/>
  <c r="Q250" i="2"/>
  <c r="Q251" i="2"/>
  <c r="Q252" i="2"/>
  <c r="Q253" i="2"/>
  <c r="Q254" i="2"/>
  <c r="Q255" i="2"/>
  <c r="G261" i="2"/>
  <c r="Q277" i="2"/>
  <c r="G278" i="2"/>
  <c r="K329" i="2"/>
  <c r="Q347" i="2"/>
  <c r="Q348" i="2"/>
  <c r="Q349" i="2"/>
  <c r="Q350" i="2"/>
  <c r="Q351" i="2"/>
  <c r="E346" i="2"/>
  <c r="Q352" i="2"/>
  <c r="L346" i="2"/>
  <c r="I381" i="2"/>
  <c r="O380" i="2"/>
  <c r="J398" i="2"/>
  <c r="K415" i="2"/>
  <c r="Q433" i="2"/>
  <c r="Q434" i="2"/>
  <c r="Q435" i="2"/>
  <c r="L432" i="2"/>
  <c r="F449" i="2"/>
  <c r="Q457" i="2"/>
  <c r="Q458" i="2"/>
  <c r="Q459" i="2"/>
  <c r="Q460" i="2"/>
  <c r="Q461" i="2"/>
  <c r="Q462" i="2"/>
  <c r="Q463" i="2"/>
  <c r="F466" i="2"/>
  <c r="Q477" i="2"/>
  <c r="Q478" i="2"/>
  <c r="Q479" i="2"/>
  <c r="Q480" i="2"/>
  <c r="Q481" i="2"/>
  <c r="Q482" i="2"/>
  <c r="H483" i="2"/>
  <c r="I517" i="2"/>
  <c r="Q551" i="2"/>
  <c r="J193" i="2"/>
  <c r="K210" i="2"/>
  <c r="Q229" i="2"/>
  <c r="Q230" i="2"/>
  <c r="Q231" i="2"/>
  <c r="Q232" i="2"/>
  <c r="Q233" i="2"/>
  <c r="Q234" i="2"/>
  <c r="Q235" i="2"/>
  <c r="E227" i="2"/>
  <c r="Q236" i="2"/>
  <c r="G244" i="2"/>
  <c r="Q257" i="2"/>
  <c r="Q258" i="2"/>
  <c r="Q259" i="2"/>
  <c r="Q260" i="2"/>
  <c r="H278" i="2"/>
  <c r="N192" i="2"/>
  <c r="I295" i="2"/>
  <c r="Q330" i="2"/>
  <c r="Q331" i="2"/>
  <c r="E329" i="2"/>
  <c r="Q332" i="2"/>
  <c r="F346" i="2"/>
  <c r="Q353" i="2"/>
  <c r="Q354" i="2"/>
  <c r="Q355" i="2"/>
  <c r="Q356" i="2"/>
  <c r="Q357" i="2"/>
  <c r="Q358" i="2"/>
  <c r="Q359" i="2"/>
  <c r="J381" i="2"/>
  <c r="K398" i="2"/>
  <c r="F432" i="2"/>
  <c r="Q437" i="2"/>
  <c r="Q438" i="2"/>
  <c r="Q439" i="2"/>
  <c r="Q440" i="2"/>
  <c r="Q441" i="2"/>
  <c r="Q442" i="2"/>
  <c r="Q443" i="2"/>
  <c r="G449" i="2"/>
  <c r="Q465" i="2"/>
  <c r="G466" i="2"/>
  <c r="J500" i="2"/>
  <c r="J517" i="2"/>
  <c r="K193" i="2"/>
  <c r="Q211" i="2"/>
  <c r="Q212" i="2"/>
  <c r="Q213" i="2"/>
  <c r="Q214" i="2"/>
  <c r="Q215" i="2"/>
  <c r="E210" i="2"/>
  <c r="Q216" i="2"/>
  <c r="L210" i="2"/>
  <c r="F227" i="2"/>
  <c r="Q237" i="2"/>
  <c r="Q238" i="2"/>
  <c r="Q239" i="2"/>
  <c r="Q240" i="2"/>
  <c r="Q241" i="2"/>
  <c r="Q242" i="2"/>
  <c r="Q243" i="2"/>
  <c r="I261" i="2"/>
  <c r="I278" i="2"/>
  <c r="J295" i="2"/>
  <c r="Q313" i="2"/>
  <c r="Q314" i="2"/>
  <c r="Q315" i="2"/>
  <c r="Q316" i="2"/>
  <c r="Q317" i="2"/>
  <c r="Q318" i="2"/>
  <c r="Q319" i="2"/>
  <c r="E312" i="2"/>
  <c r="Q320" i="2"/>
  <c r="F329" i="2"/>
  <c r="Q333" i="2"/>
  <c r="Q334" i="2"/>
  <c r="Q335" i="2"/>
  <c r="Q336" i="2"/>
  <c r="Q337" i="2"/>
  <c r="Q338" i="2"/>
  <c r="Q339" i="2"/>
  <c r="Q361" i="2"/>
  <c r="Q362" i="2"/>
  <c r="K381" i="2"/>
  <c r="Q399" i="2"/>
  <c r="Q400" i="2"/>
  <c r="Q401" i="2"/>
  <c r="Q402" i="2"/>
  <c r="Q403" i="2"/>
  <c r="E398" i="2"/>
  <c r="Q404" i="2"/>
  <c r="L398" i="2"/>
  <c r="Q417" i="2"/>
  <c r="E415" i="2"/>
  <c r="Q419" i="2"/>
  <c r="Q420" i="2"/>
  <c r="Q421" i="2"/>
  <c r="Q422" i="2"/>
  <c r="Q423" i="2"/>
  <c r="G432" i="2"/>
  <c r="Q445" i="2"/>
  <c r="Q446" i="2"/>
  <c r="Q447" i="2"/>
  <c r="Q448" i="2"/>
  <c r="H466" i="2"/>
  <c r="N380" i="2"/>
  <c r="I483" i="2"/>
  <c r="K500" i="2"/>
  <c r="K517" i="2"/>
  <c r="Q535" i="2"/>
  <c r="Q536" i="2"/>
  <c r="Q537" i="2"/>
  <c r="Q538" i="2"/>
  <c r="Q539" i="2"/>
  <c r="E534" i="2"/>
  <c r="Q540" i="2"/>
  <c r="L534" i="2"/>
  <c r="E193" i="2"/>
  <c r="Q193" i="2" s="1"/>
  <c r="Q196" i="2"/>
  <c r="F210" i="2"/>
  <c r="G227" i="2"/>
  <c r="H244" i="2"/>
  <c r="J278" i="2"/>
  <c r="K295" i="2"/>
  <c r="F312" i="2"/>
  <c r="H346" i="2"/>
  <c r="E381" i="2"/>
  <c r="Q384" i="2"/>
  <c r="F398" i="2"/>
  <c r="I449" i="2"/>
  <c r="I466" i="2"/>
  <c r="J483" i="2"/>
  <c r="E517" i="2"/>
  <c r="Q520" i="2"/>
  <c r="F534" i="2"/>
  <c r="F193" i="2"/>
  <c r="Q197" i="2"/>
  <c r="Q198" i="2"/>
  <c r="Q199" i="2"/>
  <c r="Q200" i="2"/>
  <c r="Q201" i="2"/>
  <c r="Q202" i="2"/>
  <c r="Q203" i="2"/>
  <c r="Q225" i="2"/>
  <c r="Q226" i="2"/>
  <c r="H227" i="2"/>
  <c r="I244" i="2"/>
  <c r="Q296" i="2"/>
  <c r="Q297" i="2"/>
  <c r="Q298" i="2"/>
  <c r="Q299" i="2"/>
  <c r="E295" i="2"/>
  <c r="Q300" i="2"/>
  <c r="L295" i="2"/>
  <c r="G312" i="2"/>
  <c r="G329" i="2"/>
  <c r="I346" i="2"/>
  <c r="F381" i="2"/>
  <c r="Q385" i="2"/>
  <c r="Q386" i="2"/>
  <c r="Q387" i="2"/>
  <c r="Q388" i="2"/>
  <c r="Q389" i="2"/>
  <c r="Q390" i="2"/>
  <c r="Q391" i="2"/>
  <c r="Q413" i="2"/>
  <c r="Q414" i="2"/>
  <c r="G415" i="2"/>
  <c r="H432" i="2"/>
  <c r="J449" i="2"/>
  <c r="J466" i="2"/>
  <c r="K483" i="2"/>
  <c r="Q501" i="2"/>
  <c r="Q502" i="2"/>
  <c r="Q503" i="2"/>
  <c r="Q504" i="2"/>
  <c r="Q505" i="2"/>
  <c r="Q506" i="2"/>
  <c r="Q507" i="2"/>
  <c r="E500" i="2"/>
  <c r="Q508" i="2"/>
  <c r="L500" i="2"/>
  <c r="Q521" i="2"/>
  <c r="Q522" i="2"/>
  <c r="Q523" i="2"/>
  <c r="Q524" i="2"/>
  <c r="Q525" i="2"/>
  <c r="Q526" i="2"/>
  <c r="Q527" i="2"/>
  <c r="Q549" i="2"/>
  <c r="Q550" i="2"/>
  <c r="Q205" i="2"/>
  <c r="Q206" i="2"/>
  <c r="Q207" i="2"/>
  <c r="Q208" i="2"/>
  <c r="Q209" i="2"/>
  <c r="H210" i="2"/>
  <c r="I227" i="2"/>
  <c r="J244" i="2"/>
  <c r="P192" i="2"/>
  <c r="K261" i="2"/>
  <c r="Q279" i="2"/>
  <c r="E278" i="2"/>
  <c r="Q280" i="2"/>
  <c r="L278" i="2"/>
  <c r="Q301" i="2"/>
  <c r="Q302" i="2"/>
  <c r="Q303" i="2"/>
  <c r="Q304" i="2"/>
  <c r="Q305" i="2"/>
  <c r="Q306" i="2"/>
  <c r="Q307" i="2"/>
  <c r="H312" i="2"/>
  <c r="H329" i="2"/>
  <c r="Q393" i="2"/>
  <c r="Q394" i="2"/>
  <c r="Q395" i="2"/>
  <c r="Q396" i="2"/>
  <c r="Q397" i="2"/>
  <c r="H398" i="2"/>
  <c r="H415" i="2"/>
  <c r="I432" i="2"/>
  <c r="Q484" i="2"/>
  <c r="Q485" i="2"/>
  <c r="Q486" i="2"/>
  <c r="Q487" i="2"/>
  <c r="E483" i="2"/>
  <c r="Q488" i="2"/>
  <c r="L483" i="2"/>
  <c r="F500" i="2"/>
  <c r="Q509" i="2"/>
  <c r="Q510" i="2"/>
  <c r="Q511" i="2"/>
  <c r="Q512" i="2"/>
  <c r="Q513" i="2"/>
  <c r="Q514" i="2"/>
  <c r="Q515" i="2"/>
  <c r="G517" i="2"/>
  <c r="Q529" i="2"/>
  <c r="Q530" i="2"/>
  <c r="Q531" i="2"/>
  <c r="Q532" i="2"/>
  <c r="Q533" i="2"/>
  <c r="H534" i="2"/>
  <c r="K4" i="2"/>
  <c r="K21" i="2"/>
  <c r="K38" i="2"/>
  <c r="K55" i="2"/>
  <c r="K72" i="2"/>
  <c r="K89" i="2"/>
  <c r="K106" i="2"/>
  <c r="Q160" i="2"/>
  <c r="G193" i="2"/>
  <c r="I210" i="2"/>
  <c r="J227" i="2"/>
  <c r="K244" i="2"/>
  <c r="Q262" i="2"/>
  <c r="Q263" i="2"/>
  <c r="Q264" i="2"/>
  <c r="Q265" i="2"/>
  <c r="Q266" i="2"/>
  <c r="Q267" i="2"/>
  <c r="E261" i="2"/>
  <c r="Q268" i="2"/>
  <c r="L261" i="2"/>
  <c r="Q281" i="2"/>
  <c r="Q282" i="2"/>
  <c r="Q283" i="2"/>
  <c r="Q284" i="2"/>
  <c r="Q285" i="2"/>
  <c r="Q286" i="2"/>
  <c r="Q287" i="2"/>
  <c r="G295" i="2"/>
  <c r="Q309" i="2"/>
  <c r="Q310" i="2"/>
  <c r="Q311" i="2"/>
  <c r="I312" i="2"/>
  <c r="I329" i="2"/>
  <c r="J346" i="2"/>
  <c r="Q363" i="2"/>
  <c r="G381" i="2"/>
  <c r="I398" i="2"/>
  <c r="I415" i="2"/>
  <c r="J432" i="2"/>
  <c r="P380" i="2"/>
  <c r="K449" i="2"/>
  <c r="Q467" i="2"/>
  <c r="E466" i="2"/>
  <c r="Q468" i="2"/>
  <c r="L466" i="2"/>
  <c r="Q489" i="2"/>
  <c r="Q490" i="2"/>
  <c r="Q491" i="2"/>
  <c r="Q492" i="2"/>
  <c r="Q493" i="2"/>
  <c r="Q494" i="2"/>
  <c r="Q495" i="2"/>
  <c r="G500" i="2"/>
  <c r="H517" i="2"/>
  <c r="I534" i="2"/>
  <c r="H193" i="2"/>
  <c r="K227" i="2"/>
  <c r="Q245" i="2"/>
  <c r="Q246" i="2"/>
  <c r="Q247" i="2"/>
  <c r="F261" i="2"/>
  <c r="Q269" i="2"/>
  <c r="Q270" i="2"/>
  <c r="Q271" i="2"/>
  <c r="Q272" i="2"/>
  <c r="Q273" i="2"/>
  <c r="Q274" i="2"/>
  <c r="Q275" i="2"/>
  <c r="F278" i="2"/>
  <c r="Q289" i="2"/>
  <c r="Q290" i="2"/>
  <c r="Q291" i="2"/>
  <c r="Q292" i="2"/>
  <c r="Q293" i="2"/>
  <c r="Q294" i="2"/>
  <c r="J312" i="2"/>
  <c r="J329" i="2"/>
  <c r="K346" i="2"/>
  <c r="H381" i="2"/>
  <c r="K432" i="2"/>
  <c r="Q450" i="2"/>
  <c r="Q451" i="2"/>
  <c r="Q452" i="2"/>
  <c r="Q453" i="2"/>
  <c r="Q454" i="2"/>
  <c r="Q455" i="2"/>
  <c r="E449" i="2"/>
  <c r="Q456" i="2"/>
  <c r="Q469" i="2"/>
  <c r="Q470" i="2"/>
  <c r="Q471" i="2"/>
  <c r="Q472" i="2"/>
  <c r="Q473" i="2"/>
  <c r="Q474" i="2"/>
  <c r="Q475" i="2"/>
  <c r="G483" i="2"/>
  <c r="Q497" i="2"/>
  <c r="Q498" i="2"/>
  <c r="Q499" i="2"/>
  <c r="H500" i="2"/>
  <c r="E4" i="5"/>
  <c r="E3" i="5" s="1"/>
  <c r="P7" i="4"/>
  <c r="G11" i="9" s="1"/>
  <c r="G6" i="9" s="1"/>
  <c r="I43" i="6"/>
  <c r="I26" i="6"/>
  <c r="I41" i="6"/>
  <c r="I38" i="6"/>
  <c r="I20" i="6"/>
  <c r="I22" i="6"/>
  <c r="I35" i="6"/>
  <c r="I28" i="6"/>
  <c r="I40" i="6"/>
  <c r="I27" i="6"/>
  <c r="I33" i="6"/>
  <c r="I37" i="6"/>
  <c r="I39" i="6"/>
  <c r="I24" i="6"/>
  <c r="I14" i="6"/>
  <c r="I15" i="6"/>
  <c r="I16" i="6"/>
  <c r="I11" i="6"/>
  <c r="I12" i="6"/>
  <c r="I13" i="6"/>
  <c r="P6" i="4"/>
  <c r="J4" i="5"/>
  <c r="J3" i="5" s="1"/>
  <c r="F4" i="5"/>
  <c r="F3" i="5" s="1"/>
  <c r="O5" i="5"/>
  <c r="O6" i="5"/>
  <c r="O7" i="5"/>
  <c r="O8" i="5"/>
  <c r="O12" i="5"/>
  <c r="I6" i="6"/>
  <c r="O13" i="5"/>
  <c r="O14" i="5"/>
  <c r="Q418" i="2"/>
  <c r="E4" i="2"/>
  <c r="E21" i="2"/>
  <c r="L21" i="2"/>
  <c r="E38" i="2"/>
  <c r="L38" i="2"/>
  <c r="E55" i="2"/>
  <c r="L55" i="2"/>
  <c r="E72" i="2"/>
  <c r="L72" i="2"/>
  <c r="E89" i="2"/>
  <c r="L89" i="2"/>
  <c r="E106" i="2"/>
  <c r="L106" i="2"/>
  <c r="F38" i="2"/>
  <c r="F72" i="2"/>
  <c r="F106" i="2"/>
  <c r="G4" i="2"/>
  <c r="G21" i="2"/>
  <c r="G38" i="2"/>
  <c r="G55" i="2"/>
  <c r="G72" i="2"/>
  <c r="G89" i="2"/>
  <c r="G106" i="2"/>
  <c r="L123" i="2"/>
  <c r="H4" i="2"/>
  <c r="H21" i="2"/>
  <c r="H38" i="2"/>
  <c r="H55" i="2"/>
  <c r="H72" i="2"/>
  <c r="H89" i="2"/>
  <c r="H106" i="2"/>
  <c r="L4" i="2"/>
  <c r="I21" i="2"/>
  <c r="F21" i="2"/>
  <c r="I38" i="2"/>
  <c r="J38" i="2"/>
  <c r="I55" i="2"/>
  <c r="F55" i="2"/>
  <c r="I72" i="2"/>
  <c r="J72" i="2"/>
  <c r="I89" i="2"/>
  <c r="F89" i="2"/>
  <c r="I106" i="2"/>
  <c r="J106" i="2"/>
  <c r="Q124" i="2"/>
  <c r="Q132" i="2"/>
  <c r="Q141" i="2"/>
  <c r="Q148" i="2"/>
  <c r="Q149" i="2"/>
  <c r="Q156" i="2"/>
  <c r="Q165" i="2"/>
  <c r="Q168" i="2"/>
  <c r="Q173" i="2"/>
  <c r="C19" i="1"/>
  <c r="J21" i="2"/>
  <c r="J55" i="2"/>
  <c r="J89" i="2"/>
  <c r="Q142" i="2"/>
  <c r="Q143" i="2"/>
  <c r="Q144" i="2"/>
  <c r="Q145" i="2"/>
  <c r="Q146" i="2"/>
  <c r="Q147" i="2"/>
  <c r="Q150" i="2"/>
  <c r="Q151" i="2"/>
  <c r="Q152" i="2"/>
  <c r="Q153" i="2"/>
  <c r="Q154" i="2"/>
  <c r="Q155" i="2"/>
  <c r="Q158" i="2"/>
  <c r="Q159" i="2"/>
  <c r="Q162" i="2"/>
  <c r="Q163" i="2"/>
  <c r="Q164" i="2"/>
  <c r="Q166" i="2"/>
  <c r="Q167" i="2"/>
  <c r="Q170" i="2"/>
  <c r="Q171" i="2"/>
  <c r="Q172" i="2"/>
  <c r="E140" i="2"/>
  <c r="Q125" i="2"/>
  <c r="Q126" i="2"/>
  <c r="Q127" i="2"/>
  <c r="Q128" i="2"/>
  <c r="Q129" i="2"/>
  <c r="Q130" i="2"/>
  <c r="Q131" i="2"/>
  <c r="Q133" i="2"/>
  <c r="Q134" i="2"/>
  <c r="Q135" i="2"/>
  <c r="Q136" i="2"/>
  <c r="Q137" i="2"/>
  <c r="Q138" i="2"/>
  <c r="Q139" i="2"/>
  <c r="Q161" i="2"/>
  <c r="Q169" i="2"/>
  <c r="E157" i="2"/>
  <c r="Q114" i="2"/>
  <c r="Q122" i="2"/>
  <c r="Q107" i="2"/>
  <c r="Q115" i="2"/>
  <c r="Q117" i="2"/>
  <c r="Q118" i="2"/>
  <c r="Q119" i="2"/>
  <c r="Q120" i="2"/>
  <c r="Q121" i="2"/>
  <c r="Q116" i="2"/>
  <c r="Q110" i="2"/>
  <c r="Q113" i="2"/>
  <c r="Q109" i="2"/>
  <c r="Q111" i="2"/>
  <c r="Q112" i="2"/>
  <c r="Q108" i="2"/>
  <c r="Q96" i="2"/>
  <c r="Q104" i="2"/>
  <c r="Q97" i="2"/>
  <c r="Q105" i="2"/>
  <c r="Q90" i="2"/>
  <c r="Q98" i="2"/>
  <c r="Q91" i="2"/>
  <c r="Q99" i="2"/>
  <c r="Q92" i="2"/>
  <c r="Q100" i="2"/>
  <c r="Q93" i="2"/>
  <c r="Q101" i="2"/>
  <c r="Q94" i="2"/>
  <c r="Q102" i="2"/>
  <c r="Q95" i="2"/>
  <c r="Q103" i="2"/>
  <c r="Q81" i="2"/>
  <c r="Q74" i="2"/>
  <c r="Q82" i="2"/>
  <c r="Q73" i="2"/>
  <c r="Q86" i="2"/>
  <c r="Q77" i="2"/>
  <c r="Q80" i="2"/>
  <c r="Q83" i="2"/>
  <c r="Q87" i="2"/>
  <c r="Q75" i="2"/>
  <c r="Q78" i="2"/>
  <c r="Q85" i="2"/>
  <c r="Q76" i="2"/>
  <c r="Q79" i="2"/>
  <c r="Q84" i="2"/>
  <c r="Q88" i="2"/>
  <c r="Q62" i="2"/>
  <c r="Q70" i="2"/>
  <c r="Q63" i="2"/>
  <c r="Q71" i="2"/>
  <c r="Q56" i="2"/>
  <c r="Q64" i="2"/>
  <c r="Q57" i="2"/>
  <c r="Q65" i="2"/>
  <c r="Q58" i="2"/>
  <c r="Q66" i="2"/>
  <c r="Q59" i="2"/>
  <c r="Q67" i="2"/>
  <c r="Q60" i="2"/>
  <c r="Q68" i="2"/>
  <c r="Q61" i="2"/>
  <c r="Q69" i="2"/>
  <c r="Q47" i="2"/>
  <c r="Q39" i="2"/>
  <c r="Q48" i="2"/>
  <c r="Q41" i="2"/>
  <c r="Q46" i="2"/>
  <c r="Q51" i="2"/>
  <c r="Q45" i="2"/>
  <c r="Q53" i="2"/>
  <c r="Q44" i="2"/>
  <c r="Q52" i="2"/>
  <c r="Q42" i="2"/>
  <c r="Q50" i="2"/>
  <c r="Q43" i="2"/>
  <c r="Q54" i="2"/>
  <c r="Q40" i="2"/>
  <c r="Q49" i="2"/>
  <c r="Q29" i="2"/>
  <c r="Q37" i="2"/>
  <c r="Q22" i="2"/>
  <c r="Q30" i="2"/>
  <c r="Q25" i="2"/>
  <c r="Q31" i="2"/>
  <c r="Q27" i="2"/>
  <c r="Q33" i="2"/>
  <c r="Q36" i="2"/>
  <c r="Q23" i="2"/>
  <c r="Q35" i="2"/>
  <c r="Q24" i="2"/>
  <c r="Q34" i="2"/>
  <c r="Q32" i="2"/>
  <c r="Q26" i="2"/>
  <c r="Q28" i="2"/>
  <c r="Q19" i="2"/>
  <c r="Q8" i="2"/>
  <c r="Q12" i="2"/>
  <c r="Q16" i="2"/>
  <c r="Q10" i="2"/>
  <c r="Q18" i="2"/>
  <c r="Q15" i="2"/>
  <c r="F20" i="2"/>
  <c r="Q20" i="2" s="1"/>
  <c r="F5" i="2"/>
  <c r="J11" i="2"/>
  <c r="F9" i="2"/>
  <c r="Q9" i="2" s="1"/>
  <c r="I17" i="2"/>
  <c r="Q17" i="2" s="1"/>
  <c r="F7" i="2"/>
  <c r="Q7" i="2" s="1"/>
  <c r="F14" i="2"/>
  <c r="Q14" i="2" s="1"/>
  <c r="F6" i="2"/>
  <c r="Q13" i="2"/>
  <c r="Q174" i="2"/>
  <c r="E8" i="9" l="1"/>
  <c r="E2" i="9" s="1"/>
  <c r="G8" i="9"/>
  <c r="G2" i="9" s="1"/>
  <c r="O9" i="5"/>
  <c r="F10" i="9" s="1"/>
  <c r="F5" i="9" s="1"/>
  <c r="E18" i="6"/>
  <c r="I18" i="6" s="1"/>
  <c r="H10" i="9" s="1"/>
  <c r="H5" i="9" s="1"/>
  <c r="I19" i="6"/>
  <c r="B11" i="1"/>
  <c r="Q5" i="2"/>
  <c r="O3" i="5"/>
  <c r="F9" i="9" s="1"/>
  <c r="F4" i="9" s="1"/>
  <c r="O4" i="5"/>
  <c r="G3" i="6"/>
  <c r="H3" i="6"/>
  <c r="F3" i="6"/>
  <c r="Q415" i="2"/>
  <c r="Q227" i="2"/>
  <c r="F380" i="2"/>
  <c r="F192" i="2"/>
  <c r="Q398" i="2"/>
  <c r="J380" i="2"/>
  <c r="I192" i="2"/>
  <c r="E380" i="2"/>
  <c r="E192" i="2"/>
  <c r="Q466" i="2"/>
  <c r="Q381" i="2"/>
  <c r="K192" i="2"/>
  <c r="G380" i="2"/>
  <c r="L380" i="2"/>
  <c r="K380" i="2"/>
  <c r="H380" i="2"/>
  <c r="Q295" i="2"/>
  <c r="Q449" i="2"/>
  <c r="J192" i="2"/>
  <c r="Q278" i="2"/>
  <c r="Q210" i="2"/>
  <c r="Q517" i="2"/>
  <c r="L192" i="2"/>
  <c r="L3" i="2"/>
  <c r="C17" i="1" s="1"/>
  <c r="Q329" i="2"/>
  <c r="Q21" i="2"/>
  <c r="Q244" i="2"/>
  <c r="Q483" i="2"/>
  <c r="Q312" i="2"/>
  <c r="Q432" i="2"/>
  <c r="G3" i="2"/>
  <c r="C12" i="1" s="1"/>
  <c r="Q261" i="2"/>
  <c r="E3" i="2"/>
  <c r="H192" i="2"/>
  <c r="G192" i="2"/>
  <c r="K3" i="2"/>
  <c r="C16" i="1" s="1"/>
  <c r="Q500" i="2"/>
  <c r="H3" i="2"/>
  <c r="C13" i="1" s="1"/>
  <c r="Q38" i="2"/>
  <c r="Q534" i="2"/>
  <c r="I380" i="2"/>
  <c r="Q346" i="2"/>
  <c r="P8" i="4"/>
  <c r="O11" i="5"/>
  <c r="O10" i="5" s="1"/>
  <c r="Q72" i="2"/>
  <c r="Q89" i="2"/>
  <c r="Q123" i="2"/>
  <c r="Q55" i="2"/>
  <c r="Q157" i="2"/>
  <c r="Q140" i="2"/>
  <c r="Q6" i="2"/>
  <c r="F4" i="2"/>
  <c r="F3" i="2" s="1"/>
  <c r="C11" i="1" s="1"/>
  <c r="J4" i="2"/>
  <c r="J3" i="2" s="1"/>
  <c r="I4" i="2"/>
  <c r="I3" i="2" s="1"/>
  <c r="C14" i="1" s="1"/>
  <c r="Q106" i="2"/>
  <c r="B7" i="1"/>
  <c r="Q11" i="2"/>
  <c r="H8" i="9" l="1"/>
  <c r="H2" i="9" s="1"/>
  <c r="J4" i="9"/>
  <c r="F8" i="9"/>
  <c r="F2" i="9" s="1"/>
  <c r="C10" i="1"/>
  <c r="Q4" i="2"/>
  <c r="E3" i="6"/>
  <c r="Q380" i="2"/>
  <c r="D11" i="9" s="1"/>
  <c r="Q192" i="2"/>
  <c r="D10" i="9" s="1"/>
  <c r="C15" i="1"/>
  <c r="D8" i="9" l="1"/>
  <c r="D2" i="9" s="1"/>
  <c r="D5" i="9"/>
  <c r="J11" i="9"/>
  <c r="D6" i="9"/>
  <c r="J10" i="9"/>
  <c r="D7" i="1"/>
  <c r="I3" i="6"/>
  <c r="J8" i="9" l="1"/>
  <c r="J5" i="9"/>
</calcChain>
</file>

<file path=xl/sharedStrings.xml><?xml version="1.0" encoding="utf-8"?>
<sst xmlns="http://schemas.openxmlformats.org/spreadsheetml/2006/main" count="1579" uniqueCount="197">
  <si>
    <t>Apartment Progress Viewer</t>
  </si>
  <si>
    <t>Enter Apartment No:</t>
  </si>
  <si>
    <t>▶ Select / Edit Apartment</t>
  </si>
  <si>
    <t>Apartment No:</t>
  </si>
  <si>
    <t>Floor:</t>
  </si>
  <si>
    <t>Total Progress:</t>
  </si>
  <si>
    <t>I-Tower Overall:</t>
  </si>
  <si>
    <t>Activity</t>
  </si>
  <si>
    <t>Progress</t>
  </si>
  <si>
    <t>I-Tower Avg</t>
  </si>
  <si>
    <t>MEP Work</t>
  </si>
  <si>
    <t>Ceiling</t>
  </si>
  <si>
    <t>Tile Work</t>
  </si>
  <si>
    <t>Paint Work</t>
  </si>
  <si>
    <t>Aluminum Work</t>
  </si>
  <si>
    <t>Wood Work</t>
  </si>
  <si>
    <t>MEP Fixtures</t>
  </si>
  <si>
    <t>MS Work</t>
  </si>
  <si>
    <t>External Plaster</t>
  </si>
  <si>
    <t>External Travertine</t>
  </si>
  <si>
    <t>External Paint</t>
  </si>
  <si>
    <t>Cleaning</t>
  </si>
  <si>
    <t>Apartment No</t>
  </si>
  <si>
    <t>Floor</t>
  </si>
  <si>
    <t>Progress %</t>
  </si>
  <si>
    <t>I Tower Progress</t>
  </si>
  <si>
    <t>Floor 1</t>
  </si>
  <si>
    <t>1</t>
  </si>
  <si>
    <t>Floor 2</t>
  </si>
  <si>
    <t>2</t>
  </si>
  <si>
    <t>Floor 3</t>
  </si>
  <si>
    <t>3</t>
  </si>
  <si>
    <t>Floor 4</t>
  </si>
  <si>
    <t>4</t>
  </si>
  <si>
    <t>Floor 5</t>
  </si>
  <si>
    <t>5</t>
  </si>
  <si>
    <t>Floor 6</t>
  </si>
  <si>
    <t>6</t>
  </si>
  <si>
    <t>Floor 7</t>
  </si>
  <si>
    <t>7</t>
  </si>
  <si>
    <t>Floor 8</t>
  </si>
  <si>
    <t>8</t>
  </si>
  <si>
    <t>Floor 9</t>
  </si>
  <si>
    <t>9</t>
  </si>
  <si>
    <t>Floor 10</t>
  </si>
  <si>
    <t>10</t>
  </si>
  <si>
    <t>Floor 11</t>
  </si>
  <si>
    <t>11</t>
  </si>
  <si>
    <t>Celing</t>
  </si>
  <si>
    <t>Tiles Works</t>
  </si>
  <si>
    <t>Bath Floors Tiles</t>
  </si>
  <si>
    <t>Bath Walls Tiles</t>
  </si>
  <si>
    <t>Paint Works</t>
  </si>
  <si>
    <t xml:space="preserve">Alluminium Window Work </t>
  </si>
  <si>
    <t xml:space="preserve">Balcony </t>
  </si>
  <si>
    <t>Wood Works</t>
  </si>
  <si>
    <t>Fi0%tures</t>
  </si>
  <si>
    <t>Corridor Works</t>
  </si>
  <si>
    <t>Elec Work</t>
  </si>
  <si>
    <t>Plumb Works</t>
  </si>
  <si>
    <t>Plasterworks</t>
  </si>
  <si>
    <t>AC Copper</t>
  </si>
  <si>
    <t>BED 1+Bath</t>
  </si>
  <si>
    <t>Lounge</t>
  </si>
  <si>
    <t>Kitchen</t>
  </si>
  <si>
    <t>BED 2+Bath</t>
  </si>
  <si>
    <t>BED LEFT</t>
  </si>
  <si>
    <t>LOUNGE</t>
  </si>
  <si>
    <t>KITCHEN</t>
  </si>
  <si>
    <t>Marble Sills</t>
  </si>
  <si>
    <t>Tiles</t>
  </si>
  <si>
    <t>Celing +Paint</t>
  </si>
  <si>
    <t>LEFT BED</t>
  </si>
  <si>
    <t>BED 2+BATH</t>
  </si>
  <si>
    <t>DOORS</t>
  </si>
  <si>
    <t xml:space="preserve">Lighting </t>
  </si>
  <si>
    <t>Plumbing</t>
  </si>
  <si>
    <t>Switch Socket</t>
  </si>
  <si>
    <t>Finishes</t>
  </si>
  <si>
    <t>Railing</t>
  </si>
  <si>
    <t>Louvers</t>
  </si>
  <si>
    <t>Fi0%tures+Paints</t>
  </si>
  <si>
    <t xml:space="preserve">
</t>
  </si>
  <si>
    <t xml:space="preserve"> Work Status For I Tower</t>
  </si>
  <si>
    <t>First  Floor</t>
  </si>
  <si>
    <t>Approved Items</t>
  </si>
  <si>
    <t>Target Time passed.</t>
  </si>
  <si>
    <t>Fixtures</t>
  </si>
  <si>
    <t>Appartment Number</t>
  </si>
  <si>
    <t>LPG works</t>
  </si>
  <si>
    <t>Readiness %</t>
  </si>
  <si>
    <t>REMARKS</t>
  </si>
  <si>
    <t>Second Floor</t>
  </si>
  <si>
    <t>Third  Floor</t>
  </si>
  <si>
    <t>Fourth Floor</t>
  </si>
  <si>
    <t>Fifth Floor</t>
  </si>
  <si>
    <t>Sixth Floor</t>
  </si>
  <si>
    <t>Seventh Floor</t>
  </si>
  <si>
    <t>x</t>
  </si>
  <si>
    <t>Eighth Floor</t>
  </si>
  <si>
    <t>Ninth Floor</t>
  </si>
  <si>
    <t>Tile Grouting Remaining</t>
  </si>
  <si>
    <t>Tenth Floor</t>
  </si>
  <si>
    <t>Summary of Tenth Floor</t>
  </si>
  <si>
    <t>L1 Tower Progress</t>
  </si>
  <si>
    <t>L2 Tower Progress</t>
  </si>
  <si>
    <t>Lobby</t>
  </si>
  <si>
    <t>Gym</t>
  </si>
  <si>
    <t>Business Center</t>
  </si>
  <si>
    <t>Game Room</t>
  </si>
  <si>
    <t>Ammenties</t>
  </si>
  <si>
    <t>Shops</t>
  </si>
  <si>
    <t>Café</t>
  </si>
  <si>
    <t>Civil Finishes</t>
  </si>
  <si>
    <t>Pool Works</t>
  </si>
  <si>
    <t>Wood works</t>
  </si>
  <si>
    <t>Plantation</t>
  </si>
  <si>
    <t>Lifts</t>
  </si>
  <si>
    <t>Stairs Marble</t>
  </si>
  <si>
    <t>Stairs Railing</t>
  </si>
  <si>
    <t>Corridor fixtures</t>
  </si>
  <si>
    <t>MEP infrastructure</t>
  </si>
  <si>
    <t>Generators</t>
  </si>
  <si>
    <t>Transformers</t>
  </si>
  <si>
    <t xml:space="preserve">BTD </t>
  </si>
  <si>
    <t>Panels</t>
  </si>
  <si>
    <t>Corridor</t>
  </si>
  <si>
    <t>Area</t>
  </si>
  <si>
    <t>Civil Works</t>
  </si>
  <si>
    <t xml:space="preserve">MEP </t>
  </si>
  <si>
    <t>Courtyard Preparations</t>
  </si>
  <si>
    <t>Courtyard Finishes</t>
  </si>
  <si>
    <t>Sewer &amp; Rainwater Line</t>
  </si>
  <si>
    <t>Road Works</t>
  </si>
  <si>
    <t>Boundary Wall</t>
  </si>
  <si>
    <t>Basement Flooring Works</t>
  </si>
  <si>
    <t>Basement Finishes</t>
  </si>
  <si>
    <t>Boundary Wall Louvers</t>
  </si>
  <si>
    <t>Paver Works</t>
  </si>
  <si>
    <t>Civil Finishes Work</t>
  </si>
  <si>
    <t>cleaning</t>
  </si>
  <si>
    <t>MS/MEP Fixtures</t>
  </si>
  <si>
    <t xml:space="preserve">Tower </t>
  </si>
  <si>
    <t>I</t>
  </si>
  <si>
    <t>L1</t>
  </si>
  <si>
    <t>L2</t>
  </si>
  <si>
    <t>Tower</t>
  </si>
  <si>
    <t xml:space="preserve">I </t>
  </si>
  <si>
    <t>weightge</t>
  </si>
  <si>
    <t>External Development-I</t>
  </si>
  <si>
    <t>External Development-L1</t>
  </si>
  <si>
    <t>External Development-L2</t>
  </si>
  <si>
    <t>Roof Top-I</t>
  </si>
  <si>
    <t>Roof Top-L1</t>
  </si>
  <si>
    <t>Roof top-L2</t>
  </si>
  <si>
    <t>Common Area-I</t>
  </si>
  <si>
    <t>Common Area-L1</t>
  </si>
  <si>
    <t>Common Area-L2</t>
  </si>
  <si>
    <t>Ground Floor-I</t>
  </si>
  <si>
    <t>Ground Floor-L1</t>
  </si>
  <si>
    <t>Ground Floor-L2</t>
  </si>
  <si>
    <t>weightage</t>
  </si>
  <si>
    <t>Furniture</t>
  </si>
  <si>
    <t>MEP Work-I</t>
  </si>
  <si>
    <t>MEP Work-L2</t>
  </si>
  <si>
    <t>Civil Work-L1</t>
  </si>
  <si>
    <t>MEP Work-L1</t>
  </si>
  <si>
    <t>Common Area-LCRG</t>
  </si>
  <si>
    <t>Civil Works-I</t>
  </si>
  <si>
    <t>Civil Works -L2</t>
  </si>
  <si>
    <t>I tower</t>
  </si>
  <si>
    <t>L1 tower</t>
  </si>
  <si>
    <t>L2 tower</t>
  </si>
  <si>
    <t>Apartment Progress</t>
  </si>
  <si>
    <t>External development</t>
  </si>
  <si>
    <t>Ground Floor</t>
  </si>
  <si>
    <t xml:space="preserve">Roof Top </t>
  </si>
  <si>
    <t>Common Area</t>
  </si>
  <si>
    <t>LCRG-Over All</t>
  </si>
  <si>
    <t>Ceiling %</t>
  </si>
  <si>
    <t xml:space="preserve"> Tile Work %</t>
  </si>
  <si>
    <t>Paint %</t>
  </si>
  <si>
    <t>Alumin %</t>
  </si>
  <si>
    <t>Wood %</t>
  </si>
  <si>
    <t>Fixture %</t>
  </si>
  <si>
    <t>Over All %</t>
  </si>
  <si>
    <t>MS Works</t>
  </si>
  <si>
    <t>Overall %</t>
  </si>
  <si>
    <t>Fixtures+Paints</t>
  </si>
  <si>
    <t>Weightages-Finishes</t>
  </si>
  <si>
    <t>Structure-LCRG</t>
  </si>
  <si>
    <t>Finishes-LCRG</t>
  </si>
  <si>
    <t>I Tower-Over All</t>
  </si>
  <si>
    <t>L1 Tower Over All</t>
  </si>
  <si>
    <t>L2 Tower Over All</t>
  </si>
  <si>
    <t>FINISHES</t>
  </si>
  <si>
    <t>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</si>
</sst>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b/>
      <sz val="48"/>
      <color theme="1"/>
      <name val="Century Gothic"/>
      <family val="2"/>
    </font>
    <font>
      <sz val="24"/>
      <color theme="1"/>
      <name val="Century Gothic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entury Gothic"/>
      <family val="2"/>
    </font>
    <font>
      <sz val="18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20"/>
      <color theme="1"/>
      <name val="Century Gothic"/>
      <family val="2"/>
    </font>
    <font>
      <b/>
      <sz val="22"/>
      <color theme="1"/>
      <name val="Century Gothic"/>
      <family val="2"/>
    </font>
    <font>
      <b/>
      <sz val="24"/>
      <color theme="1"/>
      <name val="Century Gothic"/>
      <family val="2"/>
    </font>
    <font>
      <b/>
      <sz val="20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sz val="14"/>
      <color theme="1"/>
      <name val="Century Gothic"/>
      <family val="2"/>
    </font>
    <font>
      <b/>
      <sz val="26"/>
      <color theme="1"/>
      <name val="Calibri"/>
      <family val="2"/>
      <scheme val="minor"/>
    </font>
    <font>
      <b/>
      <sz val="28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9" fontId="1" fillId="0" borderId="0" applyFont="0" applyFill="0" applyBorder="0" applyAlignment="0" applyProtection="0"/>
  </cellStyleXfs>
  <cellXfs count="27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3" xfId="0" applyFont="1" applyBorder="1"/>
    <xf numFmtId="0" fontId="5" fillId="0" borderId="6" xfId="0" applyFont="1" applyBorder="1"/>
    <xf numFmtId="0" fontId="5" fillId="0" borderId="9" xfId="0" applyFont="1" applyBorder="1"/>
    <xf numFmtId="0" fontId="6" fillId="0" borderId="0" xfId="0" applyFont="1"/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vertical="center"/>
    </xf>
    <xf numFmtId="9" fontId="7" fillId="3" borderId="5" xfId="1" applyFont="1" applyFill="1" applyBorder="1" applyAlignment="1">
      <alignment vertical="center"/>
    </xf>
    <xf numFmtId="164" fontId="7" fillId="3" borderId="5" xfId="1" applyNumberFormat="1" applyFont="1" applyFill="1" applyBorder="1" applyAlignment="1">
      <alignment vertical="center"/>
    </xf>
    <xf numFmtId="9" fontId="8" fillId="0" borderId="0" xfId="1" applyFont="1"/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9" fontId="10" fillId="0" borderId="5" xfId="1" applyFont="1" applyBorder="1"/>
    <xf numFmtId="164" fontId="8" fillId="0" borderId="14" xfId="1" applyNumberFormat="1" applyFont="1" applyBorder="1"/>
    <xf numFmtId="0" fontId="0" fillId="0" borderId="5" xfId="0" applyBorder="1"/>
    <xf numFmtId="0" fontId="1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14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4" fillId="0" borderId="5" xfId="0" applyFont="1" applyBorder="1"/>
    <xf numFmtId="164" fontId="0" fillId="0" borderId="5" xfId="0" applyNumberFormat="1" applyBorder="1"/>
    <xf numFmtId="0" fontId="15" fillId="0" borderId="0" xfId="0" applyFont="1"/>
    <xf numFmtId="0" fontId="16" fillId="0" borderId="0" xfId="0" applyFont="1"/>
    <xf numFmtId="0" fontId="2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5" fillId="0" borderId="27" xfId="0" applyFont="1" applyBorder="1"/>
    <xf numFmtId="0" fontId="15" fillId="0" borderId="25" xfId="0" applyFont="1" applyBorder="1"/>
    <xf numFmtId="0" fontId="16" fillId="0" borderId="3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32" xfId="0" applyFont="1" applyBorder="1"/>
    <xf numFmtId="22" fontId="16" fillId="0" borderId="28" xfId="0" applyNumberFormat="1" applyFont="1" applyBorder="1" applyAlignment="1">
      <alignment horizontal="center" wrapText="1"/>
    </xf>
    <xf numFmtId="0" fontId="21" fillId="0" borderId="18" xfId="0" applyFont="1" applyBorder="1" applyAlignment="1">
      <alignment horizontal="center" vertical="center" wrapText="1"/>
    </xf>
    <xf numFmtId="0" fontId="22" fillId="6" borderId="32" xfId="0" applyFont="1" applyFill="1" applyBorder="1" applyAlignment="1">
      <alignment horizontal="center" vertical="center" wrapText="1"/>
    </xf>
    <xf numFmtId="0" fontId="22" fillId="6" borderId="28" xfId="0" applyFont="1" applyFill="1" applyBorder="1" applyAlignment="1">
      <alignment horizontal="center" vertical="center" wrapText="1"/>
    </xf>
    <xf numFmtId="0" fontId="22" fillId="6" borderId="41" xfId="0" applyFont="1" applyFill="1" applyBorder="1" applyAlignment="1">
      <alignment horizontal="center" vertical="center" wrapText="1"/>
    </xf>
    <xf numFmtId="0" fontId="21" fillId="6" borderId="41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9" fontId="16" fillId="7" borderId="42" xfId="0" applyNumberFormat="1" applyFont="1" applyFill="1" applyBorder="1" applyAlignment="1">
      <alignment horizontal="center" vertical="center" wrapText="1"/>
    </xf>
    <xf numFmtId="9" fontId="16" fillId="7" borderId="5" xfId="0" applyNumberFormat="1" applyFont="1" applyFill="1" applyBorder="1" applyAlignment="1">
      <alignment horizontal="center" vertical="center" wrapText="1"/>
    </xf>
    <xf numFmtId="9" fontId="16" fillId="7" borderId="44" xfId="0" applyNumberFormat="1" applyFont="1" applyFill="1" applyBorder="1" applyAlignment="1">
      <alignment horizontal="center" vertical="center" wrapText="1"/>
    </xf>
    <xf numFmtId="9" fontId="16" fillId="0" borderId="22" xfId="0" applyNumberFormat="1" applyFont="1" applyBorder="1" applyAlignment="1">
      <alignment horizontal="center" vertical="center" wrapText="1"/>
    </xf>
    <xf numFmtId="9" fontId="16" fillId="0" borderId="2" xfId="0" applyNumberFormat="1" applyFont="1" applyBorder="1" applyAlignment="1">
      <alignment horizontal="center" vertical="center" wrapText="1"/>
    </xf>
    <xf numFmtId="9" fontId="16" fillId="0" borderId="21" xfId="0" applyNumberFormat="1" applyFont="1" applyBorder="1" applyAlignment="1">
      <alignment horizontal="center" vertical="center" wrapText="1"/>
    </xf>
    <xf numFmtId="9" fontId="16" fillId="0" borderId="1" xfId="0" applyNumberFormat="1" applyFont="1" applyBorder="1" applyAlignment="1">
      <alignment horizontal="center" vertical="center" wrapText="1"/>
    </xf>
    <xf numFmtId="9" fontId="16" fillId="0" borderId="3" xfId="0" applyNumberFormat="1" applyFont="1" applyBorder="1" applyAlignment="1">
      <alignment horizontal="center" vertical="center" wrapText="1"/>
    </xf>
    <xf numFmtId="9" fontId="16" fillId="7" borderId="48" xfId="2" applyFont="1" applyFill="1" applyBorder="1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9" fontId="19" fillId="0" borderId="43" xfId="0" applyNumberFormat="1" applyFont="1" applyBorder="1" applyAlignment="1">
      <alignment vertical="center" wrapText="1"/>
    </xf>
    <xf numFmtId="0" fontId="24" fillId="0" borderId="17" xfId="0" applyFont="1" applyBorder="1" applyAlignment="1">
      <alignment horizontal="center" vertical="center"/>
    </xf>
    <xf numFmtId="0" fontId="19" fillId="0" borderId="0" xfId="0" applyFont="1"/>
    <xf numFmtId="0" fontId="19" fillId="0" borderId="16" xfId="0" applyFont="1" applyBorder="1" applyAlignment="1">
      <alignment horizontal="center" vertical="center"/>
    </xf>
    <xf numFmtId="9" fontId="16" fillId="7" borderId="49" xfId="2" applyFont="1" applyFill="1" applyBorder="1" applyAlignment="1">
      <alignment horizontal="center"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9" fontId="16" fillId="0" borderId="5" xfId="0" applyNumberFormat="1" applyFont="1" applyBorder="1" applyAlignment="1">
      <alignment horizontal="center" vertical="center" wrapText="1"/>
    </xf>
    <xf numFmtId="9" fontId="16" fillId="0" borderId="34" xfId="0" applyNumberFormat="1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4" fillId="0" borderId="17" xfId="0" applyFont="1" applyBorder="1" applyAlignment="1">
      <alignment wrapText="1"/>
    </xf>
    <xf numFmtId="0" fontId="19" fillId="0" borderId="17" xfId="0" applyFont="1" applyBorder="1"/>
    <xf numFmtId="0" fontId="19" fillId="0" borderId="17" xfId="0" applyFont="1" applyBorder="1" applyAlignment="1">
      <alignment wrapText="1"/>
    </xf>
    <xf numFmtId="0" fontId="24" fillId="0" borderId="17" xfId="0" applyFont="1" applyBorder="1"/>
    <xf numFmtId="0" fontId="19" fillId="0" borderId="50" xfId="0" applyFont="1" applyBorder="1" applyAlignment="1">
      <alignment horizontal="center" vertical="center" wrapText="1"/>
    </xf>
    <xf numFmtId="9" fontId="16" fillId="7" borderId="51" xfId="2" applyFont="1" applyFill="1" applyBorder="1" applyAlignment="1">
      <alignment horizontal="center" vertical="center" wrapText="1"/>
    </xf>
    <xf numFmtId="9" fontId="16" fillId="0" borderId="52" xfId="0" applyNumberFormat="1" applyFont="1" applyBorder="1" applyAlignment="1">
      <alignment horizontal="center" vertical="center" wrapText="1"/>
    </xf>
    <xf numFmtId="9" fontId="16" fillId="0" borderId="53" xfId="0" applyNumberFormat="1" applyFont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9" fontId="16" fillId="0" borderId="54" xfId="0" applyNumberFormat="1" applyFont="1" applyBorder="1" applyAlignment="1">
      <alignment horizontal="center" vertical="center" wrapText="1"/>
    </xf>
    <xf numFmtId="9" fontId="16" fillId="0" borderId="55" xfId="0" applyNumberFormat="1" applyFont="1" applyBorder="1" applyAlignment="1">
      <alignment horizontal="center" vertical="center" wrapText="1"/>
    </xf>
    <xf numFmtId="9" fontId="16" fillId="0" borderId="56" xfId="0" applyNumberFormat="1" applyFont="1" applyBorder="1" applyAlignment="1">
      <alignment horizontal="center" vertical="center" wrapText="1"/>
    </xf>
    <xf numFmtId="9" fontId="16" fillId="0" borderId="7" xfId="0" applyNumberFormat="1" applyFont="1" applyBorder="1" applyAlignment="1">
      <alignment horizontal="center" vertical="center" wrapText="1"/>
    </xf>
    <xf numFmtId="9" fontId="16" fillId="0" borderId="8" xfId="0" applyNumberFormat="1" applyFont="1" applyBorder="1" applyAlignment="1">
      <alignment horizontal="center" vertical="center" wrapText="1"/>
    </xf>
    <xf numFmtId="9" fontId="16" fillId="0" borderId="36" xfId="0" applyNumberFormat="1" applyFont="1" applyBorder="1" applyAlignment="1">
      <alignment horizontal="center" vertical="center" wrapText="1"/>
    </xf>
    <xf numFmtId="0" fontId="19" fillId="0" borderId="57" xfId="0" applyFont="1" applyBorder="1"/>
    <xf numFmtId="0" fontId="25" fillId="0" borderId="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15" fontId="19" fillId="0" borderId="19" xfId="0" applyNumberFormat="1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/>
    </xf>
    <xf numFmtId="9" fontId="16" fillId="7" borderId="61" xfId="0" applyNumberFormat="1" applyFont="1" applyFill="1" applyBorder="1" applyAlignment="1">
      <alignment horizontal="center" vertical="center" wrapText="1"/>
    </xf>
    <xf numFmtId="9" fontId="16" fillId="7" borderId="63" xfId="0" applyNumberFormat="1" applyFont="1" applyFill="1" applyBorder="1" applyAlignment="1">
      <alignment horizontal="center" vertical="center" wrapText="1"/>
    </xf>
    <xf numFmtId="9" fontId="19" fillId="0" borderId="61" xfId="0" applyNumberFormat="1" applyFont="1" applyBorder="1" applyAlignment="1">
      <alignment vertical="center" wrapText="1"/>
    </xf>
    <xf numFmtId="0" fontId="19" fillId="0" borderId="9" xfId="0" applyFont="1" applyBorder="1"/>
    <xf numFmtId="0" fontId="25" fillId="0" borderId="65" xfId="0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0" fontId="19" fillId="0" borderId="67" xfId="0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15" fontId="19" fillId="0" borderId="63" xfId="0" applyNumberFormat="1" applyFont="1" applyBorder="1" applyAlignment="1">
      <alignment horizontal="center" vertical="center" wrapText="1"/>
    </xf>
    <xf numFmtId="9" fontId="16" fillId="0" borderId="65" xfId="0" applyNumberFormat="1" applyFont="1" applyBorder="1" applyAlignment="1">
      <alignment horizontal="center" vertical="center" wrapText="1"/>
    </xf>
    <xf numFmtId="9" fontId="9" fillId="8" borderId="5" xfId="1" applyFont="1" applyFill="1" applyBorder="1"/>
    <xf numFmtId="0" fontId="27" fillId="3" borderId="16" xfId="0" applyFont="1" applyFill="1" applyBorder="1" applyAlignment="1">
      <alignment horizontal="center" vertical="center"/>
    </xf>
    <xf numFmtId="9" fontId="9" fillId="3" borderId="5" xfId="1" applyFont="1" applyFill="1" applyBorder="1"/>
    <xf numFmtId="0" fontId="6" fillId="0" borderId="19" xfId="0" applyFont="1" applyBorder="1"/>
    <xf numFmtId="0" fontId="7" fillId="3" borderId="44" xfId="0" applyFont="1" applyFill="1" applyBorder="1" applyAlignment="1">
      <alignment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7" fillId="3" borderId="5" xfId="1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9" fontId="26" fillId="0" borderId="21" xfId="1" applyFont="1" applyBorder="1" applyAlignment="1">
      <alignment horizontal="center" wrapText="1"/>
    </xf>
    <xf numFmtId="0" fontId="27" fillId="3" borderId="3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vertical="center"/>
    </xf>
    <xf numFmtId="0" fontId="27" fillId="3" borderId="14" xfId="0" applyFont="1" applyFill="1" applyBorder="1" applyAlignment="1">
      <alignment vertical="center"/>
    </xf>
    <xf numFmtId="0" fontId="27" fillId="3" borderId="5" xfId="0" applyFont="1" applyFill="1" applyBorder="1" applyAlignment="1">
      <alignment horizontal="center" vertical="center"/>
    </xf>
    <xf numFmtId="10" fontId="10" fillId="0" borderId="5" xfId="1" applyNumberFormat="1" applyFont="1" applyBorder="1"/>
    <xf numFmtId="10" fontId="10" fillId="0" borderId="14" xfId="1" applyNumberFormat="1" applyFont="1" applyBorder="1"/>
    <xf numFmtId="0" fontId="5" fillId="0" borderId="17" xfId="0" applyFont="1" applyBorder="1"/>
    <xf numFmtId="9" fontId="31" fillId="0" borderId="0" xfId="1" applyFont="1"/>
    <xf numFmtId="9" fontId="31" fillId="8" borderId="0" xfId="1" applyFont="1" applyFill="1"/>
    <xf numFmtId="0" fontId="0" fillId="0" borderId="69" xfId="0" applyBorder="1"/>
    <xf numFmtId="0" fontId="2" fillId="2" borderId="69" xfId="0" applyFont="1" applyFill="1" applyBorder="1" applyAlignment="1">
      <alignment horizontal="center" vertical="center"/>
    </xf>
    <xf numFmtId="0" fontId="28" fillId="0" borderId="65" xfId="0" applyFont="1" applyBorder="1"/>
    <xf numFmtId="0" fontId="28" fillId="0" borderId="4" xfId="0" applyFont="1" applyBorder="1"/>
    <xf numFmtId="0" fontId="29" fillId="0" borderId="4" xfId="0" applyFont="1" applyBorder="1"/>
    <xf numFmtId="0" fontId="29" fillId="0" borderId="7" xfId="0" applyFont="1" applyBorder="1"/>
    <xf numFmtId="0" fontId="27" fillId="3" borderId="8" xfId="0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/>
    </xf>
    <xf numFmtId="9" fontId="32" fillId="0" borderId="0" xfId="1" applyFont="1"/>
    <xf numFmtId="9" fontId="28" fillId="0" borderId="0" xfId="1" applyFont="1"/>
    <xf numFmtId="9" fontId="1" fillId="0" borderId="0" xfId="1"/>
    <xf numFmtId="0" fontId="27" fillId="8" borderId="2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1" fillId="8" borderId="16" xfId="0" applyFont="1" applyFill="1" applyBorder="1" applyAlignment="1">
      <alignment horizontal="center" vertical="center"/>
    </xf>
    <xf numFmtId="164" fontId="8" fillId="8" borderId="14" xfId="1" applyNumberFormat="1" applyFont="1" applyFill="1" applyBorder="1"/>
    <xf numFmtId="0" fontId="5" fillId="0" borderId="44" xfId="0" applyFont="1" applyBorder="1"/>
    <xf numFmtId="164" fontId="7" fillId="3" borderId="14" xfId="1" applyNumberFormat="1" applyFont="1" applyFill="1" applyBorder="1" applyAlignment="1">
      <alignment vertical="center"/>
    </xf>
    <xf numFmtId="9" fontId="31" fillId="0" borderId="5" xfId="1" applyFont="1" applyBorder="1"/>
    <xf numFmtId="0" fontId="5" fillId="0" borderId="19" xfId="0" applyFont="1" applyBorder="1"/>
    <xf numFmtId="164" fontId="21" fillId="3" borderId="5" xfId="1" applyNumberFormat="1" applyFont="1" applyFill="1" applyBorder="1" applyAlignment="1">
      <alignment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0" fontId="23" fillId="3" borderId="10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9" fontId="16" fillId="7" borderId="23" xfId="0" applyNumberFormat="1" applyFont="1" applyFill="1" applyBorder="1" applyAlignment="1">
      <alignment horizontal="center" vertical="center" wrapText="1"/>
    </xf>
    <xf numFmtId="9" fontId="16" fillId="0" borderId="66" xfId="0" applyNumberFormat="1" applyFont="1" applyBorder="1" applyAlignment="1">
      <alignment horizontal="center" vertical="center" wrapText="1"/>
    </xf>
    <xf numFmtId="9" fontId="16" fillId="0" borderId="67" xfId="0" applyNumberFormat="1" applyFont="1" applyBorder="1" applyAlignment="1">
      <alignment horizontal="center" vertical="center" wrapText="1"/>
    </xf>
    <xf numFmtId="9" fontId="16" fillId="7" borderId="67" xfId="0" applyNumberFormat="1" applyFont="1" applyFill="1" applyBorder="1" applyAlignment="1">
      <alignment horizontal="center" vertical="center" wrapText="1"/>
    </xf>
    <xf numFmtId="9" fontId="16" fillId="0" borderId="72" xfId="0" applyNumberFormat="1" applyFont="1" applyBorder="1" applyAlignment="1">
      <alignment horizontal="center" vertical="center" wrapText="1"/>
    </xf>
    <xf numFmtId="9" fontId="16" fillId="7" borderId="29" xfId="2" applyFont="1" applyFill="1" applyBorder="1" applyAlignment="1">
      <alignment horizontal="center" vertical="center" wrapText="1"/>
    </xf>
    <xf numFmtId="9" fontId="16" fillId="7" borderId="16" xfId="2" applyFont="1" applyFill="1" applyBorder="1" applyAlignment="1">
      <alignment horizontal="center" vertical="center" wrapText="1"/>
    </xf>
    <xf numFmtId="9" fontId="16" fillId="0" borderId="14" xfId="0" applyNumberFormat="1" applyFont="1" applyBorder="1" applyAlignment="1">
      <alignment horizontal="center" vertical="center" wrapText="1"/>
    </xf>
    <xf numFmtId="9" fontId="16" fillId="7" borderId="46" xfId="2" applyFont="1" applyFill="1" applyBorder="1" applyAlignment="1">
      <alignment horizontal="center" vertical="center" wrapText="1"/>
    </xf>
    <xf numFmtId="9" fontId="16" fillId="0" borderId="58" xfId="0" applyNumberFormat="1" applyFont="1" applyBorder="1" applyAlignment="1">
      <alignment horizontal="center" vertical="center" wrapText="1"/>
    </xf>
    <xf numFmtId="9" fontId="16" fillId="7" borderId="47" xfId="2" applyFont="1" applyFill="1" applyBorder="1" applyAlignment="1">
      <alignment horizontal="center" vertical="center" wrapText="1"/>
    </xf>
    <xf numFmtId="9" fontId="16" fillId="7" borderId="64" xfId="2" applyFont="1" applyFill="1" applyBorder="1" applyAlignment="1">
      <alignment horizontal="center" vertical="center" wrapText="1"/>
    </xf>
    <xf numFmtId="9" fontId="16" fillId="7" borderId="44" xfId="2" applyFont="1" applyFill="1" applyBorder="1" applyAlignment="1">
      <alignment horizontal="center" vertical="center" wrapText="1"/>
    </xf>
    <xf numFmtId="9" fontId="16" fillId="7" borderId="73" xfId="2" applyFont="1" applyFill="1" applyBorder="1" applyAlignment="1">
      <alignment horizontal="center" vertical="center" wrapText="1"/>
    </xf>
    <xf numFmtId="9" fontId="16" fillId="7" borderId="6" xfId="2" applyFont="1" applyFill="1" applyBorder="1" applyAlignment="1">
      <alignment horizontal="center" vertical="center" wrapText="1"/>
    </xf>
    <xf numFmtId="9" fontId="16" fillId="7" borderId="63" xfId="2" applyFont="1" applyFill="1" applyBorder="1" applyAlignment="1">
      <alignment horizontal="center" vertical="center" wrapText="1"/>
    </xf>
    <xf numFmtId="9" fontId="16" fillId="7" borderId="9" xfId="2" applyFont="1" applyFill="1" applyBorder="1" applyAlignment="1">
      <alignment horizontal="center" vertical="center" wrapText="1"/>
    </xf>
    <xf numFmtId="9" fontId="26" fillId="8" borderId="5" xfId="1" applyFont="1" applyFill="1" applyBorder="1" applyAlignment="1">
      <alignment horizontal="center" wrapText="1"/>
    </xf>
    <xf numFmtId="9" fontId="32" fillId="8" borderId="0" xfId="1" applyFont="1" applyFill="1"/>
    <xf numFmtId="9" fontId="28" fillId="8" borderId="0" xfId="1" applyFont="1" applyFill="1"/>
    <xf numFmtId="9" fontId="26" fillId="8" borderId="67" xfId="1" applyFont="1" applyFill="1" applyBorder="1" applyAlignment="1">
      <alignment horizontal="center" wrapText="1"/>
    </xf>
    <xf numFmtId="9" fontId="9" fillId="2" borderId="5" xfId="1" applyFont="1" applyFill="1" applyBorder="1"/>
    <xf numFmtId="164" fontId="8" fillId="2" borderId="14" xfId="1" applyNumberFormat="1" applyFont="1" applyFill="1" applyBorder="1"/>
    <xf numFmtId="10" fontId="7" fillId="3" borderId="5" xfId="1" applyNumberFormat="1" applyFont="1" applyFill="1" applyBorder="1" applyAlignment="1">
      <alignment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1" fillId="8" borderId="16" xfId="0" applyFont="1" applyFill="1" applyBorder="1" applyAlignment="1">
      <alignment horizontal="center" vertical="center"/>
    </xf>
    <xf numFmtId="0" fontId="21" fillId="8" borderId="14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/>
    </xf>
    <xf numFmtId="22" fontId="16" fillId="0" borderId="32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22" fontId="19" fillId="0" borderId="32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 wrapText="1"/>
    </xf>
    <xf numFmtId="0" fontId="21" fillId="6" borderId="62" xfId="0" applyFont="1" applyFill="1" applyBorder="1" applyAlignment="1">
      <alignment horizontal="center" vertical="center" wrapText="1"/>
    </xf>
    <xf numFmtId="0" fontId="21" fillId="6" borderId="63" xfId="0" applyFont="1" applyFill="1" applyBorder="1" applyAlignment="1">
      <alignment horizontal="center" vertical="center" wrapText="1"/>
    </xf>
    <xf numFmtId="0" fontId="21" fillId="6" borderId="31" xfId="0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21" fillId="6" borderId="33" xfId="0" applyFont="1" applyFill="1" applyBorder="1" applyAlignment="1">
      <alignment horizontal="center" vertical="center" wrapText="1"/>
    </xf>
    <xf numFmtId="0" fontId="22" fillId="6" borderId="31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horizontal="center" vertical="center" wrapText="1"/>
    </xf>
    <xf numFmtId="0" fontId="21" fillId="6" borderId="25" xfId="0" applyFont="1" applyFill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 wrapText="1"/>
    </xf>
    <xf numFmtId="0" fontId="22" fillId="0" borderId="62" xfId="0" applyFont="1" applyBorder="1" applyAlignment="1">
      <alignment horizontal="center" vertical="center" wrapText="1"/>
    </xf>
    <xf numFmtId="0" fontId="22" fillId="0" borderId="63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3" fillId="5" borderId="5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2" borderId="11" xfId="0" applyFont="1" applyFill="1" applyBorder="1" applyAlignment="1">
      <alignment horizontal="left" vertical="center" wrapText="1"/>
    </xf>
  </cellXfs>
  <cellStyles count="3">
    <cellStyle name="Normal" xfId="0" builtinId="0"/>
    <cellStyle name="Percent" xfId="1" builtinId="5"/>
    <cellStyle name="Percent 2" xfId="2" xr:uid="{5FC4F57B-2021-41D2-B539-B8F97EB9E77E}"/>
  </cellStyles>
  <dxfs count="621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9FF66"/>
          </stop>
        </gradient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35654</xdr:colOff>
      <xdr:row>7</xdr:row>
      <xdr:rowOff>105886</xdr:rowOff>
    </xdr:from>
    <xdr:ext cx="883228" cy="656113"/>
    <xdr:pic>
      <xdr:nvPicPr>
        <xdr:cNvPr id="2" name="Picture 1">
          <a:extLst>
            <a:ext uri="{FF2B5EF4-FFF2-40B4-BE49-F238E27FC236}">
              <a16:creationId xmlns:a16="http://schemas.microsoft.com/office/drawing/2014/main" id="{FCE562BE-67F9-48D1-9110-F779DDD6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54" y="105886"/>
          <a:ext cx="883228" cy="656113"/>
        </a:xfrm>
        <a:prstGeom prst="rect">
          <a:avLst/>
        </a:prstGeom>
      </xdr:spPr>
    </xdr:pic>
    <xdr:clientData/>
  </xdr:oneCellAnchor>
  <xdr:twoCellAnchor>
    <xdr:from>
      <xdr:col>58</xdr:col>
      <xdr:colOff>2346305</xdr:colOff>
      <xdr:row>7</xdr:row>
      <xdr:rowOff>522007</xdr:rowOff>
    </xdr:from>
    <xdr:to>
      <xdr:col>58</xdr:col>
      <xdr:colOff>3622410</xdr:colOff>
      <xdr:row>7</xdr:row>
      <xdr:rowOff>707970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985F2A-C28E-4835-B571-81FC7DF0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3655" y="522007"/>
          <a:ext cx="1276105" cy="185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8F74-5DA1-448F-B576-FB975C248FB6}">
  <dimension ref="B1:J16"/>
  <sheetViews>
    <sheetView tabSelected="1" view="pageBreakPreview" zoomScale="70" zoomScaleNormal="100" zoomScaleSheetLayoutView="70" workbookViewId="0">
      <pane ySplit="1" topLeftCell="A8" activePane="bottomLeft" state="frozen"/>
      <selection pane="bottomLeft" activeCell="H22" sqref="H22"/>
    </sheetView>
  </sheetViews>
  <sheetFormatPr defaultRowHeight="15.75" x14ac:dyDescent="0.25"/>
  <cols>
    <col min="2" max="2" width="10.7109375" bestFit="1" customWidth="1"/>
    <col min="3" max="3" width="33.28515625" customWidth="1"/>
    <col min="4" max="4" width="17.28515625" style="8" customWidth="1"/>
    <col min="5" max="5" width="19.7109375" style="8" customWidth="1"/>
    <col min="6" max="6" width="18.42578125" style="8" bestFit="1" customWidth="1"/>
    <col min="7" max="7" width="13.140625" style="8" bestFit="1" customWidth="1"/>
    <col min="8" max="8" width="15" style="8" customWidth="1"/>
    <col min="9" max="9" width="13.5703125" style="8" bestFit="1" customWidth="1"/>
    <col min="10" max="10" width="20.5703125" style="8" customWidth="1"/>
  </cols>
  <sheetData>
    <row r="1" spans="2:10" ht="73.5" customHeight="1" thickBot="1" x14ac:dyDescent="0.3">
      <c r="B1" s="185" t="s">
        <v>142</v>
      </c>
      <c r="C1" s="185" t="s">
        <v>127</v>
      </c>
      <c r="D1" s="186" t="s">
        <v>173</v>
      </c>
      <c r="E1" s="186" t="s">
        <v>174</v>
      </c>
      <c r="F1" s="186" t="s">
        <v>175</v>
      </c>
      <c r="G1" s="186" t="s">
        <v>176</v>
      </c>
      <c r="H1" s="186" t="s">
        <v>177</v>
      </c>
      <c r="I1" s="186" t="s">
        <v>21</v>
      </c>
      <c r="J1" s="186" t="s">
        <v>24</v>
      </c>
    </row>
    <row r="2" spans="2:10" ht="73.5" customHeight="1" thickBot="1" x14ac:dyDescent="0.3">
      <c r="B2" s="186"/>
      <c r="C2" s="186" t="s">
        <v>178</v>
      </c>
      <c r="D2" s="187">
        <f>D8*60%+D13*40%</f>
        <v>0.59426623964694547</v>
      </c>
      <c r="E2" s="187">
        <f t="shared" ref="E2:J2" si="0">E8*60%+E13*40%</f>
        <v>0.65766666666666662</v>
      </c>
      <c r="F2" s="187">
        <f t="shared" si="0"/>
        <v>0.48652000000000006</v>
      </c>
      <c r="G2" s="187">
        <f t="shared" si="0"/>
        <v>0.44728000000000001</v>
      </c>
      <c r="H2" s="187">
        <f t="shared" si="0"/>
        <v>0.66911600000000004</v>
      </c>
      <c r="I2" s="187">
        <f t="shared" si="0"/>
        <v>0.46</v>
      </c>
      <c r="J2" s="184">
        <f>(J8*60%+J13*40%)*1.05</f>
        <v>0.62863989843488577</v>
      </c>
    </row>
    <row r="3" spans="2:10" ht="33.75" customHeight="1" thickBot="1" x14ac:dyDescent="0.45">
      <c r="B3" s="22"/>
      <c r="C3" s="186" t="s">
        <v>189</v>
      </c>
      <c r="D3" s="141">
        <v>0.59</v>
      </c>
      <c r="E3" s="141">
        <v>0.1</v>
      </c>
      <c r="F3" s="141">
        <v>0.1</v>
      </c>
      <c r="G3" s="141">
        <v>0.1</v>
      </c>
      <c r="H3" s="141">
        <v>0.1</v>
      </c>
      <c r="I3" s="141">
        <v>0.01</v>
      </c>
      <c r="J3" s="18"/>
    </row>
    <row r="4" spans="2:10" ht="33.75" customHeight="1" thickBot="1" x14ac:dyDescent="0.45">
      <c r="B4" s="22"/>
      <c r="C4" s="186" t="s">
        <v>192</v>
      </c>
      <c r="D4" s="141">
        <f>D9*60%+D14*40%</f>
        <v>0.81129287184463639</v>
      </c>
      <c r="E4" s="141">
        <f>E9*60%+E14*40%</f>
        <v>0.65766666666666662</v>
      </c>
      <c r="F4" s="141">
        <f>F9*60%+F14*40%</f>
        <v>0.61630000000000007</v>
      </c>
      <c r="G4" s="141">
        <f>G9*60%+G14*40%</f>
        <v>0.51819999999999999</v>
      </c>
      <c r="H4" s="141">
        <f>H9*60%+H14*40%</f>
        <v>0.7269971428571429</v>
      </c>
      <c r="I4" s="141">
        <f>I9*60%+I14*40%</f>
        <v>0.46</v>
      </c>
      <c r="J4" s="184">
        <f t="shared" ref="J4" si="1">J9*60%+J14*40%</f>
        <v>0.77875246813500953</v>
      </c>
    </row>
    <row r="5" spans="2:10" ht="33.75" customHeight="1" thickBot="1" x14ac:dyDescent="0.45">
      <c r="B5" s="22"/>
      <c r="C5" s="186" t="s">
        <v>193</v>
      </c>
      <c r="D5" s="141">
        <f>D10*60%+D15*40%</f>
        <v>0.47576363636363639</v>
      </c>
      <c r="E5" s="141">
        <f>E10*60%+E15*40%</f>
        <v>0.65766666666666662</v>
      </c>
      <c r="F5" s="141">
        <f>F10*60%+F15*40%</f>
        <v>0.4</v>
      </c>
      <c r="G5" s="141">
        <f>G10*60%+G15*40%</f>
        <v>0.4</v>
      </c>
      <c r="H5" s="141">
        <f>H10*60%+H15*40%</f>
        <v>0.63524285714285722</v>
      </c>
      <c r="I5" s="141">
        <f>I10*60%+I15*40%</f>
        <v>0.46</v>
      </c>
      <c r="J5" s="184">
        <f t="shared" ref="J5" si="2">J10*60%+J15*40%</f>
        <v>0.49459149783549777</v>
      </c>
    </row>
    <row r="6" spans="2:10" ht="33.75" customHeight="1" thickBot="1" x14ac:dyDescent="0.45">
      <c r="B6" s="22"/>
      <c r="C6" s="186" t="s">
        <v>194</v>
      </c>
      <c r="D6" s="141">
        <f>D11*60%+D16*40%</f>
        <v>0.4234</v>
      </c>
      <c r="E6" s="141">
        <f t="shared" ref="E6:J6" si="3">E11*60%+E16*40%</f>
        <v>0.65766666666666662</v>
      </c>
      <c r="F6" s="141">
        <f t="shared" si="3"/>
        <v>0.4</v>
      </c>
      <c r="G6" s="141">
        <f t="shared" si="3"/>
        <v>0.4</v>
      </c>
      <c r="H6" s="141">
        <f t="shared" si="3"/>
        <v>0.62581428571428577</v>
      </c>
      <c r="I6" s="141">
        <f t="shared" si="3"/>
        <v>0.46</v>
      </c>
      <c r="J6" s="184">
        <f>J11*60%+J16*40%</f>
        <v>0.46275409523809519</v>
      </c>
    </row>
    <row r="7" spans="2:10" ht="33.75" customHeight="1" thickBot="1" x14ac:dyDescent="0.45">
      <c r="B7" s="22"/>
      <c r="C7" s="273" t="s">
        <v>195</v>
      </c>
      <c r="D7" s="141"/>
      <c r="E7" s="141"/>
      <c r="F7" s="141"/>
      <c r="G7" s="141"/>
      <c r="H7" s="141"/>
      <c r="I7" s="141"/>
      <c r="J7" s="184"/>
    </row>
    <row r="8" spans="2:10" ht="33.75" customHeight="1" thickBot="1" x14ac:dyDescent="0.45">
      <c r="B8" s="22"/>
      <c r="C8" s="186" t="s">
        <v>191</v>
      </c>
      <c r="D8" s="141">
        <f>D9*40%+D10*30%+D11*30%</f>
        <v>0.32377706607824247</v>
      </c>
      <c r="E8" s="141">
        <f t="shared" ref="E8:J8" si="4">E9*40%+E10*30%+E11*30%</f>
        <v>0.42944444444444435</v>
      </c>
      <c r="F8" s="141">
        <f t="shared" si="4"/>
        <v>0.14420000000000005</v>
      </c>
      <c r="G8" s="141">
        <f t="shared" si="4"/>
        <v>7.8800000000000009E-2</v>
      </c>
      <c r="H8" s="141">
        <f t="shared" si="4"/>
        <v>0.44852666666666668</v>
      </c>
      <c r="I8" s="141">
        <f t="shared" si="4"/>
        <v>0.1</v>
      </c>
      <c r="J8" s="184">
        <f t="shared" si="4"/>
        <v>0.33117444196013623</v>
      </c>
    </row>
    <row r="9" spans="2:10" ht="67.5" customHeight="1" thickBot="1" x14ac:dyDescent="0.45">
      <c r="B9" s="22" t="s">
        <v>143</v>
      </c>
      <c r="C9" s="186" t="s">
        <v>25</v>
      </c>
      <c r="D9" s="141">
        <f>'Apartment Progress'!Q3</f>
        <v>0.68548811974106072</v>
      </c>
      <c r="E9" s="141">
        <f>'External Development'!I3</f>
        <v>0.42944444444444435</v>
      </c>
      <c r="F9" s="141">
        <f>'Ground Floor'!O3</f>
        <v>0.3605000000000001</v>
      </c>
      <c r="G9" s="141">
        <f>'Roof top'!P3</f>
        <v>0.19700000000000001</v>
      </c>
      <c r="H9" s="141">
        <f>'Common Area'!I4</f>
        <v>0.54499523809523809</v>
      </c>
      <c r="I9" s="141">
        <v>0.1</v>
      </c>
      <c r="J9" s="184">
        <f>SUMPRODUCT(D9:I9, D$3:I$3)*1.13</f>
        <v>0.63125411355834926</v>
      </c>
    </row>
    <row r="10" spans="2:10" ht="74.25" customHeight="1" thickBot="1" x14ac:dyDescent="0.45">
      <c r="B10" s="22" t="s">
        <v>144</v>
      </c>
      <c r="C10" s="186" t="s">
        <v>104</v>
      </c>
      <c r="D10" s="141">
        <f>'Apartment Progress'!Q192</f>
        <v>0.12627272727272726</v>
      </c>
      <c r="E10" s="141">
        <f>'External Development'!I13</f>
        <v>0.42944444444444435</v>
      </c>
      <c r="F10" s="141">
        <f>'Ground Floor'!O9</f>
        <v>0</v>
      </c>
      <c r="G10" s="141">
        <f>'Roof top'!P5</f>
        <v>0</v>
      </c>
      <c r="H10" s="141">
        <f>'Common Area'!I18</f>
        <v>0.39207142857142863</v>
      </c>
      <c r="I10" s="141">
        <v>0.1</v>
      </c>
      <c r="J10" s="184">
        <f t="shared" ref="J10:J11" si="5">SUMPRODUCT(D10:I10, D$3:I$3)</f>
        <v>0.15765249639249637</v>
      </c>
    </row>
    <row r="11" spans="2:10" s="8" customFormat="1" ht="74.25" customHeight="1" thickBot="1" x14ac:dyDescent="0.45">
      <c r="B11" s="22" t="s">
        <v>145</v>
      </c>
      <c r="C11" s="186" t="s">
        <v>105</v>
      </c>
      <c r="D11" s="141">
        <f>'Apartment Progress'!Q380</f>
        <v>3.9000000000000007E-2</v>
      </c>
      <c r="E11" s="141">
        <f>'External Development'!I23</f>
        <v>0.42944444444444435</v>
      </c>
      <c r="F11" s="141">
        <f>'Ground Floor'!O15</f>
        <v>0</v>
      </c>
      <c r="G11" s="141">
        <f>'Roof top'!P7</f>
        <v>0</v>
      </c>
      <c r="H11" s="141">
        <f>'Common Area'!I31</f>
        <v>0.37635714285714289</v>
      </c>
      <c r="I11" s="141">
        <v>0.1</v>
      </c>
      <c r="J11" s="184">
        <f t="shared" si="5"/>
        <v>0.10459015873015873</v>
      </c>
    </row>
    <row r="12" spans="2:10" s="8" customFormat="1" ht="74.25" customHeight="1" thickBot="1" x14ac:dyDescent="0.45">
      <c r="B12" s="22"/>
      <c r="C12" s="273" t="s">
        <v>196</v>
      </c>
      <c r="D12" s="141"/>
      <c r="E12" s="141"/>
      <c r="F12" s="141"/>
      <c r="G12" s="141"/>
      <c r="H12" s="141"/>
      <c r="I12" s="141"/>
      <c r="J12" s="184"/>
    </row>
    <row r="13" spans="2:10" s="8" customFormat="1" ht="63.75" customHeight="1" thickBot="1" x14ac:dyDescent="0.45">
      <c r="B13" s="22"/>
      <c r="C13" s="186" t="s">
        <v>190</v>
      </c>
      <c r="D13" s="141">
        <f>D14*40%+D15*30%+D16*30%</f>
        <v>1</v>
      </c>
      <c r="E13" s="141">
        <f t="shared" ref="E13:J13" si="6">E14*40%+E15*30%+E16*30%</f>
        <v>1</v>
      </c>
      <c r="F13" s="141">
        <f t="shared" si="6"/>
        <v>1</v>
      </c>
      <c r="G13" s="141">
        <f t="shared" si="6"/>
        <v>1</v>
      </c>
      <c r="H13" s="141">
        <f t="shared" si="6"/>
        <v>1</v>
      </c>
      <c r="I13" s="141">
        <f t="shared" si="6"/>
        <v>1</v>
      </c>
      <c r="J13" s="184">
        <f t="shared" si="6"/>
        <v>0.99999999999999989</v>
      </c>
    </row>
    <row r="14" spans="2:10" ht="30" thickBot="1" x14ac:dyDescent="0.45">
      <c r="B14" s="22" t="s">
        <v>143</v>
      </c>
      <c r="C14" s="186" t="s">
        <v>25</v>
      </c>
      <c r="D14" s="141">
        <v>1</v>
      </c>
      <c r="E14" s="141">
        <v>1</v>
      </c>
      <c r="F14" s="141">
        <v>1</v>
      </c>
      <c r="G14" s="141">
        <v>1</v>
      </c>
      <c r="H14" s="141">
        <v>1</v>
      </c>
      <c r="I14" s="141">
        <v>1</v>
      </c>
      <c r="J14" s="184">
        <f>SUMPRODUCT(D14:I14, D$3:I$3)</f>
        <v>0.99999999999999989</v>
      </c>
    </row>
    <row r="15" spans="2:10" ht="30" thickBot="1" x14ac:dyDescent="0.45">
      <c r="B15" s="22" t="s">
        <v>144</v>
      </c>
      <c r="C15" s="186" t="s">
        <v>104</v>
      </c>
      <c r="D15" s="141">
        <v>1</v>
      </c>
      <c r="E15" s="141">
        <v>1</v>
      </c>
      <c r="F15" s="141">
        <v>1</v>
      </c>
      <c r="G15" s="141">
        <v>1</v>
      </c>
      <c r="H15" s="141">
        <v>1</v>
      </c>
      <c r="I15" s="141">
        <v>1</v>
      </c>
      <c r="J15" s="184">
        <f>SUMPRODUCT(D15:I15, D$3:I$3)</f>
        <v>0.99999999999999989</v>
      </c>
    </row>
    <row r="16" spans="2:10" ht="29.25" x14ac:dyDescent="0.4">
      <c r="B16" s="22" t="s">
        <v>145</v>
      </c>
      <c r="C16" s="186" t="s">
        <v>105</v>
      </c>
      <c r="D16" s="141">
        <v>1</v>
      </c>
      <c r="E16" s="141">
        <v>1</v>
      </c>
      <c r="F16" s="141">
        <v>1</v>
      </c>
      <c r="G16" s="141">
        <v>1</v>
      </c>
      <c r="H16" s="141">
        <v>1</v>
      </c>
      <c r="I16" s="141">
        <v>1</v>
      </c>
      <c r="J16" s="184">
        <f>SUMPRODUCT(D16:I16, D$3:I$3)</f>
        <v>0.99999999999999989</v>
      </c>
    </row>
  </sheetData>
  <phoneticPr fontId="30" type="noConversion"/>
  <pageMargins left="0.75" right="0.75" top="1" bottom="1" header="0.5" footer="0.5"/>
  <pageSetup scale="1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567"/>
  <sheetViews>
    <sheetView view="pageBreakPreview" topLeftCell="C1" zoomScale="50" zoomScaleNormal="100" zoomScaleSheetLayoutView="50" workbookViewId="0">
      <pane ySplit="1" topLeftCell="A8" activePane="bottomLeft" state="frozen"/>
      <selection pane="bottomLeft" activeCell="Q3" sqref="Q3"/>
    </sheetView>
  </sheetViews>
  <sheetFormatPr defaultRowHeight="15.75" x14ac:dyDescent="0.25"/>
  <cols>
    <col min="2" max="2" width="19.85546875" customWidth="1"/>
    <col min="3" max="3" width="19.5703125" customWidth="1"/>
    <col min="4" max="4" width="31.28515625" bestFit="1" customWidth="1"/>
    <col min="5" max="5" width="30" style="8" customWidth="1"/>
    <col min="6" max="18" width="37.28515625" style="8" customWidth="1"/>
  </cols>
  <sheetData>
    <row r="1" spans="2:18" ht="73.5" customHeight="1" x14ac:dyDescent="0.25">
      <c r="B1" s="149" t="s">
        <v>142</v>
      </c>
      <c r="C1" s="149" t="s">
        <v>23</v>
      </c>
      <c r="D1" s="149" t="s">
        <v>22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9" t="s">
        <v>21</v>
      </c>
      <c r="Q1" s="9" t="s">
        <v>24</v>
      </c>
      <c r="R1" s="10"/>
    </row>
    <row r="2" spans="2:18" ht="33.75" customHeight="1" x14ac:dyDescent="0.4">
      <c r="B2" s="22"/>
      <c r="C2" s="22"/>
      <c r="D2" s="155"/>
      <c r="E2" s="141">
        <v>0.12</v>
      </c>
      <c r="F2" s="141">
        <v>0.15</v>
      </c>
      <c r="G2" s="141">
        <v>0.22</v>
      </c>
      <c r="H2" s="141">
        <v>0.1</v>
      </c>
      <c r="I2" s="141">
        <v>0.1</v>
      </c>
      <c r="J2" s="141">
        <v>0.2</v>
      </c>
      <c r="K2" s="141">
        <v>0.05</v>
      </c>
      <c r="L2" s="141">
        <v>0.02</v>
      </c>
      <c r="M2" s="141">
        <v>0.01</v>
      </c>
      <c r="N2" s="141">
        <v>0.01</v>
      </c>
      <c r="O2" s="141">
        <v>0.01</v>
      </c>
      <c r="P2" s="141">
        <v>0.01</v>
      </c>
      <c r="Q2" s="18"/>
      <c r="R2" s="19"/>
    </row>
    <row r="3" spans="2:18" ht="67.5" customHeight="1" x14ac:dyDescent="0.5">
      <c r="B3" s="22" t="s">
        <v>143</v>
      </c>
      <c r="C3" s="22"/>
      <c r="D3" s="153" t="s">
        <v>25</v>
      </c>
      <c r="E3" s="141">
        <f>AVERAGE(E4,E21,E55,E89,E72,E38,E106,E123,E140,E157,E174)</f>
        <v>0.99090909090909096</v>
      </c>
      <c r="F3" s="141">
        <f>AVERAGE(F4,F21,F55,F89,F72,F38,F106,F123,F140,F157,F174)*1.18</f>
        <v>0.83075575757575748</v>
      </c>
      <c r="G3" s="141">
        <f>AVERAGE(G4,G21,G55,G89,G72,G38,G106,G123,G140,G157,G174)*1.05</f>
        <v>0.89499772727272764</v>
      </c>
      <c r="H3" s="141">
        <f>AVERAGE(H4,H21,H55,H89,H72,H38,H106,H123,H140,H157,H174)*1.15</f>
        <v>0.33768181818181814</v>
      </c>
      <c r="I3" s="141">
        <f>AVERAGE(I4,I21,I55,I89,I72,I38,I106,I123,I140,I157,I174)*1.1</f>
        <v>0.63636666666666675</v>
      </c>
      <c r="J3" s="141">
        <f>AVERAGE(J4,J21,J55,J89,J72,J38,J106,J123,J140,J157,J174)*1.1</f>
        <v>0.41259999999999997</v>
      </c>
      <c r="K3" s="141">
        <f>AVERAGE(K4,K21,K55,K89,K72,K38,K106,K123,K140,K157,K174)*1.15</f>
        <v>0.15347272727272723</v>
      </c>
      <c r="L3" s="141">
        <f>AVERAGE(L4,L21,L55,L89,L72,L38,L106,L123,L140,L157,L174)</f>
        <v>7.2727272727272727E-3</v>
      </c>
      <c r="M3" s="141">
        <f>AVERAGE(M4,M21,M55,M89,M72,M38,M106,M123,M140,M157,M174)</f>
        <v>0.70000000000000007</v>
      </c>
      <c r="N3" s="141">
        <f>AVERAGE(N4,N21,N55,N89,N72,N38,N106,N123,N140,N157,N174)</f>
        <v>1</v>
      </c>
      <c r="O3" s="141">
        <f>AVERAGE(O4,O21,O55,O89,O72,O38,O106,O123,O140,O157,O174)</f>
        <v>0.2</v>
      </c>
      <c r="P3" s="141">
        <f>AVERAGE(P4,P21,P55,P89,P72,P38,P106,P123,P140,P157,P174)</f>
        <v>0.71818181818181825</v>
      </c>
      <c r="Q3" s="222">
        <f>SUMPRODUCT(E3:P3, E$2:P$2)*1.04759</f>
        <v>0.68548811974106072</v>
      </c>
      <c r="R3" s="19"/>
    </row>
    <row r="4" spans="2:18" ht="58.5" x14ac:dyDescent="0.4">
      <c r="B4" s="156"/>
      <c r="C4" s="156" t="s">
        <v>26</v>
      </c>
      <c r="D4" s="157"/>
      <c r="E4" s="141">
        <f>AVERAGE(E6:E20)</f>
        <v>1</v>
      </c>
      <c r="F4" s="141">
        <f t="shared" ref="F4:P4" si="0">AVERAGE(F6:F20)</f>
        <v>1</v>
      </c>
      <c r="G4" s="141">
        <f t="shared" si="0"/>
        <v>1.0000000000000002</v>
      </c>
      <c r="H4" s="141">
        <f t="shared" si="0"/>
        <v>0.7</v>
      </c>
      <c r="I4" s="141">
        <f t="shared" si="0"/>
        <v>0.91133333333333333</v>
      </c>
      <c r="J4" s="141">
        <f t="shared" si="0"/>
        <v>0.97366666666666657</v>
      </c>
      <c r="K4" s="141">
        <f t="shared" si="0"/>
        <v>0.71999999999999986</v>
      </c>
      <c r="L4" s="141">
        <f t="shared" si="0"/>
        <v>3.0000000000000002E-2</v>
      </c>
      <c r="M4" s="141">
        <f t="shared" si="0"/>
        <v>0.69999999999999984</v>
      </c>
      <c r="N4" s="141">
        <f t="shared" si="0"/>
        <v>1</v>
      </c>
      <c r="O4" s="141">
        <f t="shared" si="0"/>
        <v>0.20000000000000004</v>
      </c>
      <c r="P4" s="141">
        <f t="shared" si="0"/>
        <v>0.90000000000000024</v>
      </c>
      <c r="Q4" s="14">
        <f>SUMPRODUCT(E4:P4, E$2:P$2)</f>
        <v>0.91046666666666676</v>
      </c>
      <c r="R4" s="12"/>
    </row>
    <row r="5" spans="2:18" ht="73.5" customHeight="1" x14ac:dyDescent="0.45">
      <c r="B5" s="22" t="s">
        <v>143</v>
      </c>
      <c r="C5" s="22" t="s">
        <v>27</v>
      </c>
      <c r="D5" s="150">
        <v>101</v>
      </c>
      <c r="E5" s="20">
        <f>'Work Progress (%)'!G14</f>
        <v>1</v>
      </c>
      <c r="F5" s="20">
        <f>'Work Progress (%)'!L14</f>
        <v>1</v>
      </c>
      <c r="G5" s="20">
        <f>'Work Progress (%)'!Y14</f>
        <v>1.0000000000000002</v>
      </c>
      <c r="H5" s="20">
        <f>'Work Progress (%)'!AD14</f>
        <v>0.70000000000000007</v>
      </c>
      <c r="I5" s="20">
        <f>'Work Progress (%)'!AI14</f>
        <v>0.55000000000000004</v>
      </c>
      <c r="J5" s="20">
        <f>'Work Progress (%)'!AQ14</f>
        <v>0.83250000000000002</v>
      </c>
      <c r="K5" s="20">
        <f>'Work Progress (%)'!AV14</f>
        <v>0.7</v>
      </c>
      <c r="L5" s="20">
        <f>'Work Progress (%)'!BD14</f>
        <v>0</v>
      </c>
      <c r="M5" s="20">
        <v>0.7</v>
      </c>
      <c r="N5" s="20">
        <v>1</v>
      </c>
      <c r="O5" s="20">
        <v>0.2</v>
      </c>
      <c r="P5" s="20">
        <v>0.9</v>
      </c>
      <c r="Q5" s="21">
        <f>SUMPRODUCT(E5:P5, E$2:P$2)</f>
        <v>0.84450000000000014</v>
      </c>
      <c r="R5" s="5"/>
    </row>
    <row r="6" spans="2:18" ht="73.5" customHeight="1" x14ac:dyDescent="0.45">
      <c r="B6" s="22" t="s">
        <v>143</v>
      </c>
      <c r="C6" s="22" t="s">
        <v>27</v>
      </c>
      <c r="D6" s="151">
        <v>102</v>
      </c>
      <c r="E6" s="20">
        <f>'Work Progress (%)'!G15</f>
        <v>1</v>
      </c>
      <c r="F6" s="20">
        <f>'Work Progress (%)'!L15</f>
        <v>1</v>
      </c>
      <c r="G6" s="20">
        <f>'Work Progress (%)'!Y15</f>
        <v>1.0000000000000002</v>
      </c>
      <c r="H6" s="20">
        <f>'Work Progress (%)'!AD15</f>
        <v>0.70000000000000007</v>
      </c>
      <c r="I6" s="20">
        <f>'Work Progress (%)'!AI15</f>
        <v>0.68499999999999994</v>
      </c>
      <c r="J6" s="20">
        <f>'Work Progress (%)'!AQ15</f>
        <v>0.98249999999999993</v>
      </c>
      <c r="K6" s="20">
        <f>'Work Progress (%)'!AV15</f>
        <v>0.7</v>
      </c>
      <c r="L6" s="20">
        <f>'Work Progress (%)'!BD15</f>
        <v>0</v>
      </c>
      <c r="M6" s="20">
        <v>0.7</v>
      </c>
      <c r="N6" s="20">
        <v>1</v>
      </c>
      <c r="O6" s="20">
        <v>0.2</v>
      </c>
      <c r="P6" s="20">
        <v>0.9</v>
      </c>
      <c r="Q6" s="21">
        <f t="shared" ref="Q6:Q34" si="1">SUMPRODUCT(E6:P6, E$2:P$2)</f>
        <v>0.88800000000000012</v>
      </c>
      <c r="R6" s="6"/>
    </row>
    <row r="7" spans="2:18" ht="73.5" customHeight="1" x14ac:dyDescent="0.45">
      <c r="B7" s="22" t="s">
        <v>143</v>
      </c>
      <c r="C7" s="22" t="s">
        <v>27</v>
      </c>
      <c r="D7" s="151">
        <v>103</v>
      </c>
      <c r="E7" s="20">
        <f>'Work Progress (%)'!G16</f>
        <v>1</v>
      </c>
      <c r="F7" s="20">
        <f>'Work Progress (%)'!L16</f>
        <v>1</v>
      </c>
      <c r="G7" s="20">
        <f>'Work Progress (%)'!Y16</f>
        <v>1.0000000000000002</v>
      </c>
      <c r="H7" s="20">
        <f>'Work Progress (%)'!AD16</f>
        <v>0.70000000000000007</v>
      </c>
      <c r="I7" s="20">
        <f>'Work Progress (%)'!AI16</f>
        <v>1</v>
      </c>
      <c r="J7" s="20">
        <f>'Work Progress (%)'!AQ16</f>
        <v>0.98249999999999993</v>
      </c>
      <c r="K7" s="20">
        <f>'Work Progress (%)'!AV16</f>
        <v>0.7</v>
      </c>
      <c r="L7" s="20">
        <f>'Work Progress (%)'!BD16</f>
        <v>0</v>
      </c>
      <c r="M7" s="20">
        <v>0.7</v>
      </c>
      <c r="N7" s="20">
        <v>1</v>
      </c>
      <c r="O7" s="20">
        <v>0.2</v>
      </c>
      <c r="P7" s="20">
        <v>0.9</v>
      </c>
      <c r="Q7" s="21">
        <f t="shared" si="1"/>
        <v>0.9195000000000001</v>
      </c>
      <c r="R7" s="6"/>
    </row>
    <row r="8" spans="2:18" ht="73.5" customHeight="1" x14ac:dyDescent="0.45">
      <c r="B8" s="22" t="s">
        <v>143</v>
      </c>
      <c r="C8" s="22" t="s">
        <v>27</v>
      </c>
      <c r="D8" s="151">
        <v>104</v>
      </c>
      <c r="E8" s="20">
        <f>'Work Progress (%)'!G17</f>
        <v>1</v>
      </c>
      <c r="F8" s="20">
        <f>'Work Progress (%)'!L17</f>
        <v>1</v>
      </c>
      <c r="G8" s="20">
        <f>'Work Progress (%)'!Y17</f>
        <v>1.0000000000000002</v>
      </c>
      <c r="H8" s="20">
        <f>'Work Progress (%)'!AD17</f>
        <v>0.5</v>
      </c>
      <c r="I8" s="20">
        <f>'Work Progress (%)'!AI17</f>
        <v>0.69499999999999995</v>
      </c>
      <c r="J8" s="20">
        <f>'Work Progress (%)'!AQ17</f>
        <v>0.98249999999999993</v>
      </c>
      <c r="K8" s="20">
        <f>'Work Progress (%)'!AV17</f>
        <v>0.7</v>
      </c>
      <c r="L8" s="20">
        <f>'Work Progress (%)'!BD17</f>
        <v>0</v>
      </c>
      <c r="M8" s="20">
        <v>0.7</v>
      </c>
      <c r="N8" s="20">
        <v>1</v>
      </c>
      <c r="O8" s="20">
        <v>0.2</v>
      </c>
      <c r="P8" s="20">
        <v>0.9</v>
      </c>
      <c r="Q8" s="21">
        <f t="shared" si="1"/>
        <v>0.86900000000000022</v>
      </c>
      <c r="R8" s="6"/>
    </row>
    <row r="9" spans="2:18" ht="73.5" customHeight="1" x14ac:dyDescent="0.45">
      <c r="B9" s="22" t="s">
        <v>143</v>
      </c>
      <c r="C9" s="22" t="s">
        <v>27</v>
      </c>
      <c r="D9" s="151">
        <v>105</v>
      </c>
      <c r="E9" s="20">
        <f>'Work Progress (%)'!G18</f>
        <v>1</v>
      </c>
      <c r="F9" s="20">
        <f>'Work Progress (%)'!L18</f>
        <v>1</v>
      </c>
      <c r="G9" s="20">
        <f>'Work Progress (%)'!Y18</f>
        <v>1.0000000000000002</v>
      </c>
      <c r="H9" s="20">
        <f>'Work Progress (%)'!AD18</f>
        <v>0.70000000000000007</v>
      </c>
      <c r="I9" s="20">
        <f>'Work Progress (%)'!AI18</f>
        <v>0.78499999999999992</v>
      </c>
      <c r="J9" s="20">
        <f>'Work Progress (%)'!AQ18</f>
        <v>0.98249999999999993</v>
      </c>
      <c r="K9" s="20">
        <f>'Work Progress (%)'!AV18</f>
        <v>0.7</v>
      </c>
      <c r="L9" s="20">
        <f>'Work Progress (%)'!BD18</f>
        <v>0</v>
      </c>
      <c r="M9" s="20">
        <v>0.7</v>
      </c>
      <c r="N9" s="20">
        <v>1</v>
      </c>
      <c r="O9" s="20">
        <v>0.2</v>
      </c>
      <c r="P9" s="20">
        <v>0.9</v>
      </c>
      <c r="Q9" s="21">
        <f t="shared" si="1"/>
        <v>0.89800000000000013</v>
      </c>
      <c r="R9" s="6"/>
    </row>
    <row r="10" spans="2:18" ht="73.5" customHeight="1" x14ac:dyDescent="0.45">
      <c r="B10" s="22" t="s">
        <v>143</v>
      </c>
      <c r="C10" s="22" t="s">
        <v>27</v>
      </c>
      <c r="D10" s="151">
        <v>106</v>
      </c>
      <c r="E10" s="20">
        <f>'Work Progress (%)'!G19</f>
        <v>1</v>
      </c>
      <c r="F10" s="20">
        <f>'Work Progress (%)'!L19</f>
        <v>1</v>
      </c>
      <c r="G10" s="20">
        <f>'Work Progress (%)'!Y19</f>
        <v>1.0000000000000002</v>
      </c>
      <c r="H10" s="20">
        <f>'Work Progress (%)'!AD19</f>
        <v>0.70000000000000007</v>
      </c>
      <c r="I10" s="20">
        <f>'Work Progress (%)'!AI19</f>
        <v>1</v>
      </c>
      <c r="J10" s="20">
        <f>'Work Progress (%)'!AQ19</f>
        <v>0.98249999999999993</v>
      </c>
      <c r="K10" s="20">
        <f>'Work Progress (%)'!AV19</f>
        <v>0.85</v>
      </c>
      <c r="L10" s="20">
        <f>'Work Progress (%)'!BD19</f>
        <v>0</v>
      </c>
      <c r="M10" s="20">
        <v>0.7</v>
      </c>
      <c r="N10" s="20">
        <v>1</v>
      </c>
      <c r="O10" s="20">
        <v>0.2</v>
      </c>
      <c r="P10" s="20">
        <v>0.9</v>
      </c>
      <c r="Q10" s="21">
        <f t="shared" si="1"/>
        <v>0.92700000000000005</v>
      </c>
      <c r="R10" s="6"/>
    </row>
    <row r="11" spans="2:18" ht="73.5" customHeight="1" x14ac:dyDescent="0.45">
      <c r="B11" s="22" t="s">
        <v>143</v>
      </c>
      <c r="C11" s="22" t="s">
        <v>27</v>
      </c>
      <c r="D11" s="151">
        <v>107</v>
      </c>
      <c r="E11" s="20">
        <f>'Work Progress (%)'!G20</f>
        <v>1</v>
      </c>
      <c r="F11" s="20">
        <f>'Work Progress (%)'!L20</f>
        <v>1</v>
      </c>
      <c r="G11" s="20">
        <f>'Work Progress (%)'!Y20</f>
        <v>1.0000000000000002</v>
      </c>
      <c r="H11" s="20">
        <f>'Work Progress (%)'!AD20</f>
        <v>0.70000000000000007</v>
      </c>
      <c r="I11" s="20">
        <f>'Work Progress (%)'!AI20</f>
        <v>1</v>
      </c>
      <c r="J11" s="20">
        <f>'Work Progress (%)'!AQ20</f>
        <v>0.98249999999999993</v>
      </c>
      <c r="K11" s="20">
        <f>'Work Progress (%)'!AV20</f>
        <v>0.7</v>
      </c>
      <c r="L11" s="20">
        <f>'Work Progress (%)'!BD20</f>
        <v>0</v>
      </c>
      <c r="M11" s="20">
        <v>0.7</v>
      </c>
      <c r="N11" s="20">
        <v>1</v>
      </c>
      <c r="O11" s="20">
        <v>0.2</v>
      </c>
      <c r="P11" s="20">
        <v>0.9</v>
      </c>
      <c r="Q11" s="21">
        <f t="shared" si="1"/>
        <v>0.9195000000000001</v>
      </c>
      <c r="R11" s="6"/>
    </row>
    <row r="12" spans="2:18" ht="73.5" customHeight="1" x14ac:dyDescent="0.45">
      <c r="B12" s="22" t="s">
        <v>143</v>
      </c>
      <c r="C12" s="22" t="s">
        <v>27</v>
      </c>
      <c r="D12" s="151">
        <v>108</v>
      </c>
      <c r="E12" s="20">
        <f>'Work Progress (%)'!G21</f>
        <v>1</v>
      </c>
      <c r="F12" s="20">
        <f>'Work Progress (%)'!L21</f>
        <v>1</v>
      </c>
      <c r="G12" s="20">
        <f>'Work Progress (%)'!Y21</f>
        <v>1.0000000000000002</v>
      </c>
      <c r="H12" s="20">
        <f>'Work Progress (%)'!AD21</f>
        <v>0.80000000000000016</v>
      </c>
      <c r="I12" s="20">
        <f>'Work Progress (%)'!AI21</f>
        <v>1</v>
      </c>
      <c r="J12" s="20">
        <f>'Work Progress (%)'!AQ21</f>
        <v>0.98249999999999993</v>
      </c>
      <c r="K12" s="20">
        <f>'Work Progress (%)'!AV21</f>
        <v>0.85</v>
      </c>
      <c r="L12" s="20">
        <f>'Work Progress (%)'!BD21</f>
        <v>0</v>
      </c>
      <c r="M12" s="20">
        <v>0.7</v>
      </c>
      <c r="N12" s="20">
        <v>1</v>
      </c>
      <c r="O12" s="20">
        <v>0.2</v>
      </c>
      <c r="P12" s="20">
        <v>0.9</v>
      </c>
      <c r="Q12" s="21">
        <f t="shared" si="1"/>
        <v>0.93700000000000006</v>
      </c>
      <c r="R12" s="6"/>
    </row>
    <row r="13" spans="2:18" ht="73.5" customHeight="1" x14ac:dyDescent="0.45">
      <c r="B13" s="22" t="s">
        <v>143</v>
      </c>
      <c r="C13" s="22" t="s">
        <v>27</v>
      </c>
      <c r="D13" s="151">
        <v>109</v>
      </c>
      <c r="E13" s="20">
        <f>'Work Progress (%)'!G22</f>
        <v>1</v>
      </c>
      <c r="F13" s="20">
        <f>'Work Progress (%)'!L22</f>
        <v>1</v>
      </c>
      <c r="G13" s="20">
        <f>'Work Progress (%)'!Y22</f>
        <v>1.0000000000000002</v>
      </c>
      <c r="H13" s="20">
        <f>'Work Progress (%)'!AD22</f>
        <v>0.70000000000000007</v>
      </c>
      <c r="I13" s="20">
        <f>'Work Progress (%)'!AI22</f>
        <v>1</v>
      </c>
      <c r="J13" s="20">
        <f>'Work Progress (%)'!AQ22</f>
        <v>0.98249999999999993</v>
      </c>
      <c r="K13" s="20">
        <f>'Work Progress (%)'!AV22</f>
        <v>0.7</v>
      </c>
      <c r="L13" s="20">
        <f>'Work Progress (%)'!BD22</f>
        <v>0</v>
      </c>
      <c r="M13" s="20">
        <v>0.7</v>
      </c>
      <c r="N13" s="20">
        <v>1</v>
      </c>
      <c r="O13" s="20">
        <v>0.2</v>
      </c>
      <c r="P13" s="20">
        <v>0.9</v>
      </c>
      <c r="Q13" s="21">
        <f t="shared" si="1"/>
        <v>0.9195000000000001</v>
      </c>
      <c r="R13" s="6"/>
    </row>
    <row r="14" spans="2:18" ht="73.5" customHeight="1" x14ac:dyDescent="0.45">
      <c r="B14" s="22" t="s">
        <v>143</v>
      </c>
      <c r="C14" s="22" t="s">
        <v>27</v>
      </c>
      <c r="D14" s="151">
        <v>110</v>
      </c>
      <c r="E14" s="20">
        <f>'Work Progress (%)'!G23</f>
        <v>1</v>
      </c>
      <c r="F14" s="20">
        <f>'Work Progress (%)'!L23</f>
        <v>1</v>
      </c>
      <c r="G14" s="20">
        <f>'Work Progress (%)'!Y23</f>
        <v>1.0000000000000002</v>
      </c>
      <c r="H14" s="20">
        <f>'Work Progress (%)'!AD23</f>
        <v>0.80000000000000016</v>
      </c>
      <c r="I14" s="20">
        <f>'Work Progress (%)'!AI23</f>
        <v>0.90999999999999992</v>
      </c>
      <c r="J14" s="20">
        <f>'Work Progress (%)'!AQ23</f>
        <v>0.98249999999999993</v>
      </c>
      <c r="K14" s="20">
        <f>'Work Progress (%)'!AV23</f>
        <v>0.7</v>
      </c>
      <c r="L14" s="20">
        <f>'Work Progress (%)'!BD23</f>
        <v>0.45</v>
      </c>
      <c r="M14" s="20">
        <v>0.7</v>
      </c>
      <c r="N14" s="20">
        <v>1</v>
      </c>
      <c r="O14" s="20">
        <v>0.2</v>
      </c>
      <c r="P14" s="20">
        <v>0.9</v>
      </c>
      <c r="Q14" s="21">
        <f t="shared" si="1"/>
        <v>0.9295000000000001</v>
      </c>
      <c r="R14" s="6"/>
    </row>
    <row r="15" spans="2:18" ht="73.5" customHeight="1" x14ac:dyDescent="0.45">
      <c r="B15" s="22" t="s">
        <v>143</v>
      </c>
      <c r="C15" s="22" t="s">
        <v>27</v>
      </c>
      <c r="D15" s="151">
        <v>111</v>
      </c>
      <c r="E15" s="20">
        <f>'Work Progress (%)'!G24</f>
        <v>1</v>
      </c>
      <c r="F15" s="20">
        <f>'Work Progress (%)'!L24</f>
        <v>1</v>
      </c>
      <c r="G15" s="20">
        <f>'Work Progress (%)'!Y24</f>
        <v>1.0000000000000002</v>
      </c>
      <c r="H15" s="20">
        <f>'Work Progress (%)'!AD24</f>
        <v>0.70000000000000007</v>
      </c>
      <c r="I15" s="20">
        <f>'Work Progress (%)'!AI24</f>
        <v>0.90999999999999992</v>
      </c>
      <c r="J15" s="20">
        <f>'Work Progress (%)'!AQ24</f>
        <v>0.98249999999999993</v>
      </c>
      <c r="K15" s="20">
        <f>'Work Progress (%)'!AV24</f>
        <v>0.7</v>
      </c>
      <c r="L15" s="20">
        <f>'Work Progress (%)'!BD24</f>
        <v>0</v>
      </c>
      <c r="M15" s="20">
        <v>0.7</v>
      </c>
      <c r="N15" s="20">
        <v>1</v>
      </c>
      <c r="O15" s="20">
        <v>0.2</v>
      </c>
      <c r="P15" s="20">
        <v>0.9</v>
      </c>
      <c r="Q15" s="21">
        <f t="shared" si="1"/>
        <v>0.91050000000000009</v>
      </c>
      <c r="R15" s="6"/>
    </row>
    <row r="16" spans="2:18" ht="73.5" customHeight="1" x14ac:dyDescent="0.45">
      <c r="B16" s="22" t="s">
        <v>143</v>
      </c>
      <c r="C16" s="22" t="s">
        <v>27</v>
      </c>
      <c r="D16" s="151">
        <v>112</v>
      </c>
      <c r="E16" s="20">
        <f>'Work Progress (%)'!G25</f>
        <v>1</v>
      </c>
      <c r="F16" s="20">
        <f>'Work Progress (%)'!L25</f>
        <v>1</v>
      </c>
      <c r="G16" s="20">
        <f>'Work Progress (%)'!Y25</f>
        <v>1.0000000000000002</v>
      </c>
      <c r="H16" s="20">
        <f>'Work Progress (%)'!AD25</f>
        <v>0.80000000000000016</v>
      </c>
      <c r="I16" s="20">
        <f>'Work Progress (%)'!AI25</f>
        <v>1</v>
      </c>
      <c r="J16" s="20">
        <f>'Work Progress (%)'!AQ25</f>
        <v>1</v>
      </c>
      <c r="K16" s="20">
        <f>'Work Progress (%)'!AV25</f>
        <v>0.7</v>
      </c>
      <c r="L16" s="20">
        <f>'Work Progress (%)'!BD25</f>
        <v>0</v>
      </c>
      <c r="M16" s="20">
        <v>0.7</v>
      </c>
      <c r="N16" s="20">
        <v>1</v>
      </c>
      <c r="O16" s="20">
        <v>0.2</v>
      </c>
      <c r="P16" s="20">
        <v>0.9</v>
      </c>
      <c r="Q16" s="21">
        <f t="shared" si="1"/>
        <v>0.93300000000000016</v>
      </c>
      <c r="R16" s="6"/>
    </row>
    <row r="17" spans="2:18" ht="73.5" customHeight="1" x14ac:dyDescent="0.45">
      <c r="B17" s="22" t="s">
        <v>143</v>
      </c>
      <c r="C17" s="22" t="s">
        <v>27</v>
      </c>
      <c r="D17" s="151">
        <v>113</v>
      </c>
      <c r="E17" s="20">
        <f>'Work Progress (%)'!G26</f>
        <v>1</v>
      </c>
      <c r="F17" s="20">
        <f>'Work Progress (%)'!L26</f>
        <v>1</v>
      </c>
      <c r="G17" s="20">
        <f>'Work Progress (%)'!Y26</f>
        <v>1.0000000000000002</v>
      </c>
      <c r="H17" s="20">
        <f>'Work Progress (%)'!AD26</f>
        <v>0.70000000000000007</v>
      </c>
      <c r="I17" s="20">
        <f>'Work Progress (%)'!AI26</f>
        <v>1</v>
      </c>
      <c r="J17" s="20">
        <f>'Work Progress (%)'!AQ26</f>
        <v>0.83250000000000002</v>
      </c>
      <c r="K17" s="20">
        <f>'Work Progress (%)'!AV26</f>
        <v>0.7</v>
      </c>
      <c r="L17" s="20">
        <f>'Work Progress (%)'!BD26</f>
        <v>0</v>
      </c>
      <c r="M17" s="20">
        <v>0.7</v>
      </c>
      <c r="N17" s="20">
        <v>1</v>
      </c>
      <c r="O17" s="20">
        <v>0.2</v>
      </c>
      <c r="P17" s="20">
        <v>0.9</v>
      </c>
      <c r="Q17" s="21">
        <f t="shared" si="1"/>
        <v>0.88950000000000007</v>
      </c>
      <c r="R17" s="6"/>
    </row>
    <row r="18" spans="2:18" ht="73.5" customHeight="1" x14ac:dyDescent="0.45">
      <c r="B18" s="22" t="s">
        <v>143</v>
      </c>
      <c r="C18" s="22" t="s">
        <v>27</v>
      </c>
      <c r="D18" s="151">
        <v>114</v>
      </c>
      <c r="E18" s="20">
        <f>'Work Progress (%)'!G27</f>
        <v>1</v>
      </c>
      <c r="F18" s="20">
        <f>'Work Progress (%)'!L27</f>
        <v>1</v>
      </c>
      <c r="G18" s="20">
        <f>'Work Progress (%)'!Y27</f>
        <v>1.0000000000000002</v>
      </c>
      <c r="H18" s="20">
        <f>'Work Progress (%)'!AD27</f>
        <v>0.80000000000000016</v>
      </c>
      <c r="I18" s="20">
        <f>'Work Progress (%)'!AI27</f>
        <v>1</v>
      </c>
      <c r="J18" s="20">
        <f>'Work Progress (%)'!AQ27</f>
        <v>0.98249999999999993</v>
      </c>
      <c r="K18" s="20">
        <f>'Work Progress (%)'!AV27</f>
        <v>0.7</v>
      </c>
      <c r="L18" s="20">
        <f>'Work Progress (%)'!BD27</f>
        <v>0</v>
      </c>
      <c r="M18" s="20">
        <v>0.7</v>
      </c>
      <c r="N18" s="20">
        <v>1</v>
      </c>
      <c r="O18" s="20">
        <v>0.2</v>
      </c>
      <c r="P18" s="20">
        <v>0.9</v>
      </c>
      <c r="Q18" s="21">
        <f t="shared" si="1"/>
        <v>0.9295000000000001</v>
      </c>
      <c r="R18" s="6"/>
    </row>
    <row r="19" spans="2:18" ht="73.5" customHeight="1" x14ac:dyDescent="0.45">
      <c r="B19" s="22" t="s">
        <v>143</v>
      </c>
      <c r="C19" s="22" t="s">
        <v>27</v>
      </c>
      <c r="D19" s="151">
        <v>115</v>
      </c>
      <c r="E19" s="20">
        <f>'Work Progress (%)'!G28</f>
        <v>1</v>
      </c>
      <c r="F19" s="20">
        <f>'Work Progress (%)'!L28</f>
        <v>1</v>
      </c>
      <c r="G19" s="20">
        <f>'Work Progress (%)'!Y28</f>
        <v>1.0000000000000002</v>
      </c>
      <c r="H19" s="20">
        <f>'Work Progress (%)'!AD28</f>
        <v>0.5</v>
      </c>
      <c r="I19" s="20">
        <f>'Work Progress (%)'!AI28</f>
        <v>0.68499999999999994</v>
      </c>
      <c r="J19" s="20">
        <f>'Work Progress (%)'!AQ28</f>
        <v>0.98249999999999993</v>
      </c>
      <c r="K19" s="20">
        <f>'Work Progress (%)'!AV28</f>
        <v>0.7</v>
      </c>
      <c r="L19" s="20">
        <f>'Work Progress (%)'!BD28</f>
        <v>0</v>
      </c>
      <c r="M19" s="20">
        <v>0.7</v>
      </c>
      <c r="N19" s="20">
        <v>1</v>
      </c>
      <c r="O19" s="20">
        <v>0.2</v>
      </c>
      <c r="P19" s="20">
        <v>0.9</v>
      </c>
      <c r="Q19" s="21">
        <f t="shared" si="1"/>
        <v>0.86800000000000022</v>
      </c>
      <c r="R19" s="6"/>
    </row>
    <row r="20" spans="2:18" ht="73.5" customHeight="1" x14ac:dyDescent="0.45">
      <c r="B20" s="22" t="s">
        <v>143</v>
      </c>
      <c r="C20" s="22" t="s">
        <v>27</v>
      </c>
      <c r="D20" s="151">
        <v>116</v>
      </c>
      <c r="E20" s="20">
        <f>'Work Progress (%)'!G29</f>
        <v>1</v>
      </c>
      <c r="F20" s="20">
        <f>'Work Progress (%)'!L29</f>
        <v>1</v>
      </c>
      <c r="G20" s="20">
        <f>'Work Progress (%)'!Y29</f>
        <v>1.0000000000000002</v>
      </c>
      <c r="H20" s="20">
        <f>'Work Progress (%)'!AD29</f>
        <v>0.70000000000000007</v>
      </c>
      <c r="I20" s="20">
        <f>'Work Progress (%)'!AI29</f>
        <v>1</v>
      </c>
      <c r="J20" s="20">
        <f>'Work Progress (%)'!AQ29</f>
        <v>0.98249999999999993</v>
      </c>
      <c r="K20" s="20">
        <f>'Work Progress (%)'!AV29</f>
        <v>0.7</v>
      </c>
      <c r="L20" s="20">
        <f>'Work Progress (%)'!BD29</f>
        <v>0</v>
      </c>
      <c r="M20" s="20">
        <v>0.7</v>
      </c>
      <c r="N20" s="20">
        <v>1</v>
      </c>
      <c r="O20" s="20">
        <v>0.2</v>
      </c>
      <c r="P20" s="20">
        <v>0.9</v>
      </c>
      <c r="Q20" s="21">
        <f t="shared" si="1"/>
        <v>0.9195000000000001</v>
      </c>
      <c r="R20" s="6"/>
    </row>
    <row r="21" spans="2:18" ht="73.5" customHeight="1" x14ac:dyDescent="0.45">
      <c r="B21" s="22" t="s">
        <v>143</v>
      </c>
      <c r="C21" s="22"/>
      <c r="D21" s="154" t="s">
        <v>28</v>
      </c>
      <c r="E21" s="141">
        <f>AVERAGE(E23:E37)</f>
        <v>1</v>
      </c>
      <c r="F21" s="141">
        <f t="shared" ref="F21:P21" si="2">AVERAGE(F23:F37)</f>
        <v>1</v>
      </c>
      <c r="G21" s="20">
        <f t="shared" si="2"/>
        <v>1.0000000000000002</v>
      </c>
      <c r="H21" s="141">
        <f t="shared" si="2"/>
        <v>0.5</v>
      </c>
      <c r="I21" s="141">
        <f t="shared" si="2"/>
        <v>0.86166666666666669</v>
      </c>
      <c r="J21" s="141">
        <f t="shared" si="2"/>
        <v>0.97249999999999992</v>
      </c>
      <c r="K21" s="141">
        <f t="shared" si="2"/>
        <v>0.54999999999999993</v>
      </c>
      <c r="L21" s="141">
        <f t="shared" si="2"/>
        <v>0</v>
      </c>
      <c r="M21" s="141">
        <f t="shared" si="2"/>
        <v>0.69999999999999984</v>
      </c>
      <c r="N21" s="141">
        <f t="shared" si="2"/>
        <v>1</v>
      </c>
      <c r="O21" s="141">
        <f t="shared" si="2"/>
        <v>0.20000000000000004</v>
      </c>
      <c r="P21" s="141">
        <f t="shared" si="2"/>
        <v>0.69999999999999984</v>
      </c>
      <c r="Q21" s="14">
        <f t="shared" si="1"/>
        <v>0.87416666666666676</v>
      </c>
      <c r="R21" s="12"/>
    </row>
    <row r="22" spans="2:18" ht="73.5" customHeight="1" x14ac:dyDescent="0.45">
      <c r="B22" s="22" t="s">
        <v>143</v>
      </c>
      <c r="C22" s="22" t="s">
        <v>29</v>
      </c>
      <c r="D22" s="151">
        <v>201</v>
      </c>
      <c r="E22" s="20">
        <f>'Work Progress (%)'!G31</f>
        <v>1</v>
      </c>
      <c r="F22" s="20">
        <f>'Work Progress (%)'!L31</f>
        <v>1</v>
      </c>
      <c r="G22" s="20">
        <f>'Work Progress (%)'!Y31</f>
        <v>1.0000000000000002</v>
      </c>
      <c r="H22" s="20">
        <f>'Work Progress (%)'!AD31</f>
        <v>0.5</v>
      </c>
      <c r="I22" s="20">
        <f>'Work Progress (%)'!AI31</f>
        <v>0.375</v>
      </c>
      <c r="J22" s="20">
        <f>'Work Progress (%)'!AQ31</f>
        <v>0.83250000000000002</v>
      </c>
      <c r="K22" s="20">
        <f>'Work Progress (%)'!AV31</f>
        <v>0.55000000000000004</v>
      </c>
      <c r="L22" s="20">
        <f>'Work Progress (%)'!BD31</f>
        <v>0</v>
      </c>
      <c r="M22" s="20">
        <v>0.7</v>
      </c>
      <c r="N22" s="20">
        <v>1</v>
      </c>
      <c r="O22" s="20">
        <v>0.2</v>
      </c>
      <c r="P22" s="20">
        <v>0.7</v>
      </c>
      <c r="Q22" s="21">
        <f t="shared" si="1"/>
        <v>0.7975000000000001</v>
      </c>
      <c r="R22" s="6"/>
    </row>
    <row r="23" spans="2:18" ht="73.5" customHeight="1" x14ac:dyDescent="0.45">
      <c r="B23" s="22" t="s">
        <v>143</v>
      </c>
      <c r="C23" s="22" t="s">
        <v>29</v>
      </c>
      <c r="D23" s="151">
        <v>202</v>
      </c>
      <c r="E23" s="20">
        <f>'Work Progress (%)'!G32</f>
        <v>1</v>
      </c>
      <c r="F23" s="20">
        <f>'Work Progress (%)'!L32</f>
        <v>1</v>
      </c>
      <c r="G23" s="20">
        <f>'Work Progress (%)'!Y32</f>
        <v>1.0000000000000002</v>
      </c>
      <c r="H23" s="20">
        <f>'Work Progress (%)'!AD32</f>
        <v>0.5</v>
      </c>
      <c r="I23" s="20">
        <f>'Work Progress (%)'!AI32</f>
        <v>0.55000000000000004</v>
      </c>
      <c r="J23" s="20">
        <f>'Work Progress (%)'!AQ32</f>
        <v>0.98249999999999993</v>
      </c>
      <c r="K23" s="20">
        <f>'Work Progress (%)'!AV32</f>
        <v>0.55000000000000004</v>
      </c>
      <c r="L23" s="20">
        <f>'Work Progress (%)'!BD32</f>
        <v>0</v>
      </c>
      <c r="M23" s="20">
        <v>0.7</v>
      </c>
      <c r="N23" s="20">
        <v>1</v>
      </c>
      <c r="O23" s="20">
        <v>0.2</v>
      </c>
      <c r="P23" s="20">
        <v>0.7</v>
      </c>
      <c r="Q23" s="21">
        <f t="shared" si="1"/>
        <v>0.8450000000000002</v>
      </c>
      <c r="R23" s="6"/>
    </row>
    <row r="24" spans="2:18" ht="73.5" customHeight="1" x14ac:dyDescent="0.45">
      <c r="B24" s="22" t="s">
        <v>143</v>
      </c>
      <c r="C24" s="22" t="s">
        <v>29</v>
      </c>
      <c r="D24" s="151">
        <v>203</v>
      </c>
      <c r="E24" s="20">
        <f>'Work Progress (%)'!G33</f>
        <v>1</v>
      </c>
      <c r="F24" s="20">
        <f>'Work Progress (%)'!L33</f>
        <v>1</v>
      </c>
      <c r="G24" s="20">
        <f>'Work Progress (%)'!Y33</f>
        <v>1.0000000000000002</v>
      </c>
      <c r="H24" s="20">
        <f>'Work Progress (%)'!AD33</f>
        <v>0.5</v>
      </c>
      <c r="I24" s="20">
        <f>'Work Progress (%)'!AI33</f>
        <v>0.59499999999999997</v>
      </c>
      <c r="J24" s="20">
        <f>'Work Progress (%)'!AQ33</f>
        <v>0.98249999999999993</v>
      </c>
      <c r="K24" s="20">
        <f>'Work Progress (%)'!AV33</f>
        <v>0.55000000000000004</v>
      </c>
      <c r="L24" s="20">
        <f>'Work Progress (%)'!BD33</f>
        <v>0</v>
      </c>
      <c r="M24" s="20">
        <v>0.7</v>
      </c>
      <c r="N24" s="20">
        <v>1</v>
      </c>
      <c r="O24" s="20">
        <v>0.2</v>
      </c>
      <c r="P24" s="20">
        <v>0.7</v>
      </c>
      <c r="Q24" s="21">
        <f t="shared" si="1"/>
        <v>0.84950000000000014</v>
      </c>
      <c r="R24" s="6"/>
    </row>
    <row r="25" spans="2:18" ht="73.5" customHeight="1" x14ac:dyDescent="0.45">
      <c r="B25" s="22" t="s">
        <v>143</v>
      </c>
      <c r="C25" s="22" t="s">
        <v>29</v>
      </c>
      <c r="D25" s="151">
        <v>204</v>
      </c>
      <c r="E25" s="20">
        <f>'Work Progress (%)'!G34</f>
        <v>1</v>
      </c>
      <c r="F25" s="20">
        <f>'Work Progress (%)'!L34</f>
        <v>1</v>
      </c>
      <c r="G25" s="20">
        <f>'Work Progress (%)'!Y34</f>
        <v>1.0000000000000002</v>
      </c>
      <c r="H25" s="20">
        <f>'Work Progress (%)'!AD34</f>
        <v>0.5</v>
      </c>
      <c r="I25" s="20">
        <f>'Work Progress (%)'!AI34</f>
        <v>0.7</v>
      </c>
      <c r="J25" s="20">
        <f>'Work Progress (%)'!AQ34</f>
        <v>0.98249999999999993</v>
      </c>
      <c r="K25" s="20">
        <f>'Work Progress (%)'!AV34</f>
        <v>0.55000000000000004</v>
      </c>
      <c r="L25" s="20">
        <f>'Work Progress (%)'!BD34</f>
        <v>0</v>
      </c>
      <c r="M25" s="20">
        <v>0.7</v>
      </c>
      <c r="N25" s="20">
        <v>1</v>
      </c>
      <c r="O25" s="20">
        <v>0.2</v>
      </c>
      <c r="P25" s="20">
        <v>0.7</v>
      </c>
      <c r="Q25" s="21">
        <f t="shared" si="1"/>
        <v>0.8600000000000001</v>
      </c>
      <c r="R25" s="6"/>
    </row>
    <row r="26" spans="2:18" ht="73.5" customHeight="1" x14ac:dyDescent="0.45">
      <c r="B26" s="22" t="s">
        <v>143</v>
      </c>
      <c r="C26" s="22" t="s">
        <v>29</v>
      </c>
      <c r="D26" s="151">
        <v>205</v>
      </c>
      <c r="E26" s="20">
        <f>'Work Progress (%)'!G35</f>
        <v>1</v>
      </c>
      <c r="F26" s="20">
        <f>'Work Progress (%)'!L35</f>
        <v>1</v>
      </c>
      <c r="G26" s="20">
        <f>'Work Progress (%)'!Y35</f>
        <v>1.0000000000000002</v>
      </c>
      <c r="H26" s="20">
        <f>'Work Progress (%)'!AD35</f>
        <v>0.5</v>
      </c>
      <c r="I26" s="20">
        <f>'Work Progress (%)'!AI35</f>
        <v>0.85</v>
      </c>
      <c r="J26" s="20">
        <f>'Work Progress (%)'!AQ35</f>
        <v>0.98249999999999993</v>
      </c>
      <c r="K26" s="20">
        <f>'Work Progress (%)'!AV35</f>
        <v>0.55000000000000004</v>
      </c>
      <c r="L26" s="20">
        <f>'Work Progress (%)'!BD35</f>
        <v>0</v>
      </c>
      <c r="M26" s="20">
        <v>0.7</v>
      </c>
      <c r="N26" s="20">
        <v>1</v>
      </c>
      <c r="O26" s="20">
        <v>0.2</v>
      </c>
      <c r="P26" s="20">
        <v>0.7</v>
      </c>
      <c r="Q26" s="21">
        <f t="shared" si="1"/>
        <v>0.87500000000000011</v>
      </c>
      <c r="R26" s="6"/>
    </row>
    <row r="27" spans="2:18" ht="73.5" customHeight="1" x14ac:dyDescent="0.45">
      <c r="B27" s="22" t="s">
        <v>143</v>
      </c>
      <c r="C27" s="22" t="s">
        <v>29</v>
      </c>
      <c r="D27" s="151">
        <v>206</v>
      </c>
      <c r="E27" s="20">
        <f>'Work Progress (%)'!G36</f>
        <v>1</v>
      </c>
      <c r="F27" s="20">
        <f>'Work Progress (%)'!L36</f>
        <v>1</v>
      </c>
      <c r="G27" s="20">
        <f>'Work Progress (%)'!Y36</f>
        <v>1.0000000000000002</v>
      </c>
      <c r="H27" s="20">
        <f>'Work Progress (%)'!AD36</f>
        <v>0.5</v>
      </c>
      <c r="I27" s="20">
        <f>'Work Progress (%)'!AI36</f>
        <v>1</v>
      </c>
      <c r="J27" s="20">
        <f>'Work Progress (%)'!AQ36</f>
        <v>0.98249999999999993</v>
      </c>
      <c r="K27" s="20">
        <f>'Work Progress (%)'!AV36</f>
        <v>0.55000000000000004</v>
      </c>
      <c r="L27" s="20">
        <f>'Work Progress (%)'!BD36</f>
        <v>0</v>
      </c>
      <c r="M27" s="20">
        <v>0.7</v>
      </c>
      <c r="N27" s="20">
        <v>1</v>
      </c>
      <c r="O27" s="20">
        <v>0.2</v>
      </c>
      <c r="P27" s="20">
        <v>0.7</v>
      </c>
      <c r="Q27" s="21">
        <f t="shared" si="1"/>
        <v>0.89000000000000012</v>
      </c>
      <c r="R27" s="6"/>
    </row>
    <row r="28" spans="2:18" ht="73.5" customHeight="1" x14ac:dyDescent="0.45">
      <c r="B28" s="22" t="s">
        <v>143</v>
      </c>
      <c r="C28" s="22" t="s">
        <v>29</v>
      </c>
      <c r="D28" s="151">
        <v>207</v>
      </c>
      <c r="E28" s="20">
        <f>'Work Progress (%)'!G37</f>
        <v>1</v>
      </c>
      <c r="F28" s="20">
        <f>'Work Progress (%)'!L37</f>
        <v>1</v>
      </c>
      <c r="G28" s="20">
        <f>'Work Progress (%)'!Y37</f>
        <v>1.0000000000000002</v>
      </c>
      <c r="H28" s="20">
        <f>'Work Progress (%)'!AD37</f>
        <v>0.5</v>
      </c>
      <c r="I28" s="20">
        <f>'Work Progress (%)'!AI37</f>
        <v>0.90500000000000003</v>
      </c>
      <c r="J28" s="20">
        <f>'Work Progress (%)'!AQ37</f>
        <v>0.98249999999999993</v>
      </c>
      <c r="K28" s="20">
        <f>'Work Progress (%)'!AV37</f>
        <v>0.55000000000000004</v>
      </c>
      <c r="L28" s="20">
        <f>'Work Progress (%)'!BD37</f>
        <v>0</v>
      </c>
      <c r="M28" s="20">
        <v>0.7</v>
      </c>
      <c r="N28" s="20">
        <v>1</v>
      </c>
      <c r="O28" s="20">
        <v>0.2</v>
      </c>
      <c r="P28" s="20">
        <v>0.7</v>
      </c>
      <c r="Q28" s="21">
        <f t="shared" si="1"/>
        <v>0.88050000000000017</v>
      </c>
      <c r="R28" s="6"/>
    </row>
    <row r="29" spans="2:18" ht="73.5" customHeight="1" x14ac:dyDescent="0.45">
      <c r="B29" s="22" t="s">
        <v>143</v>
      </c>
      <c r="C29" s="22" t="s">
        <v>29</v>
      </c>
      <c r="D29" s="151">
        <v>208</v>
      </c>
      <c r="E29" s="20">
        <f>'Work Progress (%)'!G38</f>
        <v>1</v>
      </c>
      <c r="F29" s="20">
        <f>'Work Progress (%)'!L38</f>
        <v>1</v>
      </c>
      <c r="G29" s="20">
        <f>'Work Progress (%)'!Y38</f>
        <v>1.0000000000000002</v>
      </c>
      <c r="H29" s="20">
        <f>'Work Progress (%)'!AD38</f>
        <v>0.5</v>
      </c>
      <c r="I29" s="20">
        <f>'Work Progress (%)'!AI38</f>
        <v>1</v>
      </c>
      <c r="J29" s="20">
        <f>'Work Progress (%)'!AQ38</f>
        <v>0.98249999999999993</v>
      </c>
      <c r="K29" s="20">
        <f>'Work Progress (%)'!AV38</f>
        <v>0.55000000000000004</v>
      </c>
      <c r="L29" s="20">
        <f>'Work Progress (%)'!BD38</f>
        <v>0</v>
      </c>
      <c r="M29" s="20">
        <v>0.7</v>
      </c>
      <c r="N29" s="20">
        <v>1</v>
      </c>
      <c r="O29" s="20">
        <v>0.2</v>
      </c>
      <c r="P29" s="20">
        <v>0.7</v>
      </c>
      <c r="Q29" s="21">
        <f t="shared" si="1"/>
        <v>0.89000000000000012</v>
      </c>
      <c r="R29" s="6"/>
    </row>
    <row r="30" spans="2:18" ht="73.5" customHeight="1" x14ac:dyDescent="0.45">
      <c r="B30" s="22" t="s">
        <v>143</v>
      </c>
      <c r="C30" s="22" t="s">
        <v>29</v>
      </c>
      <c r="D30" s="151">
        <v>209</v>
      </c>
      <c r="E30" s="20">
        <f>'Work Progress (%)'!G39</f>
        <v>1</v>
      </c>
      <c r="F30" s="20">
        <f>'Work Progress (%)'!L39</f>
        <v>1</v>
      </c>
      <c r="G30" s="20">
        <f>'Work Progress (%)'!Y39</f>
        <v>1.0000000000000002</v>
      </c>
      <c r="H30" s="20">
        <f>'Work Progress (%)'!AD39</f>
        <v>0.5</v>
      </c>
      <c r="I30" s="20">
        <f>'Work Progress (%)'!AI39</f>
        <v>0.90999999999999992</v>
      </c>
      <c r="J30" s="20">
        <f>'Work Progress (%)'!AQ39</f>
        <v>0.98249999999999993</v>
      </c>
      <c r="K30" s="20">
        <f>'Work Progress (%)'!AV39</f>
        <v>0.55000000000000004</v>
      </c>
      <c r="L30" s="20">
        <f>'Work Progress (%)'!BD39</f>
        <v>0</v>
      </c>
      <c r="M30" s="20">
        <v>0.7</v>
      </c>
      <c r="N30" s="20">
        <v>1</v>
      </c>
      <c r="O30" s="20">
        <v>0.2</v>
      </c>
      <c r="P30" s="20">
        <v>0.7</v>
      </c>
      <c r="Q30" s="21">
        <f t="shared" si="1"/>
        <v>0.88100000000000012</v>
      </c>
      <c r="R30" s="6"/>
    </row>
    <row r="31" spans="2:18" ht="73.5" customHeight="1" x14ac:dyDescent="0.45">
      <c r="B31" s="22" t="s">
        <v>143</v>
      </c>
      <c r="C31" s="22" t="s">
        <v>29</v>
      </c>
      <c r="D31" s="151">
        <v>210</v>
      </c>
      <c r="E31" s="20">
        <f>'Work Progress (%)'!G40</f>
        <v>1</v>
      </c>
      <c r="F31" s="20">
        <f>'Work Progress (%)'!L40</f>
        <v>1</v>
      </c>
      <c r="G31" s="20">
        <f>'Work Progress (%)'!Y40</f>
        <v>1.0000000000000002</v>
      </c>
      <c r="H31" s="20">
        <f>'Work Progress (%)'!AD40</f>
        <v>0.5</v>
      </c>
      <c r="I31" s="20">
        <f>'Work Progress (%)'!AI40</f>
        <v>1</v>
      </c>
      <c r="J31" s="20">
        <f>'Work Progress (%)'!AQ40</f>
        <v>0.98249999999999993</v>
      </c>
      <c r="K31" s="20">
        <f>'Work Progress (%)'!AV40</f>
        <v>0.55000000000000004</v>
      </c>
      <c r="L31" s="20">
        <f>'Work Progress (%)'!BD40</f>
        <v>0</v>
      </c>
      <c r="M31" s="20">
        <v>0.7</v>
      </c>
      <c r="N31" s="20">
        <v>1</v>
      </c>
      <c r="O31" s="20">
        <v>0.2</v>
      </c>
      <c r="P31" s="20">
        <v>0.7</v>
      </c>
      <c r="Q31" s="21">
        <f t="shared" si="1"/>
        <v>0.89000000000000012</v>
      </c>
      <c r="R31" s="6"/>
    </row>
    <row r="32" spans="2:18" ht="73.5" customHeight="1" x14ac:dyDescent="0.45">
      <c r="B32" s="22" t="s">
        <v>143</v>
      </c>
      <c r="C32" s="22" t="s">
        <v>29</v>
      </c>
      <c r="D32" s="151">
        <v>211</v>
      </c>
      <c r="E32" s="20">
        <f>'Work Progress (%)'!G41</f>
        <v>1</v>
      </c>
      <c r="F32" s="20">
        <f>'Work Progress (%)'!L41</f>
        <v>1</v>
      </c>
      <c r="G32" s="20">
        <f>'Work Progress (%)'!Y41</f>
        <v>1.0000000000000002</v>
      </c>
      <c r="H32" s="20">
        <f>'Work Progress (%)'!AD41</f>
        <v>0.5</v>
      </c>
      <c r="I32" s="20">
        <f>'Work Progress (%)'!AI41</f>
        <v>0.82</v>
      </c>
      <c r="J32" s="20">
        <f>'Work Progress (%)'!AQ41</f>
        <v>0.98249999999999993</v>
      </c>
      <c r="K32" s="20">
        <f>'Work Progress (%)'!AV41</f>
        <v>0.55000000000000004</v>
      </c>
      <c r="L32" s="20">
        <f>'Work Progress (%)'!BD41</f>
        <v>0</v>
      </c>
      <c r="M32" s="20">
        <v>0.7</v>
      </c>
      <c r="N32" s="20">
        <v>1</v>
      </c>
      <c r="O32" s="20">
        <v>0.2</v>
      </c>
      <c r="P32" s="20">
        <v>0.7</v>
      </c>
      <c r="Q32" s="21">
        <f t="shared" si="1"/>
        <v>0.87200000000000011</v>
      </c>
      <c r="R32" s="6"/>
    </row>
    <row r="33" spans="2:18" ht="73.5" customHeight="1" x14ac:dyDescent="0.45">
      <c r="B33" s="22" t="s">
        <v>143</v>
      </c>
      <c r="C33" s="22" t="s">
        <v>29</v>
      </c>
      <c r="D33" s="151">
        <v>212</v>
      </c>
      <c r="E33" s="20">
        <f>'Work Progress (%)'!G42</f>
        <v>1</v>
      </c>
      <c r="F33" s="20">
        <f>'Work Progress (%)'!L42</f>
        <v>1</v>
      </c>
      <c r="G33" s="20">
        <f>'Work Progress (%)'!Y42</f>
        <v>1.0000000000000002</v>
      </c>
      <c r="H33" s="20">
        <f>'Work Progress (%)'!AD42</f>
        <v>0.5</v>
      </c>
      <c r="I33" s="20">
        <f>'Work Progress (%)'!AI42</f>
        <v>1</v>
      </c>
      <c r="J33" s="20">
        <f>'Work Progress (%)'!AQ42</f>
        <v>0.98249999999999993</v>
      </c>
      <c r="K33" s="20">
        <f>'Work Progress (%)'!AV42</f>
        <v>0.55000000000000004</v>
      </c>
      <c r="L33" s="20">
        <f>'Work Progress (%)'!BD42</f>
        <v>0</v>
      </c>
      <c r="M33" s="20">
        <v>0.7</v>
      </c>
      <c r="N33" s="20">
        <v>1</v>
      </c>
      <c r="O33" s="20">
        <v>0.2</v>
      </c>
      <c r="P33" s="20">
        <v>0.7</v>
      </c>
      <c r="Q33" s="21">
        <f t="shared" si="1"/>
        <v>0.89000000000000012</v>
      </c>
      <c r="R33" s="6"/>
    </row>
    <row r="34" spans="2:18" ht="73.5" customHeight="1" x14ac:dyDescent="0.45">
      <c r="B34" s="22" t="s">
        <v>143</v>
      </c>
      <c r="C34" s="22" t="s">
        <v>29</v>
      </c>
      <c r="D34" s="151">
        <v>213</v>
      </c>
      <c r="E34" s="20">
        <f>'Work Progress (%)'!G43</f>
        <v>1</v>
      </c>
      <c r="F34" s="20">
        <f>'Work Progress (%)'!L43</f>
        <v>1</v>
      </c>
      <c r="G34" s="20">
        <f>'Work Progress (%)'!Y43</f>
        <v>1.0000000000000002</v>
      </c>
      <c r="H34" s="20">
        <f>'Work Progress (%)'!AD43</f>
        <v>0.5</v>
      </c>
      <c r="I34" s="20">
        <f>'Work Progress (%)'!AI43</f>
        <v>1</v>
      </c>
      <c r="J34" s="20">
        <f>'Work Progress (%)'!AQ43</f>
        <v>0.83250000000000002</v>
      </c>
      <c r="K34" s="20">
        <f>'Work Progress (%)'!AV43</f>
        <v>0.55000000000000004</v>
      </c>
      <c r="L34" s="20">
        <f>'Work Progress (%)'!BD43</f>
        <v>0</v>
      </c>
      <c r="M34" s="20">
        <v>0.7</v>
      </c>
      <c r="N34" s="20">
        <v>1</v>
      </c>
      <c r="O34" s="20">
        <v>0.2</v>
      </c>
      <c r="P34" s="20">
        <v>0.7</v>
      </c>
      <c r="Q34" s="21">
        <f t="shared" si="1"/>
        <v>0.8600000000000001</v>
      </c>
      <c r="R34" s="6"/>
    </row>
    <row r="35" spans="2:18" ht="73.5" customHeight="1" x14ac:dyDescent="0.45">
      <c r="B35" s="22" t="s">
        <v>143</v>
      </c>
      <c r="C35" s="22" t="s">
        <v>29</v>
      </c>
      <c r="D35" s="151">
        <v>214</v>
      </c>
      <c r="E35" s="20">
        <f>'Work Progress (%)'!G44</f>
        <v>1</v>
      </c>
      <c r="F35" s="20">
        <f>'Work Progress (%)'!L44</f>
        <v>1</v>
      </c>
      <c r="G35" s="20">
        <f>'Work Progress (%)'!Y44</f>
        <v>1.0000000000000002</v>
      </c>
      <c r="H35" s="20">
        <f>'Work Progress (%)'!AD44</f>
        <v>0.5</v>
      </c>
      <c r="I35" s="20">
        <f>'Work Progress (%)'!AI44</f>
        <v>1</v>
      </c>
      <c r="J35" s="20">
        <f>'Work Progress (%)'!AQ44</f>
        <v>0.98249999999999993</v>
      </c>
      <c r="K35" s="20">
        <f>'Work Progress (%)'!AV44</f>
        <v>0.55000000000000004</v>
      </c>
      <c r="L35" s="20">
        <f>'Work Progress (%)'!BD44</f>
        <v>0</v>
      </c>
      <c r="M35" s="20">
        <v>0.7</v>
      </c>
      <c r="N35" s="20">
        <v>1</v>
      </c>
      <c r="O35" s="20">
        <v>0.2</v>
      </c>
      <c r="P35" s="20">
        <v>0.7</v>
      </c>
      <c r="Q35" s="21">
        <f t="shared" ref="Q35:Q54" si="3">SUMPRODUCT(E35:P35, E$2:P$2)</f>
        <v>0.89000000000000012</v>
      </c>
      <c r="R35" s="6"/>
    </row>
    <row r="36" spans="2:18" ht="73.5" customHeight="1" x14ac:dyDescent="0.45">
      <c r="B36" s="22" t="s">
        <v>143</v>
      </c>
      <c r="C36" s="22" t="s">
        <v>29</v>
      </c>
      <c r="D36" s="151">
        <v>215</v>
      </c>
      <c r="E36" s="20">
        <f>'Work Progress (%)'!G45</f>
        <v>1</v>
      </c>
      <c r="F36" s="20">
        <f>'Work Progress (%)'!L45</f>
        <v>1</v>
      </c>
      <c r="G36" s="20">
        <f>'Work Progress (%)'!Y45</f>
        <v>1.0000000000000002</v>
      </c>
      <c r="H36" s="20">
        <f>'Work Progress (%)'!AD45</f>
        <v>0.5</v>
      </c>
      <c r="I36" s="20">
        <f>'Work Progress (%)'!AI45</f>
        <v>0.68499999999999994</v>
      </c>
      <c r="J36" s="20">
        <f>'Work Progress (%)'!AQ45</f>
        <v>0.98249999999999993</v>
      </c>
      <c r="K36" s="20">
        <f>'Work Progress (%)'!AV45</f>
        <v>0.55000000000000004</v>
      </c>
      <c r="L36" s="20">
        <f>'Work Progress (%)'!BD45</f>
        <v>0</v>
      </c>
      <c r="M36" s="20">
        <v>0.7</v>
      </c>
      <c r="N36" s="20">
        <v>1</v>
      </c>
      <c r="O36" s="20">
        <v>0.2</v>
      </c>
      <c r="P36" s="20">
        <v>0.7</v>
      </c>
      <c r="Q36" s="21">
        <f t="shared" si="3"/>
        <v>0.85850000000000015</v>
      </c>
      <c r="R36" s="6"/>
    </row>
    <row r="37" spans="2:18" ht="73.5" customHeight="1" x14ac:dyDescent="0.45">
      <c r="B37" s="22" t="s">
        <v>143</v>
      </c>
      <c r="C37" s="22" t="s">
        <v>29</v>
      </c>
      <c r="D37" s="151">
        <v>216</v>
      </c>
      <c r="E37" s="20">
        <f>'Work Progress (%)'!G46</f>
        <v>1</v>
      </c>
      <c r="F37" s="20">
        <f>'Work Progress (%)'!L46</f>
        <v>1</v>
      </c>
      <c r="G37" s="20">
        <f>'Work Progress (%)'!Y46</f>
        <v>1.0000000000000002</v>
      </c>
      <c r="H37" s="20">
        <f>'Work Progress (%)'!AD46</f>
        <v>0.5</v>
      </c>
      <c r="I37" s="20">
        <f>'Work Progress (%)'!AI46</f>
        <v>0.90999999999999992</v>
      </c>
      <c r="J37" s="20">
        <f>'Work Progress (%)'!AQ46</f>
        <v>0.98249999999999993</v>
      </c>
      <c r="K37" s="20">
        <f>'Work Progress (%)'!AV46</f>
        <v>0.55000000000000004</v>
      </c>
      <c r="L37" s="20">
        <f>'Work Progress (%)'!BD46</f>
        <v>0</v>
      </c>
      <c r="M37" s="20">
        <v>0.7</v>
      </c>
      <c r="N37" s="20">
        <v>1</v>
      </c>
      <c r="O37" s="20">
        <v>0.2</v>
      </c>
      <c r="P37" s="20">
        <v>0.7</v>
      </c>
      <c r="Q37" s="21">
        <f t="shared" si="3"/>
        <v>0.88100000000000012</v>
      </c>
      <c r="R37" s="6"/>
    </row>
    <row r="38" spans="2:18" ht="73.5" customHeight="1" x14ac:dyDescent="0.45">
      <c r="B38" s="22" t="s">
        <v>143</v>
      </c>
      <c r="C38" s="22"/>
      <c r="D38" s="154" t="s">
        <v>30</v>
      </c>
      <c r="E38" s="141">
        <f>AVERAGE(E40:E54)</f>
        <v>1</v>
      </c>
      <c r="F38" s="141">
        <f t="shared" ref="F38:P38" si="4">AVERAGE(F40:F54)</f>
        <v>0.96200000000000008</v>
      </c>
      <c r="G38" s="20">
        <f t="shared" si="4"/>
        <v>0.99083333333333357</v>
      </c>
      <c r="H38" s="141">
        <f t="shared" si="4"/>
        <v>0.5</v>
      </c>
      <c r="I38" s="141">
        <f t="shared" si="4"/>
        <v>0.8786666666666666</v>
      </c>
      <c r="J38" s="141">
        <f t="shared" si="4"/>
        <v>0.96349999999999991</v>
      </c>
      <c r="K38" s="141">
        <f t="shared" si="4"/>
        <v>0.19799999999999998</v>
      </c>
      <c r="L38" s="141">
        <f t="shared" si="4"/>
        <v>0.05</v>
      </c>
      <c r="M38" s="141">
        <f t="shared" si="4"/>
        <v>0.69999999999999984</v>
      </c>
      <c r="N38" s="141">
        <f t="shared" si="4"/>
        <v>1</v>
      </c>
      <c r="O38" s="141">
        <f t="shared" si="4"/>
        <v>0.20000000000000004</v>
      </c>
      <c r="P38" s="141">
        <f t="shared" si="4"/>
        <v>0.69999999999999984</v>
      </c>
      <c r="Q38" s="14">
        <f t="shared" si="3"/>
        <v>0.84975000000000012</v>
      </c>
      <c r="R38" s="12"/>
    </row>
    <row r="39" spans="2:18" ht="73.5" customHeight="1" x14ac:dyDescent="0.45">
      <c r="B39" s="22" t="s">
        <v>143</v>
      </c>
      <c r="C39" s="22" t="s">
        <v>31</v>
      </c>
      <c r="D39" s="151">
        <v>301</v>
      </c>
      <c r="E39" s="20">
        <f>'Work Progress (%)'!G48</f>
        <v>1</v>
      </c>
      <c r="F39" s="20">
        <f>'Work Progress (%)'!L48</f>
        <v>1</v>
      </c>
      <c r="G39" s="20">
        <f>'Work Progress (%)'!Y48</f>
        <v>0.99750000000000005</v>
      </c>
      <c r="H39" s="20">
        <f>'Work Progress (%)'!AD48</f>
        <v>0.5</v>
      </c>
      <c r="I39" s="20">
        <f>'Work Progress (%)'!AI48</f>
        <v>0.71499999999999997</v>
      </c>
      <c r="J39" s="20">
        <f>'Work Progress (%)'!AQ48</f>
        <v>0.72749999999999992</v>
      </c>
      <c r="K39" s="20">
        <f>'Work Progress (%)'!AV48</f>
        <v>0.21</v>
      </c>
      <c r="L39" s="20">
        <f>'Work Progress (%)'!BD48</f>
        <v>0</v>
      </c>
      <c r="M39" s="20">
        <v>0.7</v>
      </c>
      <c r="N39" s="20">
        <v>1</v>
      </c>
      <c r="O39" s="20">
        <v>0.2</v>
      </c>
      <c r="P39" s="20">
        <v>0.7</v>
      </c>
      <c r="Q39" s="21">
        <f t="shared" si="3"/>
        <v>0.79295000000000004</v>
      </c>
      <c r="R39" s="6"/>
    </row>
    <row r="40" spans="2:18" ht="73.5" customHeight="1" x14ac:dyDescent="0.45">
      <c r="B40" s="22" t="s">
        <v>143</v>
      </c>
      <c r="C40" s="22" t="s">
        <v>31</v>
      </c>
      <c r="D40" s="151">
        <v>302</v>
      </c>
      <c r="E40" s="20">
        <f>'Work Progress (%)'!G49</f>
        <v>1</v>
      </c>
      <c r="F40" s="20">
        <f>'Work Progress (%)'!L49</f>
        <v>1</v>
      </c>
      <c r="G40" s="20">
        <f>'Work Progress (%)'!Y49</f>
        <v>0.99750000000000005</v>
      </c>
      <c r="H40" s="20">
        <f>'Work Progress (%)'!AD49</f>
        <v>0.5</v>
      </c>
      <c r="I40" s="20">
        <f>'Work Progress (%)'!AI49</f>
        <v>0.61</v>
      </c>
      <c r="J40" s="20">
        <f>'Work Progress (%)'!AQ49</f>
        <v>0.98249999999999993</v>
      </c>
      <c r="K40" s="20">
        <f>'Work Progress (%)'!AV49</f>
        <v>0.21</v>
      </c>
      <c r="L40" s="20">
        <f>'Work Progress (%)'!BD49</f>
        <v>0</v>
      </c>
      <c r="M40" s="20">
        <v>0.7</v>
      </c>
      <c r="N40" s="20">
        <v>1</v>
      </c>
      <c r="O40" s="20">
        <v>0.2</v>
      </c>
      <c r="P40" s="20">
        <v>0.7</v>
      </c>
      <c r="Q40" s="21">
        <f t="shared" si="3"/>
        <v>0.83345000000000014</v>
      </c>
      <c r="R40" s="6"/>
    </row>
    <row r="41" spans="2:18" ht="73.5" customHeight="1" x14ac:dyDescent="0.45">
      <c r="B41" s="22" t="s">
        <v>143</v>
      </c>
      <c r="C41" s="22" t="s">
        <v>31</v>
      </c>
      <c r="D41" s="151">
        <v>303</v>
      </c>
      <c r="E41" s="20">
        <f>'Work Progress (%)'!G50</f>
        <v>1</v>
      </c>
      <c r="F41" s="20">
        <f>'Work Progress (%)'!L50</f>
        <v>1</v>
      </c>
      <c r="G41" s="20">
        <f>'Work Progress (%)'!Y50</f>
        <v>0.99750000000000005</v>
      </c>
      <c r="H41" s="20">
        <f>'Work Progress (%)'!AD50</f>
        <v>0.5</v>
      </c>
      <c r="I41" s="20">
        <f>'Work Progress (%)'!AI50</f>
        <v>0.82</v>
      </c>
      <c r="J41" s="20">
        <f>'Work Progress (%)'!AQ50</f>
        <v>0.98249999999999993</v>
      </c>
      <c r="K41" s="20">
        <f>'Work Progress (%)'!AV50</f>
        <v>0.21</v>
      </c>
      <c r="L41" s="20">
        <f>'Work Progress (%)'!BD50</f>
        <v>0</v>
      </c>
      <c r="M41" s="20">
        <v>0.7</v>
      </c>
      <c r="N41" s="20">
        <v>1</v>
      </c>
      <c r="O41" s="20">
        <v>0.2</v>
      </c>
      <c r="P41" s="20">
        <v>0.7</v>
      </c>
      <c r="Q41" s="21">
        <f t="shared" si="3"/>
        <v>0.85445000000000004</v>
      </c>
      <c r="R41" s="6"/>
    </row>
    <row r="42" spans="2:18" ht="73.5" customHeight="1" x14ac:dyDescent="0.45">
      <c r="B42" s="22" t="s">
        <v>143</v>
      </c>
      <c r="C42" s="22" t="s">
        <v>31</v>
      </c>
      <c r="D42" s="151">
        <v>304</v>
      </c>
      <c r="E42" s="20">
        <f>'Work Progress (%)'!G51</f>
        <v>1</v>
      </c>
      <c r="F42" s="20">
        <f>'Work Progress (%)'!L51</f>
        <v>1</v>
      </c>
      <c r="G42" s="20">
        <f>'Work Progress (%)'!Y51</f>
        <v>0.89750000000000008</v>
      </c>
      <c r="H42" s="20">
        <f>'Work Progress (%)'!AD51</f>
        <v>0.5</v>
      </c>
      <c r="I42" s="20">
        <f>'Work Progress (%)'!AI51</f>
        <v>0.68499999999999994</v>
      </c>
      <c r="J42" s="20">
        <f>'Work Progress (%)'!AQ51</f>
        <v>0.9524999999999999</v>
      </c>
      <c r="K42" s="20">
        <f>'Work Progress (%)'!AV51</f>
        <v>0.3</v>
      </c>
      <c r="L42" s="20">
        <f>'Work Progress (%)'!BD51</f>
        <v>0</v>
      </c>
      <c r="M42" s="20">
        <v>0.7</v>
      </c>
      <c r="N42" s="20">
        <v>1</v>
      </c>
      <c r="O42" s="20">
        <v>0.2</v>
      </c>
      <c r="P42" s="20">
        <v>0.7</v>
      </c>
      <c r="Q42" s="21">
        <f t="shared" si="3"/>
        <v>0.81745000000000012</v>
      </c>
      <c r="R42" s="6"/>
    </row>
    <row r="43" spans="2:18" ht="73.5" customHeight="1" x14ac:dyDescent="0.45">
      <c r="B43" s="22" t="s">
        <v>143</v>
      </c>
      <c r="C43" s="22" t="s">
        <v>31</v>
      </c>
      <c r="D43" s="151">
        <v>305</v>
      </c>
      <c r="E43" s="20">
        <f>'Work Progress (%)'!G52</f>
        <v>1</v>
      </c>
      <c r="F43" s="20">
        <f>'Work Progress (%)'!L52</f>
        <v>1</v>
      </c>
      <c r="G43" s="20">
        <f>'Work Progress (%)'!Y52</f>
        <v>0.99750000000000005</v>
      </c>
      <c r="H43" s="20">
        <f>'Work Progress (%)'!AD52</f>
        <v>0.5</v>
      </c>
      <c r="I43" s="20">
        <f>'Work Progress (%)'!AI52</f>
        <v>0.99499999999999988</v>
      </c>
      <c r="J43" s="20">
        <f>'Work Progress (%)'!AQ52</f>
        <v>0.98249999999999993</v>
      </c>
      <c r="K43" s="20">
        <f>'Work Progress (%)'!AV52</f>
        <v>0.21</v>
      </c>
      <c r="L43" s="20">
        <f>'Work Progress (%)'!BD52</f>
        <v>0</v>
      </c>
      <c r="M43" s="20">
        <v>0.7</v>
      </c>
      <c r="N43" s="20">
        <v>1</v>
      </c>
      <c r="O43" s="20">
        <v>0.2</v>
      </c>
      <c r="P43" s="20">
        <v>0.7</v>
      </c>
      <c r="Q43" s="21">
        <f t="shared" si="3"/>
        <v>0.87195000000000011</v>
      </c>
      <c r="R43" s="6"/>
    </row>
    <row r="44" spans="2:18" ht="73.5" customHeight="1" x14ac:dyDescent="0.45">
      <c r="B44" s="22" t="s">
        <v>143</v>
      </c>
      <c r="C44" s="22" t="s">
        <v>31</v>
      </c>
      <c r="D44" s="151">
        <v>306</v>
      </c>
      <c r="E44" s="20">
        <f>'Work Progress (%)'!G53</f>
        <v>1</v>
      </c>
      <c r="F44" s="20">
        <f>'Work Progress (%)'!L53</f>
        <v>1</v>
      </c>
      <c r="G44" s="20">
        <f>'Work Progress (%)'!Y53</f>
        <v>0.99750000000000005</v>
      </c>
      <c r="H44" s="20">
        <f>'Work Progress (%)'!AD53</f>
        <v>0.5</v>
      </c>
      <c r="I44" s="20">
        <f>'Work Progress (%)'!AI53</f>
        <v>0.85000000000000009</v>
      </c>
      <c r="J44" s="20">
        <f>'Work Progress (%)'!AQ53</f>
        <v>0.98249999999999993</v>
      </c>
      <c r="K44" s="20">
        <f>'Work Progress (%)'!AV53</f>
        <v>0.3</v>
      </c>
      <c r="L44" s="20">
        <f>'Work Progress (%)'!BD53</f>
        <v>0</v>
      </c>
      <c r="M44" s="20">
        <v>0.7</v>
      </c>
      <c r="N44" s="20">
        <v>1</v>
      </c>
      <c r="O44" s="20">
        <v>0.2</v>
      </c>
      <c r="P44" s="20">
        <v>0.7</v>
      </c>
      <c r="Q44" s="21">
        <f t="shared" si="3"/>
        <v>0.86195000000000022</v>
      </c>
      <c r="R44" s="6"/>
    </row>
    <row r="45" spans="2:18" ht="73.5" customHeight="1" x14ac:dyDescent="0.45">
      <c r="B45" s="22" t="s">
        <v>143</v>
      </c>
      <c r="C45" s="22" t="s">
        <v>31</v>
      </c>
      <c r="D45" s="151">
        <v>307</v>
      </c>
      <c r="E45" s="20">
        <f>'Work Progress (%)'!G54</f>
        <v>1</v>
      </c>
      <c r="F45" s="20">
        <f>'Work Progress (%)'!L54</f>
        <v>1</v>
      </c>
      <c r="G45" s="20">
        <f>'Work Progress (%)'!Y54</f>
        <v>0.99750000000000005</v>
      </c>
      <c r="H45" s="20">
        <f>'Work Progress (%)'!AD54</f>
        <v>0.5</v>
      </c>
      <c r="I45" s="20">
        <f>'Work Progress (%)'!AI54</f>
        <v>1</v>
      </c>
      <c r="J45" s="20">
        <f>'Work Progress (%)'!AQ54</f>
        <v>0.98249999999999993</v>
      </c>
      <c r="K45" s="20">
        <f>'Work Progress (%)'!AV54</f>
        <v>0.21</v>
      </c>
      <c r="L45" s="20">
        <f>'Work Progress (%)'!BD54</f>
        <v>0</v>
      </c>
      <c r="M45" s="20">
        <v>0.7</v>
      </c>
      <c r="N45" s="20">
        <v>1</v>
      </c>
      <c r="O45" s="20">
        <v>0.2</v>
      </c>
      <c r="P45" s="20">
        <v>0.7</v>
      </c>
      <c r="Q45" s="21">
        <f t="shared" si="3"/>
        <v>0.87245000000000006</v>
      </c>
      <c r="R45" s="6"/>
    </row>
    <row r="46" spans="2:18" ht="73.5" customHeight="1" x14ac:dyDescent="0.45">
      <c r="B46" s="22" t="s">
        <v>143</v>
      </c>
      <c r="C46" s="22" t="s">
        <v>31</v>
      </c>
      <c r="D46" s="151">
        <v>308</v>
      </c>
      <c r="E46" s="20">
        <f>'Work Progress (%)'!G55</f>
        <v>1</v>
      </c>
      <c r="F46" s="20">
        <f>'Work Progress (%)'!L55</f>
        <v>1</v>
      </c>
      <c r="G46" s="20">
        <f>'Work Progress (%)'!Y55</f>
        <v>0.99750000000000005</v>
      </c>
      <c r="H46" s="20">
        <f>'Work Progress (%)'!AD55</f>
        <v>0.5</v>
      </c>
      <c r="I46" s="20">
        <f>'Work Progress (%)'!AI55</f>
        <v>1</v>
      </c>
      <c r="J46" s="20">
        <f>'Work Progress (%)'!AQ55</f>
        <v>0.98249999999999993</v>
      </c>
      <c r="K46" s="20">
        <f>'Work Progress (%)'!AV55</f>
        <v>0.3</v>
      </c>
      <c r="L46" s="20">
        <f>'Work Progress (%)'!BD55</f>
        <v>0</v>
      </c>
      <c r="M46" s="20">
        <v>0.7</v>
      </c>
      <c r="N46" s="20">
        <v>1</v>
      </c>
      <c r="O46" s="20">
        <v>0.2</v>
      </c>
      <c r="P46" s="20">
        <v>0.7</v>
      </c>
      <c r="Q46" s="21">
        <f t="shared" si="3"/>
        <v>0.87695000000000012</v>
      </c>
      <c r="R46" s="6"/>
    </row>
    <row r="47" spans="2:18" ht="73.5" customHeight="1" x14ac:dyDescent="0.45">
      <c r="B47" s="22" t="s">
        <v>143</v>
      </c>
      <c r="C47" s="22" t="s">
        <v>31</v>
      </c>
      <c r="D47" s="151">
        <v>309</v>
      </c>
      <c r="E47" s="20">
        <f>'Work Progress (%)'!G56</f>
        <v>1</v>
      </c>
      <c r="F47" s="20">
        <f>'Work Progress (%)'!L56</f>
        <v>1</v>
      </c>
      <c r="G47" s="20">
        <f>'Work Progress (%)'!Y56</f>
        <v>0.99750000000000005</v>
      </c>
      <c r="H47" s="20">
        <f>'Work Progress (%)'!AD56</f>
        <v>0.5</v>
      </c>
      <c r="I47" s="20">
        <f>'Work Progress (%)'!AI56</f>
        <v>0.82</v>
      </c>
      <c r="J47" s="20">
        <f>'Work Progress (%)'!AQ56</f>
        <v>0.98249999999999993</v>
      </c>
      <c r="K47" s="20">
        <f>'Work Progress (%)'!AV56</f>
        <v>0.21</v>
      </c>
      <c r="L47" s="20">
        <f>'Work Progress (%)'!BD56</f>
        <v>0</v>
      </c>
      <c r="M47" s="20">
        <v>0.7</v>
      </c>
      <c r="N47" s="20">
        <v>1</v>
      </c>
      <c r="O47" s="20">
        <v>0.2</v>
      </c>
      <c r="P47" s="20">
        <v>0.7</v>
      </c>
      <c r="Q47" s="21">
        <f t="shared" si="3"/>
        <v>0.85445000000000004</v>
      </c>
      <c r="R47" s="6"/>
    </row>
    <row r="48" spans="2:18" ht="73.5" customHeight="1" x14ac:dyDescent="0.45">
      <c r="B48" s="22" t="s">
        <v>143</v>
      </c>
      <c r="C48" s="22" t="s">
        <v>31</v>
      </c>
      <c r="D48" s="151">
        <v>310</v>
      </c>
      <c r="E48" s="20">
        <f>'Work Progress (%)'!G57</f>
        <v>1</v>
      </c>
      <c r="F48" s="20">
        <f>'Work Progress (%)'!L57</f>
        <v>1</v>
      </c>
      <c r="G48" s="20">
        <f>'Work Progress (%)'!Y57</f>
        <v>0.99750000000000005</v>
      </c>
      <c r="H48" s="20">
        <f>'Work Progress (%)'!AD57</f>
        <v>0.5</v>
      </c>
      <c r="I48" s="20">
        <f>'Work Progress (%)'!AI57</f>
        <v>1</v>
      </c>
      <c r="J48" s="20">
        <f>'Work Progress (%)'!AQ57</f>
        <v>0.98249999999999993</v>
      </c>
      <c r="K48" s="20">
        <f>'Work Progress (%)'!AV57</f>
        <v>0.3</v>
      </c>
      <c r="L48" s="20">
        <f>'Work Progress (%)'!BD57</f>
        <v>0</v>
      </c>
      <c r="M48" s="20">
        <v>0.7</v>
      </c>
      <c r="N48" s="20">
        <v>1</v>
      </c>
      <c r="O48" s="20">
        <v>0.2</v>
      </c>
      <c r="P48" s="20">
        <v>0.7</v>
      </c>
      <c r="Q48" s="21">
        <f t="shared" si="3"/>
        <v>0.87695000000000012</v>
      </c>
      <c r="R48" s="6"/>
    </row>
    <row r="49" spans="2:18" ht="73.5" customHeight="1" x14ac:dyDescent="0.45">
      <c r="B49" s="22" t="s">
        <v>143</v>
      </c>
      <c r="C49" s="22" t="s">
        <v>31</v>
      </c>
      <c r="D49" s="151">
        <v>311</v>
      </c>
      <c r="E49" s="20">
        <f>'Work Progress (%)'!G58</f>
        <v>1</v>
      </c>
      <c r="F49" s="20">
        <f>'Work Progress (%)'!L58</f>
        <v>1</v>
      </c>
      <c r="G49" s="20">
        <f>'Work Progress (%)'!Y58</f>
        <v>0.99750000000000005</v>
      </c>
      <c r="H49" s="20">
        <f>'Work Progress (%)'!AD58</f>
        <v>0.5</v>
      </c>
      <c r="I49" s="20">
        <f>'Work Progress (%)'!AI58</f>
        <v>0.90999999999999992</v>
      </c>
      <c r="J49" s="20">
        <f>'Work Progress (%)'!AQ58</f>
        <v>0.98249999999999993</v>
      </c>
      <c r="K49" s="20">
        <f>'Work Progress (%)'!AV58</f>
        <v>0.21</v>
      </c>
      <c r="L49" s="20">
        <f>'Work Progress (%)'!BD58</f>
        <v>0</v>
      </c>
      <c r="M49" s="20">
        <v>0.7</v>
      </c>
      <c r="N49" s="20">
        <v>1</v>
      </c>
      <c r="O49" s="20">
        <v>0.2</v>
      </c>
      <c r="P49" s="20">
        <v>0.7</v>
      </c>
      <c r="Q49" s="21">
        <f t="shared" si="3"/>
        <v>0.86345000000000005</v>
      </c>
      <c r="R49" s="6"/>
    </row>
    <row r="50" spans="2:18" ht="73.5" customHeight="1" x14ac:dyDescent="0.45">
      <c r="B50" s="22" t="s">
        <v>143</v>
      </c>
      <c r="C50" s="22" t="s">
        <v>31</v>
      </c>
      <c r="D50" s="151">
        <v>312</v>
      </c>
      <c r="E50" s="20">
        <f>'Work Progress (%)'!G59</f>
        <v>1</v>
      </c>
      <c r="F50" s="20">
        <f>'Work Progress (%)'!L59</f>
        <v>0.9</v>
      </c>
      <c r="G50" s="20">
        <f>'Work Progress (%)'!Y59</f>
        <v>0.99750000000000005</v>
      </c>
      <c r="H50" s="20">
        <f>'Work Progress (%)'!AD59</f>
        <v>0.5</v>
      </c>
      <c r="I50" s="20">
        <f>'Work Progress (%)'!AI59</f>
        <v>1</v>
      </c>
      <c r="J50" s="20">
        <f>'Work Progress (%)'!AQ59</f>
        <v>0.98249999999999993</v>
      </c>
      <c r="K50" s="20">
        <f>'Work Progress (%)'!AV59</f>
        <v>0.3</v>
      </c>
      <c r="L50" s="20">
        <f>'Work Progress (%)'!BD59</f>
        <v>0.75</v>
      </c>
      <c r="M50" s="20">
        <v>0.7</v>
      </c>
      <c r="N50" s="20">
        <v>1</v>
      </c>
      <c r="O50" s="20">
        <v>0.2</v>
      </c>
      <c r="P50" s="20">
        <v>0.7</v>
      </c>
      <c r="Q50" s="21">
        <f t="shared" si="3"/>
        <v>0.87695000000000012</v>
      </c>
      <c r="R50" s="6"/>
    </row>
    <row r="51" spans="2:18" ht="73.5" customHeight="1" x14ac:dyDescent="0.45">
      <c r="B51" s="22" t="s">
        <v>143</v>
      </c>
      <c r="C51" s="22" t="s">
        <v>31</v>
      </c>
      <c r="D51" s="151">
        <v>313</v>
      </c>
      <c r="E51" s="20">
        <f>'Work Progress (%)'!G60</f>
        <v>1</v>
      </c>
      <c r="F51" s="20">
        <f>'Work Progress (%)'!L60</f>
        <v>0.83000000000000007</v>
      </c>
      <c r="G51" s="20">
        <f>'Work Progress (%)'!Y60</f>
        <v>0.99750000000000005</v>
      </c>
      <c r="H51" s="20">
        <f>'Work Progress (%)'!AD60</f>
        <v>0.5</v>
      </c>
      <c r="I51" s="20">
        <f>'Work Progress (%)'!AI60</f>
        <v>1</v>
      </c>
      <c r="J51" s="20">
        <f>'Work Progress (%)'!AQ60</f>
        <v>0.72749999999999992</v>
      </c>
      <c r="K51" s="20">
        <f>'Work Progress (%)'!AV60</f>
        <v>0.21</v>
      </c>
      <c r="L51" s="20">
        <f>'Work Progress (%)'!BD60</f>
        <v>0</v>
      </c>
      <c r="M51" s="20">
        <v>0.7</v>
      </c>
      <c r="N51" s="20">
        <v>1</v>
      </c>
      <c r="O51" s="20">
        <v>0.2</v>
      </c>
      <c r="P51" s="20">
        <v>0.7</v>
      </c>
      <c r="Q51" s="21">
        <f t="shared" si="3"/>
        <v>0.79594999999999994</v>
      </c>
      <c r="R51" s="6"/>
    </row>
    <row r="52" spans="2:18" ht="73.5" customHeight="1" x14ac:dyDescent="0.45">
      <c r="B52" s="22" t="s">
        <v>143</v>
      </c>
      <c r="C52" s="22" t="s">
        <v>31</v>
      </c>
      <c r="D52" s="151">
        <v>314</v>
      </c>
      <c r="E52" s="20">
        <f>'Work Progress (%)'!G61</f>
        <v>1</v>
      </c>
      <c r="F52" s="20">
        <f>'Work Progress (%)'!L61</f>
        <v>0.9</v>
      </c>
      <c r="G52" s="20">
        <f>'Work Progress (%)'!Y61</f>
        <v>0.99750000000000005</v>
      </c>
      <c r="H52" s="20">
        <f>'Work Progress (%)'!AD61</f>
        <v>0.5</v>
      </c>
      <c r="I52" s="20">
        <f>'Work Progress (%)'!AI61</f>
        <v>1</v>
      </c>
      <c r="J52" s="20">
        <f>'Work Progress (%)'!AQ61</f>
        <v>0.98249999999999993</v>
      </c>
      <c r="K52" s="20">
        <f>'Work Progress (%)'!AV61</f>
        <v>0</v>
      </c>
      <c r="L52" s="20">
        <f>'Work Progress (%)'!BD61</f>
        <v>0</v>
      </c>
      <c r="M52" s="20">
        <v>0.7</v>
      </c>
      <c r="N52" s="20">
        <v>1</v>
      </c>
      <c r="O52" s="20">
        <v>0.2</v>
      </c>
      <c r="P52" s="20">
        <v>0.7</v>
      </c>
      <c r="Q52" s="21">
        <f t="shared" si="3"/>
        <v>0.84695000000000009</v>
      </c>
      <c r="R52" s="6"/>
    </row>
    <row r="53" spans="2:18" ht="73.5" customHeight="1" x14ac:dyDescent="0.45">
      <c r="B53" s="22" t="s">
        <v>143</v>
      </c>
      <c r="C53" s="22" t="s">
        <v>31</v>
      </c>
      <c r="D53" s="151">
        <v>315</v>
      </c>
      <c r="E53" s="20">
        <f>'Work Progress (%)'!G62</f>
        <v>1</v>
      </c>
      <c r="F53" s="20">
        <f>'Work Progress (%)'!L62</f>
        <v>0.9</v>
      </c>
      <c r="G53" s="20">
        <f>'Work Progress (%)'!Y62</f>
        <v>0.99750000000000005</v>
      </c>
      <c r="H53" s="20">
        <f>'Work Progress (%)'!AD62</f>
        <v>0.5</v>
      </c>
      <c r="I53" s="20">
        <f>'Work Progress (%)'!AI62</f>
        <v>0.59499999999999997</v>
      </c>
      <c r="J53" s="20">
        <f>'Work Progress (%)'!AQ62</f>
        <v>0.98249999999999993</v>
      </c>
      <c r="K53" s="20">
        <f>'Work Progress (%)'!AV62</f>
        <v>0</v>
      </c>
      <c r="L53" s="20">
        <f>'Work Progress (%)'!BD62</f>
        <v>0</v>
      </c>
      <c r="M53" s="20">
        <v>0.7</v>
      </c>
      <c r="N53" s="20">
        <v>1</v>
      </c>
      <c r="O53" s="20">
        <v>0.2</v>
      </c>
      <c r="P53" s="20">
        <v>0.7</v>
      </c>
      <c r="Q53" s="21">
        <f t="shared" si="3"/>
        <v>0.80645000000000011</v>
      </c>
      <c r="R53" s="6"/>
    </row>
    <row r="54" spans="2:18" ht="73.5" customHeight="1" x14ac:dyDescent="0.45">
      <c r="B54" s="22" t="s">
        <v>143</v>
      </c>
      <c r="C54" s="22" t="s">
        <v>31</v>
      </c>
      <c r="D54" s="151">
        <v>316</v>
      </c>
      <c r="E54" s="20">
        <f>'Work Progress (%)'!G63</f>
        <v>1</v>
      </c>
      <c r="F54" s="20">
        <f>'Work Progress (%)'!L63</f>
        <v>0.9</v>
      </c>
      <c r="G54" s="20">
        <f>'Work Progress (%)'!Y63</f>
        <v>0.99750000000000005</v>
      </c>
      <c r="H54" s="20">
        <f>'Work Progress (%)'!AD63</f>
        <v>0.5</v>
      </c>
      <c r="I54" s="20">
        <f>'Work Progress (%)'!AI63</f>
        <v>0.89500000000000002</v>
      </c>
      <c r="J54" s="20">
        <f>'Work Progress (%)'!AQ63</f>
        <v>0.98249999999999993</v>
      </c>
      <c r="K54" s="20">
        <f>'Work Progress (%)'!AV63</f>
        <v>0</v>
      </c>
      <c r="L54" s="20">
        <f>'Work Progress (%)'!BD63</f>
        <v>0</v>
      </c>
      <c r="M54" s="20">
        <v>0.7</v>
      </c>
      <c r="N54" s="20">
        <v>1</v>
      </c>
      <c r="O54" s="20">
        <v>0.2</v>
      </c>
      <c r="P54" s="20">
        <v>0.7</v>
      </c>
      <c r="Q54" s="21">
        <f t="shared" si="3"/>
        <v>0.83645000000000014</v>
      </c>
      <c r="R54" s="6"/>
    </row>
    <row r="55" spans="2:18" ht="73.5" customHeight="1" x14ac:dyDescent="0.45">
      <c r="B55" s="22" t="s">
        <v>143</v>
      </c>
      <c r="C55" s="22"/>
      <c r="D55" s="154" t="s">
        <v>32</v>
      </c>
      <c r="E55" s="141">
        <f>AVERAGE(E57:E71)</f>
        <v>1</v>
      </c>
      <c r="F55" s="141">
        <f t="shared" ref="F55:P55" si="5">AVERAGE(F57:F71)</f>
        <v>0.96933333333333327</v>
      </c>
      <c r="G55" s="20">
        <f t="shared" si="5"/>
        <v>0.99750000000000039</v>
      </c>
      <c r="H55" s="141">
        <f t="shared" si="5"/>
        <v>0.5</v>
      </c>
      <c r="I55" s="141">
        <f t="shared" si="5"/>
        <v>0.86899999999999999</v>
      </c>
      <c r="J55" s="141">
        <f t="shared" si="5"/>
        <v>0.81850000000000001</v>
      </c>
      <c r="K55" s="141">
        <f t="shared" si="5"/>
        <v>0</v>
      </c>
      <c r="L55" s="141">
        <f t="shared" si="5"/>
        <v>0</v>
      </c>
      <c r="M55" s="141">
        <f t="shared" si="5"/>
        <v>0.69999999999999984</v>
      </c>
      <c r="N55" s="141">
        <f t="shared" si="5"/>
        <v>1</v>
      </c>
      <c r="O55" s="141">
        <f t="shared" si="5"/>
        <v>0.20000000000000004</v>
      </c>
      <c r="P55" s="141">
        <f t="shared" si="5"/>
        <v>0.69999999999999984</v>
      </c>
      <c r="Q55" s="14">
        <f>AVERAGE(Q56:Q71)</f>
        <v>0.81038750000000004</v>
      </c>
      <c r="R55" s="12"/>
    </row>
    <row r="56" spans="2:18" ht="73.5" customHeight="1" x14ac:dyDescent="0.45">
      <c r="B56" s="22" t="s">
        <v>143</v>
      </c>
      <c r="C56" s="22" t="s">
        <v>33</v>
      </c>
      <c r="D56" s="151">
        <v>401</v>
      </c>
      <c r="E56" s="20">
        <f>'Work Progress (%)'!G65</f>
        <v>1</v>
      </c>
      <c r="F56" s="20">
        <f>'Work Progress (%)'!L65</f>
        <v>0.95</v>
      </c>
      <c r="G56" s="20">
        <f>'Work Progress (%)'!Y65</f>
        <v>0.99750000000000005</v>
      </c>
      <c r="H56" s="20">
        <f>'Work Progress (%)'!AD65</f>
        <v>0.5</v>
      </c>
      <c r="I56" s="20">
        <f>'Work Progress (%)'!AI65</f>
        <v>1</v>
      </c>
      <c r="J56" s="20">
        <f>'Work Progress (%)'!AQ65</f>
        <v>0.68249999999999988</v>
      </c>
      <c r="K56" s="20">
        <f>'Work Progress (%)'!AV65</f>
        <v>0</v>
      </c>
      <c r="L56" s="20">
        <f>'Work Progress (%)'!BD65</f>
        <v>0</v>
      </c>
      <c r="M56" s="20">
        <v>0.7</v>
      </c>
      <c r="N56" s="20">
        <v>1</v>
      </c>
      <c r="O56" s="20">
        <v>0.2</v>
      </c>
      <c r="P56" s="20">
        <v>0.7</v>
      </c>
      <c r="Q56" s="21">
        <f t="shared" ref="Q56:Q71" si="6">SUMPRODUCT(E56:P56, E$2:P$2)</f>
        <v>0.79444999999999999</v>
      </c>
      <c r="R56" s="6"/>
    </row>
    <row r="57" spans="2:18" ht="73.5" customHeight="1" x14ac:dyDescent="0.45">
      <c r="B57" s="22" t="s">
        <v>143</v>
      </c>
      <c r="C57" s="22" t="s">
        <v>33</v>
      </c>
      <c r="D57" s="151">
        <v>402</v>
      </c>
      <c r="E57" s="20">
        <f>'Work Progress (%)'!G66</f>
        <v>1</v>
      </c>
      <c r="F57" s="20">
        <f>'Work Progress (%)'!L66</f>
        <v>0.93</v>
      </c>
      <c r="G57" s="20">
        <f>'Work Progress (%)'!Y66</f>
        <v>0.99750000000000005</v>
      </c>
      <c r="H57" s="20">
        <f>'Work Progress (%)'!AD66</f>
        <v>0.5</v>
      </c>
      <c r="I57" s="20">
        <f>'Work Progress (%)'!AI66</f>
        <v>0.59499999999999997</v>
      </c>
      <c r="J57" s="20">
        <f>'Work Progress (%)'!AQ66</f>
        <v>0.80499999999999994</v>
      </c>
      <c r="K57" s="20">
        <f>'Work Progress (%)'!AV66</f>
        <v>0</v>
      </c>
      <c r="L57" s="20">
        <f>'Work Progress (%)'!BD66</f>
        <v>0</v>
      </c>
      <c r="M57" s="20">
        <v>0.7</v>
      </c>
      <c r="N57" s="20">
        <v>1</v>
      </c>
      <c r="O57" s="20">
        <v>0.2</v>
      </c>
      <c r="P57" s="20">
        <v>0.7</v>
      </c>
      <c r="Q57" s="21">
        <f t="shared" si="6"/>
        <v>0.77545000000000008</v>
      </c>
      <c r="R57" s="6"/>
    </row>
    <row r="58" spans="2:18" ht="73.5" customHeight="1" x14ac:dyDescent="0.45">
      <c r="B58" s="22" t="s">
        <v>143</v>
      </c>
      <c r="C58" s="22" t="s">
        <v>33</v>
      </c>
      <c r="D58" s="151">
        <v>403</v>
      </c>
      <c r="E58" s="20">
        <f>'Work Progress (%)'!G67</f>
        <v>1</v>
      </c>
      <c r="F58" s="20">
        <f>'Work Progress (%)'!L67</f>
        <v>1</v>
      </c>
      <c r="G58" s="20">
        <f>'Work Progress (%)'!Y67</f>
        <v>0.99750000000000005</v>
      </c>
      <c r="H58" s="20">
        <f>'Work Progress (%)'!AD67</f>
        <v>0.5</v>
      </c>
      <c r="I58" s="20">
        <f>'Work Progress (%)'!AI67</f>
        <v>0.89500000000000002</v>
      </c>
      <c r="J58" s="20">
        <f>'Work Progress (%)'!AQ67</f>
        <v>0.86</v>
      </c>
      <c r="K58" s="20">
        <f>'Work Progress (%)'!AV67</f>
        <v>0</v>
      </c>
      <c r="L58" s="20">
        <f>'Work Progress (%)'!BD67</f>
        <v>0</v>
      </c>
      <c r="M58" s="20">
        <v>0.7</v>
      </c>
      <c r="N58" s="20">
        <v>1</v>
      </c>
      <c r="O58" s="20">
        <v>0.2</v>
      </c>
      <c r="P58" s="20">
        <v>0.7</v>
      </c>
      <c r="Q58" s="21">
        <f t="shared" si="6"/>
        <v>0.82695000000000018</v>
      </c>
      <c r="R58" s="6"/>
    </row>
    <row r="59" spans="2:18" ht="73.5" customHeight="1" x14ac:dyDescent="0.45">
      <c r="B59" s="22" t="s">
        <v>143</v>
      </c>
      <c r="C59" s="22" t="s">
        <v>33</v>
      </c>
      <c r="D59" s="151">
        <v>404</v>
      </c>
      <c r="E59" s="20">
        <f>'Work Progress (%)'!G68</f>
        <v>1</v>
      </c>
      <c r="F59" s="20">
        <f>'Work Progress (%)'!L68</f>
        <v>0.9</v>
      </c>
      <c r="G59" s="20">
        <f>'Work Progress (%)'!Y68</f>
        <v>0.99750000000000005</v>
      </c>
      <c r="H59" s="20">
        <f>'Work Progress (%)'!AD68</f>
        <v>0.5</v>
      </c>
      <c r="I59" s="20">
        <f>'Work Progress (%)'!AI68</f>
        <v>0.68499999999999994</v>
      </c>
      <c r="J59" s="20">
        <f>'Work Progress (%)'!AQ68</f>
        <v>0.91499999999999992</v>
      </c>
      <c r="K59" s="20">
        <f>'Work Progress (%)'!AV68</f>
        <v>0</v>
      </c>
      <c r="L59" s="20">
        <f>'Work Progress (%)'!BD68</f>
        <v>0</v>
      </c>
      <c r="M59" s="20">
        <v>0.7</v>
      </c>
      <c r="N59" s="20">
        <v>1</v>
      </c>
      <c r="O59" s="20">
        <v>0.2</v>
      </c>
      <c r="P59" s="20">
        <v>0.7</v>
      </c>
      <c r="Q59" s="21">
        <f t="shared" si="6"/>
        <v>0.80195000000000016</v>
      </c>
      <c r="R59" s="6"/>
    </row>
    <row r="60" spans="2:18" ht="73.5" customHeight="1" x14ac:dyDescent="0.45">
      <c r="B60" s="22" t="s">
        <v>143</v>
      </c>
      <c r="C60" s="22" t="s">
        <v>33</v>
      </c>
      <c r="D60" s="151">
        <v>405</v>
      </c>
      <c r="E60" s="20">
        <f>'Work Progress (%)'!G69</f>
        <v>1</v>
      </c>
      <c r="F60" s="20">
        <f>'Work Progress (%)'!L69</f>
        <v>0.9</v>
      </c>
      <c r="G60" s="20">
        <f>'Work Progress (%)'!Y69</f>
        <v>0.99750000000000005</v>
      </c>
      <c r="H60" s="20">
        <f>'Work Progress (%)'!AD69</f>
        <v>0.5</v>
      </c>
      <c r="I60" s="20">
        <f>'Work Progress (%)'!AI69</f>
        <v>0.89500000000000002</v>
      </c>
      <c r="J60" s="20">
        <f>'Work Progress (%)'!AQ69</f>
        <v>0.91499999999999992</v>
      </c>
      <c r="K60" s="20">
        <f>'Work Progress (%)'!AV69</f>
        <v>0</v>
      </c>
      <c r="L60" s="20">
        <f>'Work Progress (%)'!BD69</f>
        <v>0</v>
      </c>
      <c r="M60" s="20">
        <v>0.7</v>
      </c>
      <c r="N60" s="20">
        <v>1</v>
      </c>
      <c r="O60" s="20">
        <v>0.2</v>
      </c>
      <c r="P60" s="20">
        <v>0.7</v>
      </c>
      <c r="Q60" s="21">
        <f t="shared" si="6"/>
        <v>0.82295000000000007</v>
      </c>
      <c r="R60" s="6"/>
    </row>
    <row r="61" spans="2:18" ht="73.5" customHeight="1" x14ac:dyDescent="0.45">
      <c r="B61" s="22" t="s">
        <v>143</v>
      </c>
      <c r="C61" s="22" t="s">
        <v>33</v>
      </c>
      <c r="D61" s="151">
        <v>406</v>
      </c>
      <c r="E61" s="20">
        <f>'Work Progress (%)'!G70</f>
        <v>1</v>
      </c>
      <c r="F61" s="20">
        <f>'Work Progress (%)'!L70</f>
        <v>1</v>
      </c>
      <c r="G61" s="20">
        <f>'Work Progress (%)'!Y70</f>
        <v>0.99750000000000005</v>
      </c>
      <c r="H61" s="20">
        <f>'Work Progress (%)'!AD70</f>
        <v>0.5</v>
      </c>
      <c r="I61" s="20">
        <f>'Work Progress (%)'!AI70</f>
        <v>0.68499999999999994</v>
      </c>
      <c r="J61" s="20">
        <f>'Work Progress (%)'!AQ70</f>
        <v>0.87749999999999995</v>
      </c>
      <c r="K61" s="20">
        <f>'Work Progress (%)'!AV70</f>
        <v>0</v>
      </c>
      <c r="L61" s="20">
        <f>'Work Progress (%)'!BD70</f>
        <v>0</v>
      </c>
      <c r="M61" s="20">
        <v>0.7</v>
      </c>
      <c r="N61" s="20">
        <v>1</v>
      </c>
      <c r="O61" s="20">
        <v>0.2</v>
      </c>
      <c r="P61" s="20">
        <v>0.7</v>
      </c>
      <c r="Q61" s="21">
        <f t="shared" si="6"/>
        <v>0.80945000000000011</v>
      </c>
      <c r="R61" s="6"/>
    </row>
    <row r="62" spans="2:18" ht="73.5" customHeight="1" x14ac:dyDescent="0.45">
      <c r="B62" s="22" t="s">
        <v>143</v>
      </c>
      <c r="C62" s="22" t="s">
        <v>33</v>
      </c>
      <c r="D62" s="151">
        <v>407</v>
      </c>
      <c r="E62" s="20">
        <f>'Work Progress (%)'!G71</f>
        <v>1</v>
      </c>
      <c r="F62" s="20">
        <f>'Work Progress (%)'!L71</f>
        <v>0.97</v>
      </c>
      <c r="G62" s="20">
        <f>'Work Progress (%)'!Y71</f>
        <v>0.99750000000000005</v>
      </c>
      <c r="H62" s="20">
        <f>'Work Progress (%)'!AD71</f>
        <v>0.5</v>
      </c>
      <c r="I62" s="20">
        <f>'Work Progress (%)'!AI71</f>
        <v>1</v>
      </c>
      <c r="J62" s="20">
        <f>'Work Progress (%)'!AQ71</f>
        <v>0.68499999999999994</v>
      </c>
      <c r="K62" s="20">
        <f>'Work Progress (%)'!AV71</f>
        <v>0</v>
      </c>
      <c r="L62" s="20">
        <f>'Work Progress (%)'!BD71</f>
        <v>0</v>
      </c>
      <c r="M62" s="20">
        <v>0.7</v>
      </c>
      <c r="N62" s="20">
        <v>1</v>
      </c>
      <c r="O62" s="20">
        <v>0.2</v>
      </c>
      <c r="P62" s="20">
        <v>0.7</v>
      </c>
      <c r="Q62" s="21">
        <f t="shared" si="6"/>
        <v>0.79795000000000005</v>
      </c>
      <c r="R62" s="6"/>
    </row>
    <row r="63" spans="2:18" ht="73.5" customHeight="1" x14ac:dyDescent="0.45">
      <c r="B63" s="22" t="s">
        <v>143</v>
      </c>
      <c r="C63" s="22" t="s">
        <v>33</v>
      </c>
      <c r="D63" s="151">
        <v>408</v>
      </c>
      <c r="E63" s="20">
        <f>'Work Progress (%)'!G72</f>
        <v>1</v>
      </c>
      <c r="F63" s="20">
        <f>'Work Progress (%)'!L72</f>
        <v>1</v>
      </c>
      <c r="G63" s="20">
        <f>'Work Progress (%)'!Y72</f>
        <v>0.99750000000000005</v>
      </c>
      <c r="H63" s="20">
        <f>'Work Progress (%)'!AD72</f>
        <v>0.5</v>
      </c>
      <c r="I63" s="20">
        <f>'Work Progress (%)'!AI72</f>
        <v>1</v>
      </c>
      <c r="J63" s="20">
        <f>'Work Progress (%)'!AQ72</f>
        <v>0.91499999999999992</v>
      </c>
      <c r="K63" s="20">
        <f>'Work Progress (%)'!AV72</f>
        <v>0</v>
      </c>
      <c r="L63" s="20">
        <f>'Work Progress (%)'!BD72</f>
        <v>0</v>
      </c>
      <c r="M63" s="20">
        <v>0.7</v>
      </c>
      <c r="N63" s="20">
        <v>1</v>
      </c>
      <c r="O63" s="20">
        <v>0.2</v>
      </c>
      <c r="P63" s="20">
        <v>0.7</v>
      </c>
      <c r="Q63" s="21">
        <f t="shared" si="6"/>
        <v>0.84845000000000015</v>
      </c>
      <c r="R63" s="6"/>
    </row>
    <row r="64" spans="2:18" ht="73.5" customHeight="1" x14ac:dyDescent="0.45">
      <c r="B64" s="22" t="s">
        <v>143</v>
      </c>
      <c r="C64" s="22" t="s">
        <v>33</v>
      </c>
      <c r="D64" s="151">
        <v>409</v>
      </c>
      <c r="E64" s="20">
        <f>'Work Progress (%)'!G73</f>
        <v>1</v>
      </c>
      <c r="F64" s="20">
        <f>'Work Progress (%)'!L73</f>
        <v>1</v>
      </c>
      <c r="G64" s="20">
        <f>'Work Progress (%)'!Y73</f>
        <v>0.99750000000000005</v>
      </c>
      <c r="H64" s="20">
        <f>'Work Progress (%)'!AD73</f>
        <v>0.5</v>
      </c>
      <c r="I64" s="20">
        <f>'Work Progress (%)'!AI73</f>
        <v>1</v>
      </c>
      <c r="J64" s="20">
        <f>'Work Progress (%)'!AQ73</f>
        <v>0.91499999999999992</v>
      </c>
      <c r="K64" s="20">
        <f>'Work Progress (%)'!AV73</f>
        <v>0</v>
      </c>
      <c r="L64" s="20">
        <f>'Work Progress (%)'!BD73</f>
        <v>0</v>
      </c>
      <c r="M64" s="20">
        <v>0.7</v>
      </c>
      <c r="N64" s="20">
        <v>1</v>
      </c>
      <c r="O64" s="20">
        <v>0.2</v>
      </c>
      <c r="P64" s="20">
        <v>0.7</v>
      </c>
      <c r="Q64" s="21">
        <f t="shared" si="6"/>
        <v>0.84845000000000015</v>
      </c>
      <c r="R64" s="6"/>
    </row>
    <row r="65" spans="2:18" ht="73.5" customHeight="1" x14ac:dyDescent="0.45">
      <c r="B65" s="22" t="s">
        <v>143</v>
      </c>
      <c r="C65" s="22" t="s">
        <v>33</v>
      </c>
      <c r="D65" s="151">
        <v>410</v>
      </c>
      <c r="E65" s="20">
        <f>'Work Progress (%)'!G74</f>
        <v>1</v>
      </c>
      <c r="F65" s="20">
        <f>'Work Progress (%)'!L74</f>
        <v>1</v>
      </c>
      <c r="G65" s="20">
        <f>'Work Progress (%)'!Y74</f>
        <v>0.99750000000000005</v>
      </c>
      <c r="H65" s="20">
        <f>'Work Progress (%)'!AD74</f>
        <v>0.5</v>
      </c>
      <c r="I65" s="20">
        <f>'Work Progress (%)'!AI74</f>
        <v>1</v>
      </c>
      <c r="J65" s="20">
        <f>'Work Progress (%)'!AQ74</f>
        <v>0.87749999999999995</v>
      </c>
      <c r="K65" s="20">
        <f>'Work Progress (%)'!AV74</f>
        <v>0</v>
      </c>
      <c r="L65" s="20">
        <f>'Work Progress (%)'!BD74</f>
        <v>0</v>
      </c>
      <c r="M65" s="20">
        <v>0.7</v>
      </c>
      <c r="N65" s="20">
        <v>1</v>
      </c>
      <c r="O65" s="20">
        <v>0.2</v>
      </c>
      <c r="P65" s="20">
        <v>0.7</v>
      </c>
      <c r="Q65" s="21">
        <f t="shared" si="6"/>
        <v>0.84095000000000009</v>
      </c>
      <c r="R65" s="6"/>
    </row>
    <row r="66" spans="2:18" ht="73.5" customHeight="1" x14ac:dyDescent="0.45">
      <c r="B66" s="22" t="s">
        <v>143</v>
      </c>
      <c r="C66" s="22" t="s">
        <v>33</v>
      </c>
      <c r="D66" s="151">
        <v>411</v>
      </c>
      <c r="E66" s="20">
        <f>'Work Progress (%)'!G75</f>
        <v>1</v>
      </c>
      <c r="F66" s="20">
        <f>'Work Progress (%)'!L75</f>
        <v>1</v>
      </c>
      <c r="G66" s="20">
        <f>'Work Progress (%)'!Y75</f>
        <v>0.99750000000000005</v>
      </c>
      <c r="H66" s="20">
        <f>'Work Progress (%)'!AD75</f>
        <v>0.5</v>
      </c>
      <c r="I66" s="20">
        <f>'Work Progress (%)'!AI75</f>
        <v>0.80499999999999994</v>
      </c>
      <c r="J66" s="20">
        <f>'Work Progress (%)'!AQ75</f>
        <v>0.78999999999999992</v>
      </c>
      <c r="K66" s="20">
        <f>'Work Progress (%)'!AV75</f>
        <v>0</v>
      </c>
      <c r="L66" s="20">
        <f>'Work Progress (%)'!BD75</f>
        <v>0</v>
      </c>
      <c r="M66" s="20">
        <v>0.7</v>
      </c>
      <c r="N66" s="20">
        <v>1</v>
      </c>
      <c r="O66" s="20">
        <v>0.2</v>
      </c>
      <c r="P66" s="20">
        <v>0.7</v>
      </c>
      <c r="Q66" s="21">
        <f t="shared" si="6"/>
        <v>0.80395000000000016</v>
      </c>
      <c r="R66" s="6"/>
    </row>
    <row r="67" spans="2:18" ht="73.5" customHeight="1" x14ac:dyDescent="0.45">
      <c r="B67" s="22" t="s">
        <v>143</v>
      </c>
      <c r="C67" s="22" t="s">
        <v>33</v>
      </c>
      <c r="D67" s="151">
        <v>412</v>
      </c>
      <c r="E67" s="20">
        <f>'Work Progress (%)'!G76</f>
        <v>1</v>
      </c>
      <c r="F67" s="20">
        <f>'Work Progress (%)'!L76</f>
        <v>1</v>
      </c>
      <c r="G67" s="20">
        <f>'Work Progress (%)'!Y76</f>
        <v>0.99750000000000005</v>
      </c>
      <c r="H67" s="20">
        <f>'Work Progress (%)'!AD76</f>
        <v>0.5</v>
      </c>
      <c r="I67" s="20">
        <f>'Work Progress (%)'!AI76</f>
        <v>1</v>
      </c>
      <c r="J67" s="20">
        <f>'Work Progress (%)'!AQ76</f>
        <v>0.79249999999999998</v>
      </c>
      <c r="K67" s="20">
        <f>'Work Progress (%)'!AV76</f>
        <v>0</v>
      </c>
      <c r="L67" s="20">
        <f>'Work Progress (%)'!BD76</f>
        <v>0</v>
      </c>
      <c r="M67" s="20">
        <v>0.7</v>
      </c>
      <c r="N67" s="20">
        <v>1</v>
      </c>
      <c r="O67" s="20">
        <v>0.2</v>
      </c>
      <c r="P67" s="20">
        <v>0.7</v>
      </c>
      <c r="Q67" s="21">
        <f t="shared" si="6"/>
        <v>0.82395000000000007</v>
      </c>
      <c r="R67" s="6"/>
    </row>
    <row r="68" spans="2:18" ht="73.5" customHeight="1" x14ac:dyDescent="0.45">
      <c r="B68" s="22" t="s">
        <v>143</v>
      </c>
      <c r="C68" s="22" t="s">
        <v>33</v>
      </c>
      <c r="D68" s="151">
        <v>413</v>
      </c>
      <c r="E68" s="20">
        <f>'Work Progress (%)'!G77</f>
        <v>1</v>
      </c>
      <c r="F68" s="20">
        <f>'Work Progress (%)'!L77</f>
        <v>1</v>
      </c>
      <c r="G68" s="20">
        <f>'Work Progress (%)'!Y77</f>
        <v>0.99750000000000005</v>
      </c>
      <c r="H68" s="20">
        <f>'Work Progress (%)'!AD77</f>
        <v>0.5</v>
      </c>
      <c r="I68" s="20">
        <f>'Work Progress (%)'!AI77</f>
        <v>1</v>
      </c>
      <c r="J68" s="20">
        <f>'Work Progress (%)'!AQ77</f>
        <v>0.61250000000000004</v>
      </c>
      <c r="K68" s="20">
        <f>'Work Progress (%)'!AV77</f>
        <v>0</v>
      </c>
      <c r="L68" s="20">
        <f>'Work Progress (%)'!BD77</f>
        <v>0</v>
      </c>
      <c r="M68" s="20">
        <v>0.7</v>
      </c>
      <c r="N68" s="20">
        <v>1</v>
      </c>
      <c r="O68" s="20">
        <v>0.2</v>
      </c>
      <c r="P68" s="20">
        <v>0.7</v>
      </c>
      <c r="Q68" s="21">
        <f t="shared" si="6"/>
        <v>0.78795000000000015</v>
      </c>
      <c r="R68" s="6"/>
    </row>
    <row r="69" spans="2:18" ht="73.5" customHeight="1" x14ac:dyDescent="0.45">
      <c r="B69" s="22" t="s">
        <v>143</v>
      </c>
      <c r="C69" s="22" t="s">
        <v>33</v>
      </c>
      <c r="D69" s="151">
        <v>414</v>
      </c>
      <c r="E69" s="20">
        <f>'Work Progress (%)'!G78</f>
        <v>1</v>
      </c>
      <c r="F69" s="20">
        <f>'Work Progress (%)'!L78</f>
        <v>0.84</v>
      </c>
      <c r="G69" s="20">
        <f>'Work Progress (%)'!Y78</f>
        <v>0.99750000000000005</v>
      </c>
      <c r="H69" s="20">
        <f>'Work Progress (%)'!AD78</f>
        <v>0.5</v>
      </c>
      <c r="I69" s="20">
        <f>'Work Progress (%)'!AI78</f>
        <v>1</v>
      </c>
      <c r="J69" s="20">
        <f>'Work Progress (%)'!AQ78</f>
        <v>0.78999999999999992</v>
      </c>
      <c r="K69" s="20">
        <f>'Work Progress (%)'!AV78</f>
        <v>0</v>
      </c>
      <c r="L69" s="20">
        <f>'Work Progress (%)'!BD78</f>
        <v>0</v>
      </c>
      <c r="M69" s="20">
        <v>0.7</v>
      </c>
      <c r="N69" s="20">
        <v>1</v>
      </c>
      <c r="O69" s="20">
        <v>0.2</v>
      </c>
      <c r="P69" s="20">
        <v>0.7</v>
      </c>
      <c r="Q69" s="21">
        <f t="shared" si="6"/>
        <v>0.7994500000000001</v>
      </c>
      <c r="R69" s="6"/>
    </row>
    <row r="70" spans="2:18" ht="73.5" customHeight="1" x14ac:dyDescent="0.45">
      <c r="B70" s="22" t="s">
        <v>143</v>
      </c>
      <c r="C70" s="22" t="s">
        <v>33</v>
      </c>
      <c r="D70" s="151">
        <v>415</v>
      </c>
      <c r="E70" s="20">
        <f>'Work Progress (%)'!G79</f>
        <v>1</v>
      </c>
      <c r="F70" s="20">
        <f>'Work Progress (%)'!L79</f>
        <v>1</v>
      </c>
      <c r="G70" s="20">
        <f>'Work Progress (%)'!Y79</f>
        <v>0.99750000000000005</v>
      </c>
      <c r="H70" s="20">
        <f>'Work Progress (%)'!AD79</f>
        <v>0.5</v>
      </c>
      <c r="I70" s="20">
        <f>'Work Progress (%)'!AI79</f>
        <v>0.57999999999999996</v>
      </c>
      <c r="J70" s="20">
        <f>'Work Progress (%)'!AQ79</f>
        <v>0.7</v>
      </c>
      <c r="K70" s="20">
        <f>'Work Progress (%)'!AV79</f>
        <v>0</v>
      </c>
      <c r="L70" s="20">
        <f>'Work Progress (%)'!BD79</f>
        <v>0</v>
      </c>
      <c r="M70" s="20">
        <v>0.7</v>
      </c>
      <c r="N70" s="20">
        <v>1</v>
      </c>
      <c r="O70" s="20">
        <v>0.2</v>
      </c>
      <c r="P70" s="20">
        <v>0.7</v>
      </c>
      <c r="Q70" s="21">
        <f t="shared" si="6"/>
        <v>0.76345000000000007</v>
      </c>
      <c r="R70" s="6"/>
    </row>
    <row r="71" spans="2:18" ht="73.5" customHeight="1" x14ac:dyDescent="0.45">
      <c r="B71" s="22" t="s">
        <v>143</v>
      </c>
      <c r="C71" s="22" t="s">
        <v>33</v>
      </c>
      <c r="D71" s="151">
        <v>416</v>
      </c>
      <c r="E71" s="20">
        <f>'Work Progress (%)'!G80</f>
        <v>1</v>
      </c>
      <c r="F71" s="20">
        <f>'Work Progress (%)'!L80</f>
        <v>1</v>
      </c>
      <c r="G71" s="20">
        <f>'Work Progress (%)'!Y80</f>
        <v>0.99750000000000005</v>
      </c>
      <c r="H71" s="20">
        <f>'Work Progress (%)'!AD80</f>
        <v>0.5</v>
      </c>
      <c r="I71" s="20">
        <f>'Work Progress (%)'!AI80</f>
        <v>0.89500000000000002</v>
      </c>
      <c r="J71" s="20">
        <f>'Work Progress (%)'!AQ80</f>
        <v>0.8274999999999999</v>
      </c>
      <c r="K71" s="20">
        <f>'Work Progress (%)'!AV80</f>
        <v>0</v>
      </c>
      <c r="L71" s="20">
        <f>'Work Progress (%)'!BD80</f>
        <v>0</v>
      </c>
      <c r="M71" s="20">
        <v>0.7</v>
      </c>
      <c r="N71" s="20">
        <v>1</v>
      </c>
      <c r="O71" s="20">
        <v>0.2</v>
      </c>
      <c r="P71" s="20">
        <v>0.7</v>
      </c>
      <c r="Q71" s="21">
        <f t="shared" si="6"/>
        <v>0.82045000000000012</v>
      </c>
      <c r="R71" s="6"/>
    </row>
    <row r="72" spans="2:18" ht="73.5" customHeight="1" x14ac:dyDescent="0.45">
      <c r="B72" s="22" t="s">
        <v>143</v>
      </c>
      <c r="C72" s="22"/>
      <c r="D72" s="154" t="s">
        <v>34</v>
      </c>
      <c r="E72" s="141">
        <f>AVERAGE(E74:E88)</f>
        <v>1</v>
      </c>
      <c r="F72" s="141">
        <f t="shared" ref="F72:P72" si="7">AVERAGE(F74:F88)</f>
        <v>0.94066666666666665</v>
      </c>
      <c r="G72" s="20">
        <f t="shared" si="7"/>
        <v>1.0000000000000002</v>
      </c>
      <c r="H72" s="141">
        <f t="shared" si="7"/>
        <v>0.5</v>
      </c>
      <c r="I72" s="141">
        <f t="shared" si="7"/>
        <v>0.72699999999999998</v>
      </c>
      <c r="J72" s="141">
        <f t="shared" si="7"/>
        <v>0.26150000000000001</v>
      </c>
      <c r="K72" s="141">
        <f t="shared" si="7"/>
        <v>0</v>
      </c>
      <c r="L72" s="141">
        <f t="shared" si="7"/>
        <v>0</v>
      </c>
      <c r="M72" s="141">
        <f t="shared" si="7"/>
        <v>0.69999999999999984</v>
      </c>
      <c r="N72" s="141">
        <f t="shared" si="7"/>
        <v>1</v>
      </c>
      <c r="O72" s="141">
        <f t="shared" si="7"/>
        <v>0.20000000000000004</v>
      </c>
      <c r="P72" s="141">
        <f t="shared" si="7"/>
        <v>0.69999999999999984</v>
      </c>
      <c r="Q72" s="14">
        <f>AVERAGE(Q73:Q88)</f>
        <v>0.68478125000000034</v>
      </c>
      <c r="R72" s="12"/>
    </row>
    <row r="73" spans="2:18" ht="73.5" customHeight="1" x14ac:dyDescent="0.45">
      <c r="B73" s="22" t="s">
        <v>143</v>
      </c>
      <c r="C73" s="22" t="s">
        <v>35</v>
      </c>
      <c r="D73" s="151">
        <v>501</v>
      </c>
      <c r="E73" s="20">
        <f>'Work Progress (%)'!G82</f>
        <v>1</v>
      </c>
      <c r="F73" s="20">
        <f>'Work Progress (%)'!L82</f>
        <v>1</v>
      </c>
      <c r="G73" s="20">
        <f>'Work Progress (%)'!Y82</f>
        <v>1.0000000000000002</v>
      </c>
      <c r="H73" s="20">
        <f>'Work Progress (%)'!AD82</f>
        <v>0.5</v>
      </c>
      <c r="I73" s="20">
        <f>'Work Progress (%)'!AI82</f>
        <v>0.71</v>
      </c>
      <c r="J73" s="20">
        <f>'Work Progress (%)'!AQ82</f>
        <v>0.43999999999999995</v>
      </c>
      <c r="K73" s="20">
        <f>'Work Progress (%)'!AV82</f>
        <v>0</v>
      </c>
      <c r="L73" s="20">
        <f>'Work Progress (%)'!BD82</f>
        <v>0</v>
      </c>
      <c r="M73" s="20">
        <v>0.7</v>
      </c>
      <c r="N73" s="20">
        <v>1</v>
      </c>
      <c r="O73" s="20">
        <v>0.2</v>
      </c>
      <c r="P73" s="20">
        <v>0.7</v>
      </c>
      <c r="Q73" s="21">
        <f t="shared" ref="Q73:Q88" si="8">SUMPRODUCT(E73:P73, E$2:P$2)</f>
        <v>0.72500000000000009</v>
      </c>
      <c r="R73" s="6"/>
    </row>
    <row r="74" spans="2:18" ht="73.5" customHeight="1" x14ac:dyDescent="0.45">
      <c r="B74" s="22" t="s">
        <v>143</v>
      </c>
      <c r="C74" s="22" t="s">
        <v>35</v>
      </c>
      <c r="D74" s="151">
        <v>502</v>
      </c>
      <c r="E74" s="20">
        <f>'Work Progress (%)'!G83</f>
        <v>1</v>
      </c>
      <c r="F74" s="20">
        <f>'Work Progress (%)'!L83</f>
        <v>1</v>
      </c>
      <c r="G74" s="20">
        <f>'Work Progress (%)'!Y83</f>
        <v>1.0000000000000002</v>
      </c>
      <c r="H74" s="20">
        <f>'Work Progress (%)'!AD83</f>
        <v>0.5</v>
      </c>
      <c r="I74" s="20">
        <f>'Work Progress (%)'!AI83</f>
        <v>0.49</v>
      </c>
      <c r="J74" s="20">
        <f>'Work Progress (%)'!AQ83</f>
        <v>0.38500000000000001</v>
      </c>
      <c r="K74" s="20">
        <f>'Work Progress (%)'!AV83</f>
        <v>0</v>
      </c>
      <c r="L74" s="20">
        <f>'Work Progress (%)'!BD83</f>
        <v>0</v>
      </c>
      <c r="M74" s="20">
        <v>0.7</v>
      </c>
      <c r="N74" s="20">
        <v>1</v>
      </c>
      <c r="O74" s="20">
        <v>0.2</v>
      </c>
      <c r="P74" s="20">
        <v>0.7</v>
      </c>
      <c r="Q74" s="21">
        <f t="shared" si="8"/>
        <v>0.69200000000000017</v>
      </c>
      <c r="R74" s="6"/>
    </row>
    <row r="75" spans="2:18" ht="73.5" customHeight="1" x14ac:dyDescent="0.45">
      <c r="B75" s="22" t="s">
        <v>143</v>
      </c>
      <c r="C75" s="22" t="s">
        <v>35</v>
      </c>
      <c r="D75" s="151">
        <v>503</v>
      </c>
      <c r="E75" s="20">
        <f>'Work Progress (%)'!G84</f>
        <v>1</v>
      </c>
      <c r="F75" s="20">
        <f>'Work Progress (%)'!L84</f>
        <v>1</v>
      </c>
      <c r="G75" s="20">
        <f>'Work Progress (%)'!Y84</f>
        <v>1.0000000000000002</v>
      </c>
      <c r="H75" s="20">
        <f>'Work Progress (%)'!AD84</f>
        <v>0.5</v>
      </c>
      <c r="I75" s="20">
        <f>'Work Progress (%)'!AI84</f>
        <v>0.71499999999999997</v>
      </c>
      <c r="J75" s="20">
        <f>'Work Progress (%)'!AQ84</f>
        <v>0.38499999999999995</v>
      </c>
      <c r="K75" s="20">
        <f>'Work Progress (%)'!AV84</f>
        <v>0</v>
      </c>
      <c r="L75" s="20">
        <f>'Work Progress (%)'!BD84</f>
        <v>0</v>
      </c>
      <c r="M75" s="20">
        <v>0.7</v>
      </c>
      <c r="N75" s="20">
        <v>1</v>
      </c>
      <c r="O75" s="20">
        <v>0.2</v>
      </c>
      <c r="P75" s="20">
        <v>0.7</v>
      </c>
      <c r="Q75" s="21">
        <f t="shared" si="8"/>
        <v>0.71450000000000014</v>
      </c>
      <c r="R75" s="6"/>
    </row>
    <row r="76" spans="2:18" ht="73.5" customHeight="1" x14ac:dyDescent="0.45">
      <c r="B76" s="22" t="s">
        <v>143</v>
      </c>
      <c r="C76" s="22" t="s">
        <v>35</v>
      </c>
      <c r="D76" s="151">
        <v>504</v>
      </c>
      <c r="E76" s="20">
        <f>'Work Progress (%)'!G85</f>
        <v>1</v>
      </c>
      <c r="F76" s="20">
        <f>'Work Progress (%)'!L85</f>
        <v>1</v>
      </c>
      <c r="G76" s="20">
        <f>'Work Progress (%)'!Y85</f>
        <v>1.0000000000000002</v>
      </c>
      <c r="H76" s="20">
        <f>'Work Progress (%)'!AD85</f>
        <v>0.5</v>
      </c>
      <c r="I76" s="20">
        <f>'Work Progress (%)'!AI85</f>
        <v>0.57999999999999996</v>
      </c>
      <c r="J76" s="20">
        <f>'Work Progress (%)'!AQ85</f>
        <v>0.47249999999999998</v>
      </c>
      <c r="K76" s="20">
        <f>'Work Progress (%)'!AV85</f>
        <v>0</v>
      </c>
      <c r="L76" s="20">
        <f>'Work Progress (%)'!BD85</f>
        <v>0</v>
      </c>
      <c r="M76" s="20">
        <v>0.7</v>
      </c>
      <c r="N76" s="20">
        <v>1</v>
      </c>
      <c r="O76" s="20">
        <v>0.2</v>
      </c>
      <c r="P76" s="20">
        <v>0.7</v>
      </c>
      <c r="Q76" s="21">
        <f t="shared" si="8"/>
        <v>0.71850000000000014</v>
      </c>
      <c r="R76" s="6"/>
    </row>
    <row r="77" spans="2:18" ht="73.5" customHeight="1" x14ac:dyDescent="0.45">
      <c r="B77" s="22" t="s">
        <v>143</v>
      </c>
      <c r="C77" s="22" t="s">
        <v>35</v>
      </c>
      <c r="D77" s="151">
        <v>505</v>
      </c>
      <c r="E77" s="20">
        <f>'Work Progress (%)'!G86</f>
        <v>1</v>
      </c>
      <c r="F77" s="20">
        <f>'Work Progress (%)'!L86</f>
        <v>1</v>
      </c>
      <c r="G77" s="20">
        <f>'Work Progress (%)'!Y86</f>
        <v>1.0000000000000002</v>
      </c>
      <c r="H77" s="20">
        <f>'Work Progress (%)'!AD86</f>
        <v>0.5</v>
      </c>
      <c r="I77" s="20">
        <f>'Work Progress (%)'!AI86</f>
        <v>0.71499999999999997</v>
      </c>
      <c r="J77" s="20">
        <f>'Work Progress (%)'!AQ86</f>
        <v>0.3075</v>
      </c>
      <c r="K77" s="20">
        <f>'Work Progress (%)'!AV86</f>
        <v>0</v>
      </c>
      <c r="L77" s="20">
        <f>'Work Progress (%)'!BD86</f>
        <v>0</v>
      </c>
      <c r="M77" s="20">
        <v>0.7</v>
      </c>
      <c r="N77" s="20">
        <v>1</v>
      </c>
      <c r="O77" s="20">
        <v>0.2</v>
      </c>
      <c r="P77" s="20">
        <v>0.7</v>
      </c>
      <c r="Q77" s="21">
        <f t="shared" si="8"/>
        <v>0.69900000000000018</v>
      </c>
      <c r="R77" s="6"/>
    </row>
    <row r="78" spans="2:18" ht="73.5" customHeight="1" x14ac:dyDescent="0.45">
      <c r="B78" s="22" t="s">
        <v>143</v>
      </c>
      <c r="C78" s="22" t="s">
        <v>35</v>
      </c>
      <c r="D78" s="151">
        <v>506</v>
      </c>
      <c r="E78" s="20">
        <f>'Work Progress (%)'!G87</f>
        <v>1</v>
      </c>
      <c r="F78" s="20">
        <f>'Work Progress (%)'!L87</f>
        <v>1</v>
      </c>
      <c r="G78" s="20">
        <f>'Work Progress (%)'!Y87</f>
        <v>1.0000000000000002</v>
      </c>
      <c r="H78" s="20">
        <f>'Work Progress (%)'!AD87</f>
        <v>0.5</v>
      </c>
      <c r="I78" s="20">
        <f>'Work Progress (%)'!AI87</f>
        <v>0.33499999999999996</v>
      </c>
      <c r="J78" s="20">
        <f>'Work Progress (%)'!AQ87</f>
        <v>0.35</v>
      </c>
      <c r="K78" s="20">
        <f>'Work Progress (%)'!AV87</f>
        <v>0</v>
      </c>
      <c r="L78" s="20">
        <f>'Work Progress (%)'!BD87</f>
        <v>0</v>
      </c>
      <c r="M78" s="20">
        <v>0.7</v>
      </c>
      <c r="N78" s="20">
        <v>1</v>
      </c>
      <c r="O78" s="20">
        <v>0.2</v>
      </c>
      <c r="P78" s="20">
        <v>0.7</v>
      </c>
      <c r="Q78" s="21">
        <f t="shared" si="8"/>
        <v>0.6695000000000001</v>
      </c>
      <c r="R78" s="6"/>
    </row>
    <row r="79" spans="2:18" ht="73.5" customHeight="1" x14ac:dyDescent="0.45">
      <c r="B79" s="22" t="s">
        <v>143</v>
      </c>
      <c r="C79" s="22" t="s">
        <v>35</v>
      </c>
      <c r="D79" s="151">
        <v>507</v>
      </c>
      <c r="E79" s="20">
        <f>'Work Progress (%)'!G88</f>
        <v>1</v>
      </c>
      <c r="F79" s="20">
        <f>'Work Progress (%)'!L88</f>
        <v>1</v>
      </c>
      <c r="G79" s="20">
        <f>'Work Progress (%)'!Y88</f>
        <v>1.0000000000000002</v>
      </c>
      <c r="H79" s="20">
        <f>'Work Progress (%)'!AD88</f>
        <v>0.5</v>
      </c>
      <c r="I79" s="20">
        <f>'Work Progress (%)'!AI88</f>
        <v>0.71499999999999997</v>
      </c>
      <c r="J79" s="20">
        <f>'Work Progress (%)'!AQ88</f>
        <v>0.31999999999999995</v>
      </c>
      <c r="K79" s="20">
        <f>'Work Progress (%)'!AV88</f>
        <v>0</v>
      </c>
      <c r="L79" s="20">
        <f>'Work Progress (%)'!BD88</f>
        <v>0</v>
      </c>
      <c r="M79" s="20">
        <v>0.7</v>
      </c>
      <c r="N79" s="20">
        <v>1</v>
      </c>
      <c r="O79" s="20">
        <v>0.2</v>
      </c>
      <c r="P79" s="20">
        <v>0.7</v>
      </c>
      <c r="Q79" s="21">
        <f t="shared" si="8"/>
        <v>0.70150000000000012</v>
      </c>
      <c r="R79" s="6"/>
    </row>
    <row r="80" spans="2:18" ht="73.5" customHeight="1" x14ac:dyDescent="0.45">
      <c r="B80" s="22" t="s">
        <v>143</v>
      </c>
      <c r="C80" s="22" t="s">
        <v>35</v>
      </c>
      <c r="D80" s="151">
        <v>508</v>
      </c>
      <c r="E80" s="20">
        <f>'Work Progress (%)'!G89</f>
        <v>1</v>
      </c>
      <c r="F80" s="20">
        <f>'Work Progress (%)'!L89</f>
        <v>1</v>
      </c>
      <c r="G80" s="20">
        <f>'Work Progress (%)'!Y89</f>
        <v>1.0000000000000002</v>
      </c>
      <c r="H80" s="20">
        <f>'Work Progress (%)'!AD89</f>
        <v>0.5</v>
      </c>
      <c r="I80" s="20">
        <f>'Work Progress (%)'!AI89</f>
        <v>0.90999999999999992</v>
      </c>
      <c r="J80" s="20">
        <f>'Work Progress (%)'!AQ89</f>
        <v>0.15</v>
      </c>
      <c r="K80" s="20">
        <f>'Work Progress (%)'!AV89</f>
        <v>0</v>
      </c>
      <c r="L80" s="20">
        <f>'Work Progress (%)'!BD89</f>
        <v>0</v>
      </c>
      <c r="M80" s="20">
        <v>0.7</v>
      </c>
      <c r="N80" s="20">
        <v>1</v>
      </c>
      <c r="O80" s="20">
        <v>0.2</v>
      </c>
      <c r="P80" s="20">
        <v>0.7</v>
      </c>
      <c r="Q80" s="21">
        <f t="shared" si="8"/>
        <v>0.68700000000000017</v>
      </c>
      <c r="R80" s="6"/>
    </row>
    <row r="81" spans="2:18" ht="73.5" customHeight="1" x14ac:dyDescent="0.45">
      <c r="B81" s="22" t="s">
        <v>143</v>
      </c>
      <c r="C81" s="22" t="s">
        <v>35</v>
      </c>
      <c r="D81" s="151">
        <v>509</v>
      </c>
      <c r="E81" s="20">
        <f>'Work Progress (%)'!G90</f>
        <v>1</v>
      </c>
      <c r="F81" s="20">
        <f>'Work Progress (%)'!L90</f>
        <v>1</v>
      </c>
      <c r="G81" s="20">
        <f>'Work Progress (%)'!Y90</f>
        <v>1.0000000000000002</v>
      </c>
      <c r="H81" s="20">
        <f>'Work Progress (%)'!AD90</f>
        <v>0.5</v>
      </c>
      <c r="I81" s="20">
        <f>'Work Progress (%)'!AI90</f>
        <v>0.7</v>
      </c>
      <c r="J81" s="20">
        <f>'Work Progress (%)'!AQ90</f>
        <v>0.255</v>
      </c>
      <c r="K81" s="20">
        <f>'Work Progress (%)'!AV90</f>
        <v>0</v>
      </c>
      <c r="L81" s="20">
        <f>'Work Progress (%)'!BD90</f>
        <v>0</v>
      </c>
      <c r="M81" s="20">
        <v>0.7</v>
      </c>
      <c r="N81" s="20">
        <v>1</v>
      </c>
      <c r="O81" s="20">
        <v>0.2</v>
      </c>
      <c r="P81" s="20">
        <v>0.7</v>
      </c>
      <c r="Q81" s="21">
        <f t="shared" si="8"/>
        <v>0.68700000000000017</v>
      </c>
      <c r="R81" s="6"/>
    </row>
    <row r="82" spans="2:18" ht="73.5" customHeight="1" x14ac:dyDescent="0.45">
      <c r="B82" s="22" t="s">
        <v>143</v>
      </c>
      <c r="C82" s="22" t="s">
        <v>35</v>
      </c>
      <c r="D82" s="151">
        <v>510</v>
      </c>
      <c r="E82" s="20">
        <f>'Work Progress (%)'!G91</f>
        <v>1</v>
      </c>
      <c r="F82" s="20">
        <f>'Work Progress (%)'!L91</f>
        <v>1</v>
      </c>
      <c r="G82" s="20">
        <f>'Work Progress (%)'!Y91</f>
        <v>1.0000000000000002</v>
      </c>
      <c r="H82" s="20">
        <f>'Work Progress (%)'!AD91</f>
        <v>0.5</v>
      </c>
      <c r="I82" s="20">
        <f>'Work Progress (%)'!AI91</f>
        <v>1</v>
      </c>
      <c r="J82" s="20">
        <f>'Work Progress (%)'!AQ91</f>
        <v>0.3075</v>
      </c>
      <c r="K82" s="20">
        <f>'Work Progress (%)'!AV91</f>
        <v>0</v>
      </c>
      <c r="L82" s="20">
        <f>'Work Progress (%)'!BD91</f>
        <v>0</v>
      </c>
      <c r="M82" s="20">
        <v>0.7</v>
      </c>
      <c r="N82" s="20">
        <v>1</v>
      </c>
      <c r="O82" s="20">
        <v>0.2</v>
      </c>
      <c r="P82" s="20">
        <v>0.7</v>
      </c>
      <c r="Q82" s="21">
        <f t="shared" si="8"/>
        <v>0.72750000000000015</v>
      </c>
      <c r="R82" s="6"/>
    </row>
    <row r="83" spans="2:18" ht="73.5" customHeight="1" x14ac:dyDescent="0.45">
      <c r="B83" s="22" t="s">
        <v>143</v>
      </c>
      <c r="C83" s="22" t="s">
        <v>35</v>
      </c>
      <c r="D83" s="151">
        <v>511</v>
      </c>
      <c r="E83" s="20">
        <f>'Work Progress (%)'!G92</f>
        <v>1</v>
      </c>
      <c r="F83" s="20">
        <f>'Work Progress (%)'!L92</f>
        <v>1</v>
      </c>
      <c r="G83" s="20">
        <f>'Work Progress (%)'!Y92</f>
        <v>1.0000000000000002</v>
      </c>
      <c r="H83" s="20">
        <f>'Work Progress (%)'!AD92</f>
        <v>0.5</v>
      </c>
      <c r="I83" s="20">
        <f>'Work Progress (%)'!AI92</f>
        <v>0.64500000000000002</v>
      </c>
      <c r="J83" s="20">
        <f>'Work Progress (%)'!AQ92</f>
        <v>0.105</v>
      </c>
      <c r="K83" s="20">
        <f>'Work Progress (%)'!AV92</f>
        <v>0</v>
      </c>
      <c r="L83" s="20">
        <f>'Work Progress (%)'!BD92</f>
        <v>0</v>
      </c>
      <c r="M83" s="20">
        <v>0.7</v>
      </c>
      <c r="N83" s="20">
        <v>1</v>
      </c>
      <c r="O83" s="20">
        <v>0.2</v>
      </c>
      <c r="P83" s="20">
        <v>0.7</v>
      </c>
      <c r="Q83" s="21">
        <f t="shared" si="8"/>
        <v>0.65150000000000019</v>
      </c>
      <c r="R83" s="6"/>
    </row>
    <row r="84" spans="2:18" ht="73.5" customHeight="1" x14ac:dyDescent="0.45">
      <c r="B84" s="22" t="s">
        <v>143</v>
      </c>
      <c r="C84" s="22" t="s">
        <v>35</v>
      </c>
      <c r="D84" s="151">
        <v>512</v>
      </c>
      <c r="E84" s="20">
        <f>'Work Progress (%)'!G93</f>
        <v>1</v>
      </c>
      <c r="F84" s="20">
        <f>'Work Progress (%)'!L93</f>
        <v>0.11</v>
      </c>
      <c r="G84" s="20">
        <f>'Work Progress (%)'!Y93</f>
        <v>1.0000000000000002</v>
      </c>
      <c r="H84" s="20">
        <f>'Work Progress (%)'!AD93</f>
        <v>0.5</v>
      </c>
      <c r="I84" s="20">
        <f>'Work Progress (%)'!AI93</f>
        <v>1</v>
      </c>
      <c r="J84" s="20">
        <f>'Work Progress (%)'!AQ93</f>
        <v>0</v>
      </c>
      <c r="K84" s="20">
        <f>'Work Progress (%)'!AV93</f>
        <v>0</v>
      </c>
      <c r="L84" s="20">
        <f>'Work Progress (%)'!BD93</f>
        <v>0</v>
      </c>
      <c r="M84" s="20">
        <v>0.7</v>
      </c>
      <c r="N84" s="20">
        <v>1</v>
      </c>
      <c r="O84" s="20">
        <v>0.2</v>
      </c>
      <c r="P84" s="20">
        <v>0.7</v>
      </c>
      <c r="Q84" s="21">
        <f t="shared" si="8"/>
        <v>0.53250000000000008</v>
      </c>
      <c r="R84" s="6"/>
    </row>
    <row r="85" spans="2:18" ht="73.5" customHeight="1" x14ac:dyDescent="0.45">
      <c r="B85" s="22" t="s">
        <v>143</v>
      </c>
      <c r="C85" s="22" t="s">
        <v>35</v>
      </c>
      <c r="D85" s="151">
        <v>513</v>
      </c>
      <c r="E85" s="20">
        <f>'Work Progress (%)'!G94</f>
        <v>1</v>
      </c>
      <c r="F85" s="20">
        <f>'Work Progress (%)'!L94</f>
        <v>1</v>
      </c>
      <c r="G85" s="20">
        <f>'Work Progress (%)'!Y94</f>
        <v>1.0000000000000002</v>
      </c>
      <c r="H85" s="20">
        <f>'Work Progress (%)'!AD94</f>
        <v>0.5</v>
      </c>
      <c r="I85" s="20">
        <f>'Work Progress (%)'!AI94</f>
        <v>0.71499999999999997</v>
      </c>
      <c r="J85" s="20">
        <f>'Work Progress (%)'!AQ94</f>
        <v>0.21</v>
      </c>
      <c r="K85" s="20">
        <f>'Work Progress (%)'!AV94</f>
        <v>0</v>
      </c>
      <c r="L85" s="20">
        <f>'Work Progress (%)'!BD94</f>
        <v>0</v>
      </c>
      <c r="M85" s="20">
        <v>0.7</v>
      </c>
      <c r="N85" s="20">
        <v>1</v>
      </c>
      <c r="O85" s="20">
        <v>0.2</v>
      </c>
      <c r="P85" s="20">
        <v>0.7</v>
      </c>
      <c r="Q85" s="21">
        <f t="shared" si="8"/>
        <v>0.67950000000000021</v>
      </c>
      <c r="R85" s="6"/>
    </row>
    <row r="86" spans="2:18" ht="73.5" customHeight="1" x14ac:dyDescent="0.45">
      <c r="B86" s="22" t="s">
        <v>143</v>
      </c>
      <c r="C86" s="22" t="s">
        <v>35</v>
      </c>
      <c r="D86" s="151">
        <v>514</v>
      </c>
      <c r="E86" s="20">
        <f>'Work Progress (%)'!G95</f>
        <v>1</v>
      </c>
      <c r="F86" s="20">
        <f>'Work Progress (%)'!L95</f>
        <v>1</v>
      </c>
      <c r="G86" s="20">
        <f>'Work Progress (%)'!Y95</f>
        <v>1.0000000000000002</v>
      </c>
      <c r="H86" s="20">
        <f>'Work Progress (%)'!AD95</f>
        <v>0.5</v>
      </c>
      <c r="I86" s="20">
        <f>'Work Progress (%)'!AI95</f>
        <v>0.89500000000000002</v>
      </c>
      <c r="J86" s="20">
        <f>'Work Progress (%)'!AQ95</f>
        <v>0.105</v>
      </c>
      <c r="K86" s="20">
        <f>'Work Progress (%)'!AV95</f>
        <v>0</v>
      </c>
      <c r="L86" s="20">
        <f>'Work Progress (%)'!BD95</f>
        <v>0</v>
      </c>
      <c r="M86" s="20">
        <v>0.7</v>
      </c>
      <c r="N86" s="20">
        <v>1</v>
      </c>
      <c r="O86" s="20">
        <v>0.2</v>
      </c>
      <c r="P86" s="20">
        <v>0.7</v>
      </c>
      <c r="Q86" s="21">
        <f t="shared" si="8"/>
        <v>0.67650000000000021</v>
      </c>
      <c r="R86" s="6"/>
    </row>
    <row r="87" spans="2:18" ht="73.5" customHeight="1" x14ac:dyDescent="0.45">
      <c r="B87" s="22" t="s">
        <v>143</v>
      </c>
      <c r="C87" s="22" t="s">
        <v>35</v>
      </c>
      <c r="D87" s="151">
        <v>515</v>
      </c>
      <c r="E87" s="20">
        <f>'Work Progress (%)'!G96</f>
        <v>1</v>
      </c>
      <c r="F87" s="20">
        <f>'Work Progress (%)'!L96</f>
        <v>1</v>
      </c>
      <c r="G87" s="20">
        <f>'Work Progress (%)'!Y96</f>
        <v>1.0000000000000002</v>
      </c>
      <c r="H87" s="20">
        <f>'Work Progress (%)'!AD96</f>
        <v>0.5</v>
      </c>
      <c r="I87" s="20">
        <f>'Work Progress (%)'!AI96</f>
        <v>0.49</v>
      </c>
      <c r="J87" s="20">
        <f>'Work Progress (%)'!AQ96</f>
        <v>0.26250000000000001</v>
      </c>
      <c r="K87" s="20">
        <f>'Work Progress (%)'!AV96</f>
        <v>0</v>
      </c>
      <c r="L87" s="20">
        <f>'Work Progress (%)'!BD96</f>
        <v>0</v>
      </c>
      <c r="M87" s="20">
        <v>0.7</v>
      </c>
      <c r="N87" s="20">
        <v>1</v>
      </c>
      <c r="O87" s="20">
        <v>0.2</v>
      </c>
      <c r="P87" s="20">
        <v>0.7</v>
      </c>
      <c r="Q87" s="21">
        <f t="shared" si="8"/>
        <v>0.6675000000000002</v>
      </c>
      <c r="R87" s="6"/>
    </row>
    <row r="88" spans="2:18" ht="73.5" customHeight="1" x14ac:dyDescent="0.45">
      <c r="B88" s="22" t="s">
        <v>143</v>
      </c>
      <c r="C88" s="22" t="s">
        <v>35</v>
      </c>
      <c r="D88" s="151">
        <v>516</v>
      </c>
      <c r="E88" s="20">
        <f>'Work Progress (%)'!G97</f>
        <v>1</v>
      </c>
      <c r="F88" s="20">
        <f>'Work Progress (%)'!L97</f>
        <v>1</v>
      </c>
      <c r="G88" s="20">
        <f>'Work Progress (%)'!Y97</f>
        <v>1.0000000000000002</v>
      </c>
      <c r="H88" s="20">
        <f>'Work Progress (%)'!AD97</f>
        <v>0.5</v>
      </c>
      <c r="I88" s="20">
        <f>'Work Progress (%)'!AI97</f>
        <v>1</v>
      </c>
      <c r="J88" s="20">
        <f>'Work Progress (%)'!AQ97</f>
        <v>0.3075</v>
      </c>
      <c r="K88" s="20">
        <f>'Work Progress (%)'!AV97</f>
        <v>0</v>
      </c>
      <c r="L88" s="20">
        <f>'Work Progress (%)'!BD97</f>
        <v>0</v>
      </c>
      <c r="M88" s="20">
        <v>0.7</v>
      </c>
      <c r="N88" s="20">
        <v>1</v>
      </c>
      <c r="O88" s="20">
        <v>0.2</v>
      </c>
      <c r="P88" s="20">
        <v>0.7</v>
      </c>
      <c r="Q88" s="21">
        <f t="shared" si="8"/>
        <v>0.72750000000000015</v>
      </c>
      <c r="R88" s="6"/>
    </row>
    <row r="89" spans="2:18" ht="73.5" customHeight="1" x14ac:dyDescent="0.45">
      <c r="B89" s="22" t="s">
        <v>143</v>
      </c>
      <c r="C89" s="22"/>
      <c r="D89" s="154" t="s">
        <v>36</v>
      </c>
      <c r="E89" s="141">
        <f>AVERAGE(E91:E105)</f>
        <v>1</v>
      </c>
      <c r="F89" s="141">
        <f t="shared" ref="F89:P89" si="9">AVERAGE(F91:F105)</f>
        <v>0.94933333333333336</v>
      </c>
      <c r="G89" s="20">
        <f t="shared" si="9"/>
        <v>0.99933333333333352</v>
      </c>
      <c r="H89" s="141">
        <f t="shared" si="9"/>
        <v>0.5</v>
      </c>
      <c r="I89" s="141">
        <f t="shared" si="9"/>
        <v>0.71233333333333337</v>
      </c>
      <c r="J89" s="141">
        <f t="shared" si="9"/>
        <v>0.13299999999999998</v>
      </c>
      <c r="K89" s="141">
        <f t="shared" si="9"/>
        <v>0</v>
      </c>
      <c r="L89" s="141">
        <f t="shared" si="9"/>
        <v>0</v>
      </c>
      <c r="M89" s="141">
        <f t="shared" si="9"/>
        <v>0.69999999999999984</v>
      </c>
      <c r="N89" s="141">
        <f t="shared" si="9"/>
        <v>1</v>
      </c>
      <c r="O89" s="141">
        <f t="shared" si="9"/>
        <v>0.20000000000000004</v>
      </c>
      <c r="P89" s="141">
        <f t="shared" si="9"/>
        <v>0.69999999999999984</v>
      </c>
      <c r="Q89" s="14">
        <f>AVERAGE(Q90:Q105)</f>
        <v>0.65358125000000011</v>
      </c>
      <c r="R89" s="12"/>
    </row>
    <row r="90" spans="2:18" ht="73.5" customHeight="1" x14ac:dyDescent="0.45">
      <c r="B90" s="22" t="s">
        <v>143</v>
      </c>
      <c r="C90" s="22" t="s">
        <v>37</v>
      </c>
      <c r="D90" s="151">
        <v>601</v>
      </c>
      <c r="E90" s="20">
        <f>'Work Progress (%)'!G99</f>
        <v>1</v>
      </c>
      <c r="F90" s="20">
        <f>'Work Progress (%)'!L99</f>
        <v>1</v>
      </c>
      <c r="G90" s="20">
        <f>'Work Progress (%)'!Y99</f>
        <v>1.0000000000000002</v>
      </c>
      <c r="H90" s="20">
        <f>'Work Progress (%)'!AD99</f>
        <v>0.5</v>
      </c>
      <c r="I90" s="20">
        <f>'Work Progress (%)'!AI99</f>
        <v>0.28999999999999998</v>
      </c>
      <c r="J90" s="20">
        <f>'Work Progress (%)'!AQ99</f>
        <v>0.105</v>
      </c>
      <c r="K90" s="20">
        <f>'Work Progress (%)'!AV99</f>
        <v>0</v>
      </c>
      <c r="L90" s="20">
        <f>'Work Progress (%)'!BD99</f>
        <v>0</v>
      </c>
      <c r="M90" s="20">
        <v>0.7</v>
      </c>
      <c r="N90" s="20">
        <v>1</v>
      </c>
      <c r="O90" s="20">
        <v>0.2</v>
      </c>
      <c r="P90" s="20">
        <v>0.7</v>
      </c>
      <c r="Q90" s="21">
        <f t="shared" ref="Q90:Q105" si="10">SUMPRODUCT(E90:P90, E$2:P$2)</f>
        <v>0.61600000000000021</v>
      </c>
      <c r="R90" s="6"/>
    </row>
    <row r="91" spans="2:18" ht="73.5" customHeight="1" x14ac:dyDescent="0.45">
      <c r="B91" s="22" t="s">
        <v>143</v>
      </c>
      <c r="C91" s="22" t="s">
        <v>37</v>
      </c>
      <c r="D91" s="151">
        <v>602</v>
      </c>
      <c r="E91" s="20">
        <f>'Work Progress (%)'!G100</f>
        <v>1</v>
      </c>
      <c r="F91" s="20">
        <f>'Work Progress (%)'!L100</f>
        <v>1</v>
      </c>
      <c r="G91" s="20">
        <f>'Work Progress (%)'!Y100</f>
        <v>1.0000000000000002</v>
      </c>
      <c r="H91" s="20">
        <f>'Work Progress (%)'!AD100</f>
        <v>0.5</v>
      </c>
      <c r="I91" s="20">
        <f>'Work Progress (%)'!AI100</f>
        <v>0.7</v>
      </c>
      <c r="J91" s="20">
        <f>'Work Progress (%)'!AQ100</f>
        <v>0.105</v>
      </c>
      <c r="K91" s="20">
        <f>'Work Progress (%)'!AV100</f>
        <v>0</v>
      </c>
      <c r="L91" s="20">
        <f>'Work Progress (%)'!BD100</f>
        <v>0</v>
      </c>
      <c r="M91" s="20">
        <v>0.7</v>
      </c>
      <c r="N91" s="20">
        <v>1</v>
      </c>
      <c r="O91" s="20">
        <v>0.2</v>
      </c>
      <c r="P91" s="20">
        <v>0.7</v>
      </c>
      <c r="Q91" s="21">
        <f t="shared" si="10"/>
        <v>0.65700000000000014</v>
      </c>
      <c r="R91" s="6"/>
    </row>
    <row r="92" spans="2:18" ht="73.5" customHeight="1" x14ac:dyDescent="0.45">
      <c r="B92" s="22" t="s">
        <v>143</v>
      </c>
      <c r="C92" s="22" t="s">
        <v>37</v>
      </c>
      <c r="D92" s="151">
        <v>603</v>
      </c>
      <c r="E92" s="20">
        <f>'Work Progress (%)'!G101</f>
        <v>1</v>
      </c>
      <c r="F92" s="20">
        <f>'Work Progress (%)'!L101</f>
        <v>0.52</v>
      </c>
      <c r="G92" s="20">
        <f>'Work Progress (%)'!Y101</f>
        <v>1.0000000000000002</v>
      </c>
      <c r="H92" s="20">
        <f>'Work Progress (%)'!AD101</f>
        <v>0.5</v>
      </c>
      <c r="I92" s="20">
        <f>'Work Progress (%)'!AI101</f>
        <v>0.71499999999999997</v>
      </c>
      <c r="J92" s="20">
        <f>'Work Progress (%)'!AQ101</f>
        <v>0.105</v>
      </c>
      <c r="K92" s="20">
        <f>'Work Progress (%)'!AV101</f>
        <v>0</v>
      </c>
      <c r="L92" s="20">
        <f>'Work Progress (%)'!BD101</f>
        <v>0</v>
      </c>
      <c r="M92" s="20">
        <v>0.7</v>
      </c>
      <c r="N92" s="20">
        <v>1</v>
      </c>
      <c r="O92" s="20">
        <v>0.2</v>
      </c>
      <c r="P92" s="20">
        <v>0.7</v>
      </c>
      <c r="Q92" s="21">
        <f t="shared" si="10"/>
        <v>0.58650000000000002</v>
      </c>
      <c r="R92" s="6"/>
    </row>
    <row r="93" spans="2:18" ht="73.5" customHeight="1" x14ac:dyDescent="0.45">
      <c r="B93" s="22" t="s">
        <v>143</v>
      </c>
      <c r="C93" s="22" t="s">
        <v>37</v>
      </c>
      <c r="D93" s="151">
        <v>604</v>
      </c>
      <c r="E93" s="20">
        <f>'Work Progress (%)'!G102</f>
        <v>1</v>
      </c>
      <c r="F93" s="20">
        <f>'Work Progress (%)'!L102</f>
        <v>0.91</v>
      </c>
      <c r="G93" s="20">
        <f>'Work Progress (%)'!Y102</f>
        <v>1.0000000000000002</v>
      </c>
      <c r="H93" s="20">
        <f>'Work Progress (%)'!AD102</f>
        <v>0.5</v>
      </c>
      <c r="I93" s="20">
        <f>'Work Progress (%)'!AI102</f>
        <v>0.68499999999999994</v>
      </c>
      <c r="J93" s="20">
        <f>'Work Progress (%)'!AQ102</f>
        <v>0.105</v>
      </c>
      <c r="K93" s="20">
        <f>'Work Progress (%)'!AV102</f>
        <v>0</v>
      </c>
      <c r="L93" s="20">
        <f>'Work Progress (%)'!BD102</f>
        <v>0</v>
      </c>
      <c r="M93" s="20">
        <v>0.7</v>
      </c>
      <c r="N93" s="20">
        <v>1</v>
      </c>
      <c r="O93" s="20">
        <v>0.2</v>
      </c>
      <c r="P93" s="20">
        <v>0.7</v>
      </c>
      <c r="Q93" s="21">
        <f t="shared" si="10"/>
        <v>0.64200000000000013</v>
      </c>
      <c r="R93" s="6"/>
    </row>
    <row r="94" spans="2:18" ht="73.5" customHeight="1" x14ac:dyDescent="0.45">
      <c r="B94" s="22" t="s">
        <v>143</v>
      </c>
      <c r="C94" s="22" t="s">
        <v>37</v>
      </c>
      <c r="D94" s="151">
        <v>605</v>
      </c>
      <c r="E94" s="20">
        <f>'Work Progress (%)'!G103</f>
        <v>1</v>
      </c>
      <c r="F94" s="20">
        <f>'Work Progress (%)'!L103</f>
        <v>1</v>
      </c>
      <c r="G94" s="20">
        <f>'Work Progress (%)'!Y103</f>
        <v>1.0000000000000002</v>
      </c>
      <c r="H94" s="20">
        <f>'Work Progress (%)'!AD103</f>
        <v>0.5</v>
      </c>
      <c r="I94" s="20">
        <f>'Work Progress (%)'!AI103</f>
        <v>0.71499999999999997</v>
      </c>
      <c r="J94" s="20">
        <f>'Work Progress (%)'!AQ103</f>
        <v>0.105</v>
      </c>
      <c r="K94" s="20">
        <f>'Work Progress (%)'!AV103</f>
        <v>0</v>
      </c>
      <c r="L94" s="20">
        <f>'Work Progress (%)'!BD103</f>
        <v>0</v>
      </c>
      <c r="M94" s="20">
        <v>0.7</v>
      </c>
      <c r="N94" s="20">
        <v>1</v>
      </c>
      <c r="O94" s="20">
        <v>0.2</v>
      </c>
      <c r="P94" s="20">
        <v>0.7</v>
      </c>
      <c r="Q94" s="21">
        <f t="shared" si="10"/>
        <v>0.6585000000000002</v>
      </c>
      <c r="R94" s="6"/>
    </row>
    <row r="95" spans="2:18" ht="73.5" customHeight="1" x14ac:dyDescent="0.45">
      <c r="B95" s="22" t="s">
        <v>143</v>
      </c>
      <c r="C95" s="22" t="s">
        <v>37</v>
      </c>
      <c r="D95" s="151">
        <v>606</v>
      </c>
      <c r="E95" s="20">
        <f>'Work Progress (%)'!G104</f>
        <v>1</v>
      </c>
      <c r="F95" s="20">
        <f>'Work Progress (%)'!L104</f>
        <v>0.91</v>
      </c>
      <c r="G95" s="20">
        <f>'Work Progress (%)'!Y104</f>
        <v>1.0000000000000002</v>
      </c>
      <c r="H95" s="20">
        <f>'Work Progress (%)'!AD104</f>
        <v>0.5</v>
      </c>
      <c r="I95" s="20">
        <f>'Work Progress (%)'!AI104</f>
        <v>0.68499999999999994</v>
      </c>
      <c r="J95" s="20">
        <f>'Work Progress (%)'!AQ104</f>
        <v>0.105</v>
      </c>
      <c r="K95" s="20">
        <f>'Work Progress (%)'!AV104</f>
        <v>0</v>
      </c>
      <c r="L95" s="20">
        <f>'Work Progress (%)'!BD104</f>
        <v>0</v>
      </c>
      <c r="M95" s="20">
        <v>0.7</v>
      </c>
      <c r="N95" s="20">
        <v>1</v>
      </c>
      <c r="O95" s="20">
        <v>0.2</v>
      </c>
      <c r="P95" s="20">
        <v>0.7</v>
      </c>
      <c r="Q95" s="21">
        <f t="shared" si="10"/>
        <v>0.64200000000000013</v>
      </c>
      <c r="R95" s="6"/>
    </row>
    <row r="96" spans="2:18" ht="73.5" customHeight="1" x14ac:dyDescent="0.45">
      <c r="B96" s="22" t="s">
        <v>143</v>
      </c>
      <c r="C96" s="22" t="s">
        <v>37</v>
      </c>
      <c r="D96" s="151">
        <v>607</v>
      </c>
      <c r="E96" s="20">
        <f>'Work Progress (%)'!G105</f>
        <v>1</v>
      </c>
      <c r="F96" s="20">
        <f>'Work Progress (%)'!L105</f>
        <v>1</v>
      </c>
      <c r="G96" s="20">
        <f>'Work Progress (%)'!Y105</f>
        <v>1.0000000000000002</v>
      </c>
      <c r="H96" s="20">
        <f>'Work Progress (%)'!AD105</f>
        <v>0.5</v>
      </c>
      <c r="I96" s="20">
        <f>'Work Progress (%)'!AI105</f>
        <v>0.71499999999999997</v>
      </c>
      <c r="J96" s="20">
        <f>'Work Progress (%)'!AQ105</f>
        <v>0.21</v>
      </c>
      <c r="K96" s="20">
        <f>'Work Progress (%)'!AV105</f>
        <v>0</v>
      </c>
      <c r="L96" s="20">
        <f>'Work Progress (%)'!BD105</f>
        <v>0</v>
      </c>
      <c r="M96" s="20">
        <v>0.7</v>
      </c>
      <c r="N96" s="20">
        <v>1</v>
      </c>
      <c r="O96" s="20">
        <v>0.2</v>
      </c>
      <c r="P96" s="20">
        <v>0.7</v>
      </c>
      <c r="Q96" s="21">
        <f t="shared" si="10"/>
        <v>0.67950000000000021</v>
      </c>
      <c r="R96" s="6"/>
    </row>
    <row r="97" spans="2:18" ht="73.5" customHeight="1" x14ac:dyDescent="0.45">
      <c r="B97" s="22" t="s">
        <v>143</v>
      </c>
      <c r="C97" s="22" t="s">
        <v>37</v>
      </c>
      <c r="D97" s="151">
        <v>608</v>
      </c>
      <c r="E97" s="20">
        <f>'Work Progress (%)'!G106</f>
        <v>1</v>
      </c>
      <c r="F97" s="20">
        <f>'Work Progress (%)'!L106</f>
        <v>0.9</v>
      </c>
      <c r="G97" s="20">
        <f>'Work Progress (%)'!Y106</f>
        <v>1.0000000000000002</v>
      </c>
      <c r="H97" s="20">
        <f>'Work Progress (%)'!AD106</f>
        <v>0.5</v>
      </c>
      <c r="I97" s="20">
        <f>'Work Progress (%)'!AI106</f>
        <v>0.7</v>
      </c>
      <c r="J97" s="20">
        <f>'Work Progress (%)'!AQ106</f>
        <v>0.315</v>
      </c>
      <c r="K97" s="20">
        <f>'Work Progress (%)'!AV106</f>
        <v>0</v>
      </c>
      <c r="L97" s="20">
        <f>'Work Progress (%)'!BD106</f>
        <v>0</v>
      </c>
      <c r="M97" s="20">
        <v>0.7</v>
      </c>
      <c r="N97" s="20">
        <v>1</v>
      </c>
      <c r="O97" s="20">
        <v>0.2</v>
      </c>
      <c r="P97" s="20">
        <v>0.7</v>
      </c>
      <c r="Q97" s="21">
        <f t="shared" si="10"/>
        <v>0.68400000000000016</v>
      </c>
      <c r="R97" s="6"/>
    </row>
    <row r="98" spans="2:18" ht="73.5" customHeight="1" x14ac:dyDescent="0.45">
      <c r="B98" s="22" t="s">
        <v>143</v>
      </c>
      <c r="C98" s="22" t="s">
        <v>37</v>
      </c>
      <c r="D98" s="151">
        <v>609</v>
      </c>
      <c r="E98" s="20">
        <f>'Work Progress (%)'!G107</f>
        <v>1</v>
      </c>
      <c r="F98" s="20">
        <f>'Work Progress (%)'!L107</f>
        <v>1</v>
      </c>
      <c r="G98" s="20">
        <f>'Work Progress (%)'!Y107</f>
        <v>1.0000000000000002</v>
      </c>
      <c r="H98" s="20">
        <f>'Work Progress (%)'!AD107</f>
        <v>0.5</v>
      </c>
      <c r="I98" s="20">
        <f>'Work Progress (%)'!AI107</f>
        <v>0.71499999999999997</v>
      </c>
      <c r="J98" s="20">
        <f>'Work Progress (%)'!AQ107</f>
        <v>0.105</v>
      </c>
      <c r="K98" s="20">
        <f>'Work Progress (%)'!AV107</f>
        <v>0</v>
      </c>
      <c r="L98" s="20">
        <f>'Work Progress (%)'!BD107</f>
        <v>0</v>
      </c>
      <c r="M98" s="20">
        <v>0.7</v>
      </c>
      <c r="N98" s="20">
        <v>1</v>
      </c>
      <c r="O98" s="20">
        <v>0.2</v>
      </c>
      <c r="P98" s="20">
        <v>0.7</v>
      </c>
      <c r="Q98" s="21">
        <f t="shared" si="10"/>
        <v>0.6585000000000002</v>
      </c>
      <c r="R98" s="6"/>
    </row>
    <row r="99" spans="2:18" ht="73.5" customHeight="1" x14ac:dyDescent="0.45">
      <c r="B99" s="22" t="s">
        <v>143</v>
      </c>
      <c r="C99" s="22" t="s">
        <v>37</v>
      </c>
      <c r="D99" s="151">
        <v>610</v>
      </c>
      <c r="E99" s="20">
        <f>'Work Progress (%)'!G108</f>
        <v>1</v>
      </c>
      <c r="F99" s="20">
        <f>'Work Progress (%)'!L108</f>
        <v>1</v>
      </c>
      <c r="G99" s="20">
        <f>'Work Progress (%)'!Y108</f>
        <v>1.0000000000000002</v>
      </c>
      <c r="H99" s="20">
        <f>'Work Progress (%)'!AD108</f>
        <v>0.5</v>
      </c>
      <c r="I99" s="20">
        <f>'Work Progress (%)'!AI108</f>
        <v>1</v>
      </c>
      <c r="J99" s="20">
        <f>'Work Progress (%)'!AQ108</f>
        <v>0.21</v>
      </c>
      <c r="K99" s="20">
        <f>'Work Progress (%)'!AV108</f>
        <v>0</v>
      </c>
      <c r="L99" s="20">
        <f>'Work Progress (%)'!BD108</f>
        <v>0</v>
      </c>
      <c r="M99" s="20">
        <v>0.7</v>
      </c>
      <c r="N99" s="20">
        <v>1</v>
      </c>
      <c r="O99" s="20">
        <v>0.2</v>
      </c>
      <c r="P99" s="20">
        <v>0.7</v>
      </c>
      <c r="Q99" s="21">
        <f t="shared" si="10"/>
        <v>0.70800000000000018</v>
      </c>
      <c r="R99" s="6"/>
    </row>
    <row r="100" spans="2:18" ht="73.5" customHeight="1" x14ac:dyDescent="0.45">
      <c r="B100" s="22" t="s">
        <v>143</v>
      </c>
      <c r="C100" s="22" t="s">
        <v>37</v>
      </c>
      <c r="D100" s="151">
        <v>611</v>
      </c>
      <c r="E100" s="20">
        <f>'Work Progress (%)'!G109</f>
        <v>1</v>
      </c>
      <c r="F100" s="20">
        <f>'Work Progress (%)'!L109</f>
        <v>1</v>
      </c>
      <c r="G100" s="20">
        <f>'Work Progress (%)'!Y109</f>
        <v>0.99500000000000011</v>
      </c>
      <c r="H100" s="20">
        <f>'Work Progress (%)'!AD109</f>
        <v>0.5</v>
      </c>
      <c r="I100" s="20">
        <f>'Work Progress (%)'!AI109</f>
        <v>0.71499999999999997</v>
      </c>
      <c r="J100" s="20">
        <f>'Work Progress (%)'!AQ109</f>
        <v>0.105</v>
      </c>
      <c r="K100" s="20">
        <f>'Work Progress (%)'!AV109</f>
        <v>0</v>
      </c>
      <c r="L100" s="20">
        <f>'Work Progress (%)'!BD109</f>
        <v>0</v>
      </c>
      <c r="M100" s="20">
        <v>0.7</v>
      </c>
      <c r="N100" s="20">
        <v>1</v>
      </c>
      <c r="O100" s="20">
        <v>0.2</v>
      </c>
      <c r="P100" s="20">
        <v>0.7</v>
      </c>
      <c r="Q100" s="21">
        <f t="shared" si="10"/>
        <v>0.6574000000000001</v>
      </c>
      <c r="R100" s="6"/>
    </row>
    <row r="101" spans="2:18" ht="73.5" customHeight="1" x14ac:dyDescent="0.45">
      <c r="B101" s="22" t="s">
        <v>143</v>
      </c>
      <c r="C101" s="22" t="s">
        <v>37</v>
      </c>
      <c r="D101" s="151">
        <v>612</v>
      </c>
      <c r="E101" s="20">
        <f>'Work Progress (%)'!G110</f>
        <v>1</v>
      </c>
      <c r="F101" s="20">
        <f>'Work Progress (%)'!L110</f>
        <v>1</v>
      </c>
      <c r="G101" s="20">
        <f>'Work Progress (%)'!Y110</f>
        <v>1.0000000000000002</v>
      </c>
      <c r="H101" s="20">
        <f>'Work Progress (%)'!AD110</f>
        <v>0.5</v>
      </c>
      <c r="I101" s="20">
        <f>'Work Progress (%)'!AI110</f>
        <v>1</v>
      </c>
      <c r="J101" s="20">
        <f>'Work Progress (%)'!AQ110</f>
        <v>0.105</v>
      </c>
      <c r="K101" s="20">
        <f>'Work Progress (%)'!AV110</f>
        <v>0</v>
      </c>
      <c r="L101" s="20">
        <f>'Work Progress (%)'!BD110</f>
        <v>0</v>
      </c>
      <c r="M101" s="20">
        <v>0.7</v>
      </c>
      <c r="N101" s="20">
        <v>1</v>
      </c>
      <c r="O101" s="20">
        <v>0.2</v>
      </c>
      <c r="P101" s="20">
        <v>0.7</v>
      </c>
      <c r="Q101" s="21">
        <f t="shared" si="10"/>
        <v>0.68700000000000017</v>
      </c>
      <c r="R101" s="6"/>
    </row>
    <row r="102" spans="2:18" ht="73.5" customHeight="1" x14ac:dyDescent="0.45">
      <c r="B102" s="22" t="s">
        <v>143</v>
      </c>
      <c r="C102" s="22" t="s">
        <v>37</v>
      </c>
      <c r="D102" s="151">
        <v>613</v>
      </c>
      <c r="E102" s="20">
        <f>'Work Progress (%)'!G111</f>
        <v>1</v>
      </c>
      <c r="F102" s="20">
        <f>'Work Progress (%)'!L111</f>
        <v>1</v>
      </c>
      <c r="G102" s="20">
        <f>'Work Progress (%)'!Y111</f>
        <v>1.0000000000000002</v>
      </c>
      <c r="H102" s="20">
        <f>'Work Progress (%)'!AD111</f>
        <v>0.5</v>
      </c>
      <c r="I102" s="20">
        <f>'Work Progress (%)'!AI111</f>
        <v>0.505</v>
      </c>
      <c r="J102" s="20">
        <f>'Work Progress (%)'!AQ111</f>
        <v>0.105</v>
      </c>
      <c r="K102" s="20">
        <f>'Work Progress (%)'!AV111</f>
        <v>0</v>
      </c>
      <c r="L102" s="20">
        <f>'Work Progress (%)'!BD111</f>
        <v>0</v>
      </c>
      <c r="M102" s="20">
        <v>0.7</v>
      </c>
      <c r="N102" s="20">
        <v>1</v>
      </c>
      <c r="O102" s="20">
        <v>0.2</v>
      </c>
      <c r="P102" s="20">
        <v>0.7</v>
      </c>
      <c r="Q102" s="21">
        <f t="shared" si="10"/>
        <v>0.63750000000000018</v>
      </c>
      <c r="R102" s="6"/>
    </row>
    <row r="103" spans="2:18" ht="73.5" customHeight="1" x14ac:dyDescent="0.45">
      <c r="B103" s="22" t="s">
        <v>143</v>
      </c>
      <c r="C103" s="22" t="s">
        <v>37</v>
      </c>
      <c r="D103" s="151">
        <v>614</v>
      </c>
      <c r="E103" s="20">
        <f>'Work Progress (%)'!G112</f>
        <v>1</v>
      </c>
      <c r="F103" s="20">
        <f>'Work Progress (%)'!L112</f>
        <v>1</v>
      </c>
      <c r="G103" s="20">
        <f>'Work Progress (%)'!Y112</f>
        <v>1.0000000000000002</v>
      </c>
      <c r="H103" s="20">
        <f>'Work Progress (%)'!AD112</f>
        <v>0.5</v>
      </c>
      <c r="I103" s="20">
        <f>'Work Progress (%)'!AI112</f>
        <v>1</v>
      </c>
      <c r="J103" s="20">
        <f>'Work Progress (%)'!AQ112</f>
        <v>0.105</v>
      </c>
      <c r="K103" s="20">
        <f>'Work Progress (%)'!AV112</f>
        <v>0</v>
      </c>
      <c r="L103" s="20">
        <f>'Work Progress (%)'!BD112</f>
        <v>0</v>
      </c>
      <c r="M103" s="20">
        <v>0.7</v>
      </c>
      <c r="N103" s="20">
        <v>1</v>
      </c>
      <c r="O103" s="20">
        <v>0.2</v>
      </c>
      <c r="P103" s="20">
        <v>0.7</v>
      </c>
      <c r="Q103" s="21">
        <f t="shared" si="10"/>
        <v>0.68700000000000017</v>
      </c>
      <c r="R103" s="6"/>
    </row>
    <row r="104" spans="2:18" ht="73.5" customHeight="1" x14ac:dyDescent="0.45">
      <c r="B104" s="22" t="s">
        <v>143</v>
      </c>
      <c r="C104" s="22" t="s">
        <v>37</v>
      </c>
      <c r="D104" s="151">
        <v>615</v>
      </c>
      <c r="E104" s="20">
        <f>'Work Progress (%)'!G113</f>
        <v>1</v>
      </c>
      <c r="F104" s="20">
        <f>'Work Progress (%)'!L113</f>
        <v>1</v>
      </c>
      <c r="G104" s="20">
        <f>'Work Progress (%)'!Y113</f>
        <v>1.0000000000000002</v>
      </c>
      <c r="H104" s="20">
        <f>'Work Progress (%)'!AD113</f>
        <v>0.5</v>
      </c>
      <c r="I104" s="20">
        <f>'Work Progress (%)'!AI113</f>
        <v>0.49</v>
      </c>
      <c r="J104" s="20">
        <f>'Work Progress (%)'!AQ113</f>
        <v>0.105</v>
      </c>
      <c r="K104" s="20">
        <f>'Work Progress (%)'!AV113</f>
        <v>0</v>
      </c>
      <c r="L104" s="20">
        <f>'Work Progress (%)'!BD113</f>
        <v>0</v>
      </c>
      <c r="M104" s="20">
        <v>0.7</v>
      </c>
      <c r="N104" s="20">
        <v>1</v>
      </c>
      <c r="O104" s="20">
        <v>0.2</v>
      </c>
      <c r="P104" s="20">
        <v>0.7</v>
      </c>
      <c r="Q104" s="21">
        <f t="shared" si="10"/>
        <v>0.63600000000000023</v>
      </c>
      <c r="R104" s="6"/>
    </row>
    <row r="105" spans="2:18" ht="73.5" customHeight="1" x14ac:dyDescent="0.45">
      <c r="B105" s="22" t="s">
        <v>143</v>
      </c>
      <c r="C105" s="22" t="s">
        <v>37</v>
      </c>
      <c r="D105" s="151">
        <v>616</v>
      </c>
      <c r="E105" s="20">
        <f>'Work Progress (%)'!G114</f>
        <v>1</v>
      </c>
      <c r="F105" s="20">
        <f>'Work Progress (%)'!L114</f>
        <v>1</v>
      </c>
      <c r="G105" s="20">
        <f>'Work Progress (%)'!Y114</f>
        <v>0.99500000000000011</v>
      </c>
      <c r="H105" s="20">
        <f>'Work Progress (%)'!AD114</f>
        <v>0.5</v>
      </c>
      <c r="I105" s="20">
        <f>'Work Progress (%)'!AI114</f>
        <v>0.34499999999999997</v>
      </c>
      <c r="J105" s="20">
        <f>'Work Progress (%)'!AQ114</f>
        <v>0.105</v>
      </c>
      <c r="K105" s="20">
        <f>'Work Progress (%)'!AV114</f>
        <v>0</v>
      </c>
      <c r="L105" s="20">
        <f>'Work Progress (%)'!BD114</f>
        <v>0</v>
      </c>
      <c r="M105" s="20">
        <v>0.7</v>
      </c>
      <c r="N105" s="20">
        <v>1</v>
      </c>
      <c r="O105" s="20">
        <v>0.2</v>
      </c>
      <c r="P105" s="20">
        <v>0.7</v>
      </c>
      <c r="Q105" s="21">
        <f t="shared" si="10"/>
        <v>0.62040000000000006</v>
      </c>
      <c r="R105" s="6"/>
    </row>
    <row r="106" spans="2:18" ht="73.5" customHeight="1" x14ac:dyDescent="0.45">
      <c r="B106" s="22" t="s">
        <v>143</v>
      </c>
      <c r="C106" s="22"/>
      <c r="D106" s="154" t="s">
        <v>38</v>
      </c>
      <c r="E106" s="141">
        <f>AVERAGE(E108:E122)</f>
        <v>1</v>
      </c>
      <c r="F106" s="141">
        <f t="shared" ref="F106:P106" si="11">AVERAGE(F108:F122)</f>
        <v>0.9913333333333334</v>
      </c>
      <c r="G106" s="20">
        <f t="shared" si="11"/>
        <v>0.98750000000000038</v>
      </c>
      <c r="H106" s="141">
        <f t="shared" si="11"/>
        <v>3.0000000000000006E-2</v>
      </c>
      <c r="I106" s="141">
        <f t="shared" si="11"/>
        <v>0.54133333333333344</v>
      </c>
      <c r="J106" s="141">
        <f t="shared" si="11"/>
        <v>3.3333333333333331E-3</v>
      </c>
      <c r="K106" s="141">
        <f t="shared" si="11"/>
        <v>0</v>
      </c>
      <c r="L106" s="141">
        <f t="shared" si="11"/>
        <v>0</v>
      </c>
      <c r="M106" s="141">
        <f t="shared" si="11"/>
        <v>0.69999999999999984</v>
      </c>
      <c r="N106" s="141">
        <f t="shared" si="11"/>
        <v>1</v>
      </c>
      <c r="O106" s="141">
        <f t="shared" si="11"/>
        <v>0.20000000000000004</v>
      </c>
      <c r="P106" s="141">
        <f t="shared" si="11"/>
        <v>0.69999999999999984</v>
      </c>
      <c r="Q106" s="14">
        <f>AVERAGE(Q107:Q122)</f>
        <v>0.56715312500000004</v>
      </c>
      <c r="R106" s="12"/>
    </row>
    <row r="107" spans="2:18" ht="73.5" customHeight="1" x14ac:dyDescent="0.45">
      <c r="B107" s="22" t="s">
        <v>143</v>
      </c>
      <c r="C107" s="22" t="s">
        <v>39</v>
      </c>
      <c r="D107" s="151">
        <v>701</v>
      </c>
      <c r="E107" s="20">
        <f>'Work Progress (%)'!G116</f>
        <v>1</v>
      </c>
      <c r="F107" s="20">
        <f>'Work Progress (%)'!L116</f>
        <v>0.98499999999999988</v>
      </c>
      <c r="G107" s="20">
        <f>'Work Progress (%)'!Y116</f>
        <v>0.99750000000000005</v>
      </c>
      <c r="H107" s="20">
        <f>'Work Progress (%)'!AD116</f>
        <v>0.10000000000000002</v>
      </c>
      <c r="I107" s="20">
        <f>'Work Progress (%)'!AI116</f>
        <v>0.05</v>
      </c>
      <c r="J107" s="20">
        <f>'Work Progress (%)'!AQ116</f>
        <v>0</v>
      </c>
      <c r="K107" s="20">
        <f>'Work Progress (%)'!AV116</f>
        <v>0</v>
      </c>
      <c r="L107" s="20">
        <f>'Work Progress (%)'!BD116</f>
        <v>0</v>
      </c>
      <c r="M107" s="20">
        <v>0.7</v>
      </c>
      <c r="N107" s="20">
        <v>1</v>
      </c>
      <c r="O107" s="20">
        <v>0.2</v>
      </c>
      <c r="P107" s="20">
        <v>0.7</v>
      </c>
      <c r="Q107" s="21">
        <f t="shared" ref="Q107:Q122" si="12">SUMPRODUCT(E107:P107, E$2:P$2)</f>
        <v>0.5282</v>
      </c>
      <c r="R107" s="6"/>
    </row>
    <row r="108" spans="2:18" ht="73.5" customHeight="1" x14ac:dyDescent="0.45">
      <c r="B108" s="22" t="s">
        <v>143</v>
      </c>
      <c r="C108" s="22" t="s">
        <v>39</v>
      </c>
      <c r="D108" s="151">
        <v>702</v>
      </c>
      <c r="E108" s="20">
        <f>'Work Progress (%)'!G117</f>
        <v>1</v>
      </c>
      <c r="F108" s="20">
        <f>'Work Progress (%)'!L117</f>
        <v>1</v>
      </c>
      <c r="G108" s="20">
        <f>'Work Progress (%)'!Y117</f>
        <v>0.99750000000000005</v>
      </c>
      <c r="H108" s="20">
        <f>'Work Progress (%)'!AD117</f>
        <v>0.10000000000000002</v>
      </c>
      <c r="I108" s="20">
        <f>'Work Progress (%)'!AI117</f>
        <v>0.26</v>
      </c>
      <c r="J108" s="20">
        <f>'Work Progress (%)'!AQ117</f>
        <v>0</v>
      </c>
      <c r="K108" s="20">
        <f>'Work Progress (%)'!AV117</f>
        <v>0</v>
      </c>
      <c r="L108" s="20">
        <f>'Work Progress (%)'!BD117</f>
        <v>0</v>
      </c>
      <c r="M108" s="20">
        <v>0.7</v>
      </c>
      <c r="N108" s="20">
        <v>1</v>
      </c>
      <c r="O108" s="20">
        <v>0.2</v>
      </c>
      <c r="P108" s="20">
        <v>0.7</v>
      </c>
      <c r="Q108" s="21">
        <f t="shared" si="12"/>
        <v>0.55145000000000011</v>
      </c>
      <c r="R108" s="6"/>
    </row>
    <row r="109" spans="2:18" ht="73.5" customHeight="1" x14ac:dyDescent="0.45">
      <c r="B109" s="22" t="s">
        <v>143</v>
      </c>
      <c r="C109" s="22" t="s">
        <v>39</v>
      </c>
      <c r="D109" s="151">
        <v>703</v>
      </c>
      <c r="E109" s="20">
        <f>'Work Progress (%)'!G118</f>
        <v>1</v>
      </c>
      <c r="F109" s="20">
        <f>'Work Progress (%)'!L118</f>
        <v>0.97</v>
      </c>
      <c r="G109" s="20">
        <f>'Work Progress (%)'!Y118</f>
        <v>0.99750000000000005</v>
      </c>
      <c r="H109" s="20">
        <f>'Work Progress (%)'!AD118</f>
        <v>9.5000000000000015E-2</v>
      </c>
      <c r="I109" s="20">
        <f>'Work Progress (%)'!AI118</f>
        <v>0.5</v>
      </c>
      <c r="J109" s="20">
        <f>'Work Progress (%)'!AQ118</f>
        <v>4.9999999999999996E-2</v>
      </c>
      <c r="K109" s="20">
        <f>'Work Progress (%)'!AV118</f>
        <v>0</v>
      </c>
      <c r="L109" s="20">
        <f>'Work Progress (%)'!BD118</f>
        <v>0</v>
      </c>
      <c r="M109" s="20">
        <v>0.7</v>
      </c>
      <c r="N109" s="20">
        <v>1</v>
      </c>
      <c r="O109" s="20">
        <v>0.2</v>
      </c>
      <c r="P109" s="20">
        <v>0.7</v>
      </c>
      <c r="Q109" s="21">
        <f t="shared" si="12"/>
        <v>0.58045000000000002</v>
      </c>
      <c r="R109" s="6"/>
    </row>
    <row r="110" spans="2:18" ht="73.5" customHeight="1" x14ac:dyDescent="0.45">
      <c r="B110" s="22" t="s">
        <v>143</v>
      </c>
      <c r="C110" s="22" t="s">
        <v>39</v>
      </c>
      <c r="D110" s="151">
        <v>704</v>
      </c>
      <c r="E110" s="20">
        <f>'Work Progress (%)'!G119</f>
        <v>1</v>
      </c>
      <c r="F110" s="20">
        <f>'Work Progress (%)'!L119</f>
        <v>0.9</v>
      </c>
      <c r="G110" s="20">
        <f>'Work Progress (%)'!Y119</f>
        <v>0.94750000000000012</v>
      </c>
      <c r="H110" s="20">
        <f>'Work Progress (%)'!AD119</f>
        <v>0.10000000000000002</v>
      </c>
      <c r="I110" s="20">
        <f>'Work Progress (%)'!AI119</f>
        <v>0.28999999999999998</v>
      </c>
      <c r="J110" s="20">
        <f>'Work Progress (%)'!AQ119</f>
        <v>0</v>
      </c>
      <c r="K110" s="20">
        <f>'Work Progress (%)'!AV119</f>
        <v>0</v>
      </c>
      <c r="L110" s="20">
        <f>'Work Progress (%)'!BD119</f>
        <v>0</v>
      </c>
      <c r="M110" s="20">
        <v>0.7</v>
      </c>
      <c r="N110" s="20">
        <v>1</v>
      </c>
      <c r="O110" s="20">
        <v>0.2</v>
      </c>
      <c r="P110" s="20">
        <v>0.7</v>
      </c>
      <c r="Q110" s="21">
        <f t="shared" si="12"/>
        <v>0.52845000000000009</v>
      </c>
      <c r="R110" s="6"/>
    </row>
    <row r="111" spans="2:18" ht="73.5" customHeight="1" x14ac:dyDescent="0.45">
      <c r="B111" s="22" t="s">
        <v>143</v>
      </c>
      <c r="C111" s="22" t="s">
        <v>39</v>
      </c>
      <c r="D111" s="151">
        <v>705</v>
      </c>
      <c r="E111" s="20">
        <f>'Work Progress (%)'!G120</f>
        <v>1</v>
      </c>
      <c r="F111" s="20">
        <f>'Work Progress (%)'!L120</f>
        <v>1</v>
      </c>
      <c r="G111" s="20">
        <f>'Work Progress (%)'!Y120</f>
        <v>0.99750000000000005</v>
      </c>
      <c r="H111" s="20">
        <f>'Work Progress (%)'!AD120</f>
        <v>0</v>
      </c>
      <c r="I111" s="20">
        <f>'Work Progress (%)'!AI120</f>
        <v>0.5</v>
      </c>
      <c r="J111" s="20">
        <f>'Work Progress (%)'!AQ120</f>
        <v>0</v>
      </c>
      <c r="K111" s="20">
        <f>'Work Progress (%)'!AV120</f>
        <v>0</v>
      </c>
      <c r="L111" s="20">
        <f>'Work Progress (%)'!BD120</f>
        <v>0</v>
      </c>
      <c r="M111" s="20">
        <v>0.7</v>
      </c>
      <c r="N111" s="20">
        <v>1</v>
      </c>
      <c r="O111" s="20">
        <v>0.2</v>
      </c>
      <c r="P111" s="20">
        <v>0.7</v>
      </c>
      <c r="Q111" s="21">
        <f t="shared" si="12"/>
        <v>0.56545000000000012</v>
      </c>
      <c r="R111" s="6"/>
    </row>
    <row r="112" spans="2:18" ht="73.5" customHeight="1" x14ac:dyDescent="0.45">
      <c r="B112" s="22" t="s">
        <v>143</v>
      </c>
      <c r="C112" s="22" t="s">
        <v>39</v>
      </c>
      <c r="D112" s="151">
        <v>706</v>
      </c>
      <c r="E112" s="20">
        <f>'Work Progress (%)'!G121</f>
        <v>1</v>
      </c>
      <c r="F112" s="20">
        <f>'Work Progress (%)'!L121</f>
        <v>1</v>
      </c>
      <c r="G112" s="20">
        <f>'Work Progress (%)'!Y121</f>
        <v>0.89750000000000019</v>
      </c>
      <c r="H112" s="20">
        <f>'Work Progress (%)'!AD121</f>
        <v>0.10000000000000002</v>
      </c>
      <c r="I112" s="20">
        <f>'Work Progress (%)'!AI121</f>
        <v>0.49</v>
      </c>
      <c r="J112" s="20">
        <f>'Work Progress (%)'!AQ121</f>
        <v>0</v>
      </c>
      <c r="K112" s="20">
        <f>'Work Progress (%)'!AV121</f>
        <v>0</v>
      </c>
      <c r="L112" s="20">
        <f>'Work Progress (%)'!BD121</f>
        <v>0</v>
      </c>
      <c r="M112" s="20">
        <v>0.7</v>
      </c>
      <c r="N112" s="20">
        <v>1</v>
      </c>
      <c r="O112" s="20">
        <v>0.2</v>
      </c>
      <c r="P112" s="20">
        <v>0.7</v>
      </c>
      <c r="Q112" s="21">
        <f t="shared" si="12"/>
        <v>0.55245000000000011</v>
      </c>
      <c r="R112" s="6"/>
    </row>
    <row r="113" spans="2:18" ht="73.5" customHeight="1" x14ac:dyDescent="0.45">
      <c r="B113" s="22" t="s">
        <v>143</v>
      </c>
      <c r="C113" s="22" t="s">
        <v>39</v>
      </c>
      <c r="D113" s="151">
        <v>707</v>
      </c>
      <c r="E113" s="20">
        <f>'Work Progress (%)'!G122</f>
        <v>1</v>
      </c>
      <c r="F113" s="20">
        <f>'Work Progress (%)'!L122</f>
        <v>1</v>
      </c>
      <c r="G113" s="20">
        <f>'Work Progress (%)'!Y122</f>
        <v>0.99750000000000005</v>
      </c>
      <c r="H113" s="20">
        <f>'Work Progress (%)'!AD122</f>
        <v>0</v>
      </c>
      <c r="I113" s="20">
        <f>'Work Progress (%)'!AI122</f>
        <v>0.71</v>
      </c>
      <c r="J113" s="20">
        <f>'Work Progress (%)'!AQ122</f>
        <v>0</v>
      </c>
      <c r="K113" s="20">
        <f>'Work Progress (%)'!AV122</f>
        <v>0</v>
      </c>
      <c r="L113" s="20">
        <f>'Work Progress (%)'!BD122</f>
        <v>0</v>
      </c>
      <c r="M113" s="20">
        <v>0.7</v>
      </c>
      <c r="N113" s="20">
        <v>1</v>
      </c>
      <c r="O113" s="20">
        <v>0.2</v>
      </c>
      <c r="P113" s="20">
        <v>0.7</v>
      </c>
      <c r="Q113" s="21">
        <f t="shared" si="12"/>
        <v>0.58645000000000003</v>
      </c>
      <c r="R113" s="6"/>
    </row>
    <row r="114" spans="2:18" ht="73.5" customHeight="1" x14ac:dyDescent="0.45">
      <c r="B114" s="22" t="s">
        <v>143</v>
      </c>
      <c r="C114" s="22" t="s">
        <v>39</v>
      </c>
      <c r="D114" s="151">
        <v>708</v>
      </c>
      <c r="E114" s="20">
        <f>'Work Progress (%)'!G123</f>
        <v>1</v>
      </c>
      <c r="F114" s="20">
        <f>'Work Progress (%)'!L123</f>
        <v>1</v>
      </c>
      <c r="G114" s="20">
        <f>'Work Progress (%)'!Y123</f>
        <v>0.99750000000000005</v>
      </c>
      <c r="H114" s="20">
        <f>'Work Progress (%)'!AD123</f>
        <v>5.5000000000000007E-2</v>
      </c>
      <c r="I114" s="20">
        <f>'Work Progress (%)'!AI123</f>
        <v>0.90999999999999992</v>
      </c>
      <c r="J114" s="20">
        <f>'Work Progress (%)'!AQ123</f>
        <v>0</v>
      </c>
      <c r="K114" s="20">
        <f>'Work Progress (%)'!AV123</f>
        <v>0</v>
      </c>
      <c r="L114" s="20">
        <f>'Work Progress (%)'!BD123</f>
        <v>0</v>
      </c>
      <c r="M114" s="20">
        <v>0.7</v>
      </c>
      <c r="N114" s="20">
        <v>1</v>
      </c>
      <c r="O114" s="20">
        <v>0.2</v>
      </c>
      <c r="P114" s="20">
        <v>0.7</v>
      </c>
      <c r="Q114" s="21">
        <f t="shared" si="12"/>
        <v>0.6119500000000001</v>
      </c>
      <c r="R114" s="6"/>
    </row>
    <row r="115" spans="2:18" ht="73.5" customHeight="1" x14ac:dyDescent="0.45">
      <c r="B115" s="22" t="s">
        <v>143</v>
      </c>
      <c r="C115" s="22" t="s">
        <v>39</v>
      </c>
      <c r="D115" s="151">
        <v>709</v>
      </c>
      <c r="E115" s="20">
        <f>'Work Progress (%)'!G124</f>
        <v>1</v>
      </c>
      <c r="F115" s="20">
        <f>'Work Progress (%)'!L124</f>
        <v>1</v>
      </c>
      <c r="G115" s="20">
        <f>'Work Progress (%)'!Y124</f>
        <v>0.99750000000000005</v>
      </c>
      <c r="H115" s="20">
        <f>'Work Progress (%)'!AD124</f>
        <v>0</v>
      </c>
      <c r="I115" s="20">
        <f>'Work Progress (%)'!AI124</f>
        <v>0.71499999999999997</v>
      </c>
      <c r="J115" s="20">
        <f>'Work Progress (%)'!AQ124</f>
        <v>0</v>
      </c>
      <c r="K115" s="20">
        <f>'Work Progress (%)'!AV124</f>
        <v>0</v>
      </c>
      <c r="L115" s="20">
        <f>'Work Progress (%)'!BD124</f>
        <v>0</v>
      </c>
      <c r="M115" s="20">
        <v>0.7</v>
      </c>
      <c r="N115" s="20">
        <v>1</v>
      </c>
      <c r="O115" s="20">
        <v>0.2</v>
      </c>
      <c r="P115" s="20">
        <v>0.7</v>
      </c>
      <c r="Q115" s="21">
        <f t="shared" si="12"/>
        <v>0.58695000000000008</v>
      </c>
      <c r="R115" s="6"/>
    </row>
    <row r="116" spans="2:18" ht="73.5" customHeight="1" x14ac:dyDescent="0.45">
      <c r="B116" s="22" t="s">
        <v>143</v>
      </c>
      <c r="C116" s="22" t="s">
        <v>39</v>
      </c>
      <c r="D116" s="151">
        <v>710</v>
      </c>
      <c r="E116" s="20">
        <f>'Work Progress (%)'!G125</f>
        <v>1</v>
      </c>
      <c r="F116" s="20">
        <f>'Work Progress (%)'!L125</f>
        <v>1</v>
      </c>
      <c r="G116" s="20">
        <f>'Work Progress (%)'!Y125</f>
        <v>0.99750000000000005</v>
      </c>
      <c r="H116" s="20">
        <f>'Work Progress (%)'!AD125</f>
        <v>0</v>
      </c>
      <c r="I116" s="20">
        <f>'Work Progress (%)'!AI125</f>
        <v>0.99499999999999988</v>
      </c>
      <c r="J116" s="20">
        <f>'Work Progress (%)'!AQ125</f>
        <v>0</v>
      </c>
      <c r="K116" s="20">
        <f>'Work Progress (%)'!AV125</f>
        <v>0</v>
      </c>
      <c r="L116" s="20">
        <f>'Work Progress (%)'!BD125</f>
        <v>0</v>
      </c>
      <c r="M116" s="20">
        <v>0.7</v>
      </c>
      <c r="N116" s="20">
        <v>1</v>
      </c>
      <c r="O116" s="20">
        <v>0.2</v>
      </c>
      <c r="P116" s="20">
        <v>0.7</v>
      </c>
      <c r="Q116" s="21">
        <f t="shared" si="12"/>
        <v>0.61495000000000011</v>
      </c>
      <c r="R116" s="6"/>
    </row>
    <row r="117" spans="2:18" ht="73.5" customHeight="1" x14ac:dyDescent="0.45">
      <c r="B117" s="22" t="s">
        <v>143</v>
      </c>
      <c r="C117" s="22" t="s">
        <v>39</v>
      </c>
      <c r="D117" s="151">
        <v>711</v>
      </c>
      <c r="E117" s="20">
        <f>'Work Progress (%)'!G126</f>
        <v>1</v>
      </c>
      <c r="F117" s="20">
        <f>'Work Progress (%)'!L126</f>
        <v>1</v>
      </c>
      <c r="G117" s="20">
        <f>'Work Progress (%)'!Y126</f>
        <v>0.99750000000000005</v>
      </c>
      <c r="H117" s="20">
        <f>'Work Progress (%)'!AD126</f>
        <v>0</v>
      </c>
      <c r="I117" s="20">
        <f>'Work Progress (%)'!AI126</f>
        <v>0.28999999999999998</v>
      </c>
      <c r="J117" s="20">
        <f>'Work Progress (%)'!AQ126</f>
        <v>0</v>
      </c>
      <c r="K117" s="20">
        <f>'Work Progress (%)'!AV126</f>
        <v>0</v>
      </c>
      <c r="L117" s="20">
        <f>'Work Progress (%)'!BD126</f>
        <v>0</v>
      </c>
      <c r="M117" s="20">
        <v>0.7</v>
      </c>
      <c r="N117" s="20">
        <v>1</v>
      </c>
      <c r="O117" s="20">
        <v>0.2</v>
      </c>
      <c r="P117" s="20">
        <v>0.7</v>
      </c>
      <c r="Q117" s="21">
        <f t="shared" si="12"/>
        <v>0.5444500000000001</v>
      </c>
      <c r="R117" s="6"/>
    </row>
    <row r="118" spans="2:18" ht="73.5" customHeight="1" x14ac:dyDescent="0.45">
      <c r="B118" s="22" t="s">
        <v>143</v>
      </c>
      <c r="C118" s="22" t="s">
        <v>39</v>
      </c>
      <c r="D118" s="151">
        <v>712</v>
      </c>
      <c r="E118" s="20">
        <f>'Work Progress (%)'!G127</f>
        <v>1</v>
      </c>
      <c r="F118" s="20">
        <f>'Work Progress (%)'!L127</f>
        <v>1</v>
      </c>
      <c r="G118" s="20">
        <f>'Work Progress (%)'!Y127</f>
        <v>0.99750000000000005</v>
      </c>
      <c r="H118" s="20">
        <f>'Work Progress (%)'!AD127</f>
        <v>0</v>
      </c>
      <c r="I118" s="20">
        <f>'Work Progress (%)'!AI127</f>
        <v>0.8899999999999999</v>
      </c>
      <c r="J118" s="20">
        <f>'Work Progress (%)'!AQ127</f>
        <v>0</v>
      </c>
      <c r="K118" s="20">
        <f>'Work Progress (%)'!AV127</f>
        <v>0</v>
      </c>
      <c r="L118" s="20">
        <f>'Work Progress (%)'!BD127</f>
        <v>0</v>
      </c>
      <c r="M118" s="20">
        <v>0.7</v>
      </c>
      <c r="N118" s="20">
        <v>1</v>
      </c>
      <c r="O118" s="20">
        <v>0.2</v>
      </c>
      <c r="P118" s="20">
        <v>0.7</v>
      </c>
      <c r="Q118" s="21">
        <f t="shared" si="12"/>
        <v>0.60445000000000004</v>
      </c>
      <c r="R118" s="6"/>
    </row>
    <row r="119" spans="2:18" ht="73.5" customHeight="1" x14ac:dyDescent="0.45">
      <c r="B119" s="22" t="s">
        <v>143</v>
      </c>
      <c r="C119" s="22" t="s">
        <v>39</v>
      </c>
      <c r="D119" s="151">
        <v>713</v>
      </c>
      <c r="E119" s="20">
        <f>'Work Progress (%)'!G128</f>
        <v>1</v>
      </c>
      <c r="F119" s="20">
        <f>'Work Progress (%)'!L128</f>
        <v>1</v>
      </c>
      <c r="G119" s="20">
        <f>'Work Progress (%)'!Y128</f>
        <v>0.99750000000000005</v>
      </c>
      <c r="H119" s="20">
        <f>'Work Progress (%)'!AD128</f>
        <v>0</v>
      </c>
      <c r="I119" s="20">
        <f>'Work Progress (%)'!AI128</f>
        <v>3.4999999999999996E-2</v>
      </c>
      <c r="J119" s="20">
        <f>'Work Progress (%)'!AQ128</f>
        <v>0</v>
      </c>
      <c r="K119" s="20">
        <f>'Work Progress (%)'!AV128</f>
        <v>0</v>
      </c>
      <c r="L119" s="20">
        <f>'Work Progress (%)'!BD128</f>
        <v>0</v>
      </c>
      <c r="M119" s="20">
        <v>0.7</v>
      </c>
      <c r="N119" s="20">
        <v>1</v>
      </c>
      <c r="O119" s="20">
        <v>0.2</v>
      </c>
      <c r="P119" s="20">
        <v>0.7</v>
      </c>
      <c r="Q119" s="21">
        <f t="shared" si="12"/>
        <v>0.51895000000000002</v>
      </c>
      <c r="R119" s="6"/>
    </row>
    <row r="120" spans="2:18" ht="73.5" customHeight="1" x14ac:dyDescent="0.45">
      <c r="B120" s="22" t="s">
        <v>143</v>
      </c>
      <c r="C120" s="22" t="s">
        <v>39</v>
      </c>
      <c r="D120" s="151">
        <v>714</v>
      </c>
      <c r="E120" s="20">
        <f>'Work Progress (%)'!G129</f>
        <v>1</v>
      </c>
      <c r="F120" s="20">
        <f>'Work Progress (%)'!L129</f>
        <v>1</v>
      </c>
      <c r="G120" s="20">
        <f>'Work Progress (%)'!Y129</f>
        <v>0.99750000000000005</v>
      </c>
      <c r="H120" s="20">
        <f>'Work Progress (%)'!AD129</f>
        <v>0</v>
      </c>
      <c r="I120" s="20">
        <f>'Work Progress (%)'!AI129</f>
        <v>0.99</v>
      </c>
      <c r="J120" s="20">
        <f>'Work Progress (%)'!AQ129</f>
        <v>0</v>
      </c>
      <c r="K120" s="20">
        <f>'Work Progress (%)'!AV129</f>
        <v>0</v>
      </c>
      <c r="L120" s="20">
        <f>'Work Progress (%)'!BD129</f>
        <v>0</v>
      </c>
      <c r="M120" s="20">
        <v>0.7</v>
      </c>
      <c r="N120" s="20">
        <v>1</v>
      </c>
      <c r="O120" s="20">
        <v>0.2</v>
      </c>
      <c r="P120" s="20">
        <v>0.7</v>
      </c>
      <c r="Q120" s="21">
        <f t="shared" si="12"/>
        <v>0.61445000000000005</v>
      </c>
      <c r="R120" s="6"/>
    </row>
    <row r="121" spans="2:18" ht="73.5" customHeight="1" x14ac:dyDescent="0.45">
      <c r="B121" s="22" t="s">
        <v>143</v>
      </c>
      <c r="C121" s="22" t="s">
        <v>39</v>
      </c>
      <c r="D121" s="151">
        <v>715</v>
      </c>
      <c r="E121" s="20">
        <f>'Work Progress (%)'!G130</f>
        <v>1</v>
      </c>
      <c r="F121" s="20">
        <f>'Work Progress (%)'!L130</f>
        <v>1</v>
      </c>
      <c r="G121" s="20">
        <f>'Work Progress (%)'!Y130</f>
        <v>0.99750000000000005</v>
      </c>
      <c r="H121" s="20">
        <f>'Work Progress (%)'!AD130</f>
        <v>0</v>
      </c>
      <c r="I121" s="20">
        <f>'Work Progress (%)'!AI130</f>
        <v>3.4999999999999996E-2</v>
      </c>
      <c r="J121" s="20">
        <f>'Work Progress (%)'!AQ130</f>
        <v>0</v>
      </c>
      <c r="K121" s="20">
        <f>'Work Progress (%)'!AV130</f>
        <v>0</v>
      </c>
      <c r="L121" s="20">
        <f>'Work Progress (%)'!BD130</f>
        <v>0</v>
      </c>
      <c r="M121" s="20">
        <v>0.7</v>
      </c>
      <c r="N121" s="20">
        <v>1</v>
      </c>
      <c r="O121" s="20">
        <v>0.2</v>
      </c>
      <c r="P121" s="20">
        <v>0.7</v>
      </c>
      <c r="Q121" s="21">
        <f t="shared" si="12"/>
        <v>0.51895000000000002</v>
      </c>
      <c r="R121" s="6"/>
    </row>
    <row r="122" spans="2:18" ht="73.5" customHeight="1" x14ac:dyDescent="0.45">
      <c r="B122" s="22" t="s">
        <v>143</v>
      </c>
      <c r="C122" s="22" t="s">
        <v>39</v>
      </c>
      <c r="D122" s="151">
        <v>716</v>
      </c>
      <c r="E122" s="20">
        <f>'Work Progress (%)'!G131</f>
        <v>1</v>
      </c>
      <c r="F122" s="20">
        <f>'Work Progress (%)'!L131</f>
        <v>1</v>
      </c>
      <c r="G122" s="20">
        <f>'Work Progress (%)'!Y131</f>
        <v>0.99750000000000005</v>
      </c>
      <c r="H122" s="20">
        <f>'Work Progress (%)'!AD131</f>
        <v>0</v>
      </c>
      <c r="I122" s="20">
        <f>'Work Progress (%)'!AI131</f>
        <v>0.51</v>
      </c>
      <c r="J122" s="20">
        <f>'Work Progress (%)'!AQ131</f>
        <v>0</v>
      </c>
      <c r="K122" s="20">
        <f>'Work Progress (%)'!AV131</f>
        <v>0</v>
      </c>
      <c r="L122" s="20">
        <f>'Work Progress (%)'!BD131</f>
        <v>0</v>
      </c>
      <c r="M122" s="20">
        <v>0.7</v>
      </c>
      <c r="N122" s="20">
        <v>1</v>
      </c>
      <c r="O122" s="20">
        <v>0.2</v>
      </c>
      <c r="P122" s="20">
        <v>0.7</v>
      </c>
      <c r="Q122" s="21">
        <f t="shared" si="12"/>
        <v>0.56645000000000012</v>
      </c>
      <c r="R122" s="6"/>
    </row>
    <row r="123" spans="2:18" ht="73.5" customHeight="1" x14ac:dyDescent="0.45">
      <c r="B123" s="22" t="s">
        <v>143</v>
      </c>
      <c r="C123" s="22"/>
      <c r="D123" s="154" t="s">
        <v>40</v>
      </c>
      <c r="E123" s="141">
        <f>AVERAGE(E125:E139)</f>
        <v>1</v>
      </c>
      <c r="F123" s="141">
        <f t="shared" ref="F123:P123" si="13">AVERAGE(F125:F139)</f>
        <v>0.67066666666666674</v>
      </c>
      <c r="G123" s="20">
        <f t="shared" si="13"/>
        <v>0.99750000000000039</v>
      </c>
      <c r="H123" s="141">
        <f t="shared" si="13"/>
        <v>0</v>
      </c>
      <c r="I123" s="141">
        <f t="shared" si="13"/>
        <v>0.46233333333333326</v>
      </c>
      <c r="J123" s="141">
        <f t="shared" si="13"/>
        <v>0</v>
      </c>
      <c r="K123" s="141">
        <f t="shared" si="13"/>
        <v>0</v>
      </c>
      <c r="L123" s="141">
        <f t="shared" si="13"/>
        <v>0</v>
      </c>
      <c r="M123" s="141">
        <f t="shared" si="13"/>
        <v>0.69999999999999984</v>
      </c>
      <c r="N123" s="141">
        <f t="shared" si="13"/>
        <v>1</v>
      </c>
      <c r="O123" s="141">
        <f t="shared" si="13"/>
        <v>0.20000000000000004</v>
      </c>
      <c r="P123" s="141">
        <f t="shared" si="13"/>
        <v>0.69999999999999984</v>
      </c>
      <c r="Q123" s="13">
        <f>AVERAGE(Q124:Q139)</f>
        <v>0.51429374999999999</v>
      </c>
      <c r="R123" s="12"/>
    </row>
    <row r="124" spans="2:18" ht="73.5" customHeight="1" x14ac:dyDescent="0.45">
      <c r="B124" s="22" t="s">
        <v>143</v>
      </c>
      <c r="C124" s="22" t="s">
        <v>41</v>
      </c>
      <c r="D124" s="151">
        <v>801</v>
      </c>
      <c r="E124" s="20">
        <f>'Work Progress (%)'!G133</f>
        <v>1</v>
      </c>
      <c r="F124" s="20">
        <f>'Work Progress (%)'!L133</f>
        <v>1</v>
      </c>
      <c r="G124" s="20">
        <f>'Work Progress (%)'!Y133</f>
        <v>0.99750000000000005</v>
      </c>
      <c r="H124" s="20">
        <f>'Work Progress (%)'!AD133</f>
        <v>0</v>
      </c>
      <c r="I124" s="20">
        <f>'Work Progress (%)'!AI133</f>
        <v>0.28999999999999998</v>
      </c>
      <c r="J124" s="20">
        <f>'Work Progress (%)'!AQ133</f>
        <v>0</v>
      </c>
      <c r="K124" s="20">
        <f>'Work Progress (%)'!AV133</f>
        <v>0</v>
      </c>
      <c r="L124" s="20">
        <f>'Work Progress (%)'!BD133</f>
        <v>0</v>
      </c>
      <c r="M124" s="20">
        <v>0.7</v>
      </c>
      <c r="N124" s="20">
        <v>1</v>
      </c>
      <c r="O124" s="20">
        <v>0.2</v>
      </c>
      <c r="P124" s="20">
        <v>0.7</v>
      </c>
      <c r="Q124" s="21">
        <f t="shared" ref="Q124:Q139" si="14">SUMPRODUCT(E124:P124, E$2:P$2)</f>
        <v>0.5444500000000001</v>
      </c>
      <c r="R124" s="6"/>
    </row>
    <row r="125" spans="2:18" ht="73.5" customHeight="1" x14ac:dyDescent="0.45">
      <c r="B125" s="22" t="s">
        <v>143</v>
      </c>
      <c r="C125" s="22" t="s">
        <v>41</v>
      </c>
      <c r="D125" s="151">
        <v>802</v>
      </c>
      <c r="E125" s="20">
        <f>'Work Progress (%)'!G134</f>
        <v>1</v>
      </c>
      <c r="F125" s="20">
        <f>'Work Progress (%)'!L134</f>
        <v>1</v>
      </c>
      <c r="G125" s="20">
        <f>'Work Progress (%)'!Y134</f>
        <v>0.99750000000000005</v>
      </c>
      <c r="H125" s="20">
        <f>'Work Progress (%)'!AD134</f>
        <v>0</v>
      </c>
      <c r="I125" s="20">
        <f>'Work Progress (%)'!AI134</f>
        <v>0.26499999999999996</v>
      </c>
      <c r="J125" s="20">
        <f>'Work Progress (%)'!AQ134</f>
        <v>0</v>
      </c>
      <c r="K125" s="20">
        <f>'Work Progress (%)'!AV134</f>
        <v>0</v>
      </c>
      <c r="L125" s="20">
        <f>'Work Progress (%)'!BD134</f>
        <v>0</v>
      </c>
      <c r="M125" s="20">
        <v>0.7</v>
      </c>
      <c r="N125" s="20">
        <v>1</v>
      </c>
      <c r="O125" s="20">
        <v>0.2</v>
      </c>
      <c r="P125" s="20">
        <v>0.7</v>
      </c>
      <c r="Q125" s="21">
        <f t="shared" si="14"/>
        <v>0.54195000000000004</v>
      </c>
      <c r="R125" s="6"/>
    </row>
    <row r="126" spans="2:18" ht="73.5" customHeight="1" x14ac:dyDescent="0.45">
      <c r="B126" s="22" t="s">
        <v>143</v>
      </c>
      <c r="C126" s="22" t="s">
        <v>41</v>
      </c>
      <c r="D126" s="151">
        <v>803</v>
      </c>
      <c r="E126" s="20">
        <f>'Work Progress (%)'!G135</f>
        <v>1</v>
      </c>
      <c r="F126" s="20">
        <f>'Work Progress (%)'!L135</f>
        <v>1</v>
      </c>
      <c r="G126" s="20">
        <f>'Work Progress (%)'!Y135</f>
        <v>0.99750000000000005</v>
      </c>
      <c r="H126" s="20">
        <f>'Work Progress (%)'!AD135</f>
        <v>0</v>
      </c>
      <c r="I126" s="20">
        <f>'Work Progress (%)'!AI135</f>
        <v>0.28999999999999998</v>
      </c>
      <c r="J126" s="20">
        <f>'Work Progress (%)'!AQ135</f>
        <v>0</v>
      </c>
      <c r="K126" s="20">
        <f>'Work Progress (%)'!AV135</f>
        <v>0</v>
      </c>
      <c r="L126" s="20">
        <f>'Work Progress (%)'!BD135</f>
        <v>0</v>
      </c>
      <c r="M126" s="20">
        <v>0.7</v>
      </c>
      <c r="N126" s="20">
        <v>1</v>
      </c>
      <c r="O126" s="20">
        <v>0.2</v>
      </c>
      <c r="P126" s="20">
        <v>0.7</v>
      </c>
      <c r="Q126" s="21">
        <f t="shared" si="14"/>
        <v>0.5444500000000001</v>
      </c>
      <c r="R126" s="6"/>
    </row>
    <row r="127" spans="2:18" ht="73.5" customHeight="1" x14ac:dyDescent="0.45">
      <c r="B127" s="22" t="s">
        <v>143</v>
      </c>
      <c r="C127" s="22" t="s">
        <v>41</v>
      </c>
      <c r="D127" s="151">
        <v>804</v>
      </c>
      <c r="E127" s="20">
        <f>'Work Progress (%)'!G136</f>
        <v>1</v>
      </c>
      <c r="F127" s="20">
        <f>'Work Progress (%)'!L136</f>
        <v>0</v>
      </c>
      <c r="G127" s="20">
        <f>'Work Progress (%)'!Y136</f>
        <v>0.99750000000000005</v>
      </c>
      <c r="H127" s="20">
        <f>'Work Progress (%)'!AD136</f>
        <v>0</v>
      </c>
      <c r="I127" s="20">
        <f>'Work Progress (%)'!AI136</f>
        <v>0.49</v>
      </c>
      <c r="J127" s="20">
        <f>'Work Progress (%)'!AQ136</f>
        <v>0</v>
      </c>
      <c r="K127" s="20">
        <f>'Work Progress (%)'!AV136</f>
        <v>0</v>
      </c>
      <c r="L127" s="20">
        <f>'Work Progress (%)'!BD136</f>
        <v>0</v>
      </c>
      <c r="M127" s="20">
        <v>0.7</v>
      </c>
      <c r="N127" s="20">
        <v>1</v>
      </c>
      <c r="O127" s="20">
        <v>0.2</v>
      </c>
      <c r="P127" s="20">
        <v>0.7</v>
      </c>
      <c r="Q127" s="21">
        <f t="shared" si="14"/>
        <v>0.41445000000000004</v>
      </c>
      <c r="R127" s="6"/>
    </row>
    <row r="128" spans="2:18" ht="73.5" customHeight="1" x14ac:dyDescent="0.45">
      <c r="B128" s="22" t="s">
        <v>143</v>
      </c>
      <c r="C128" s="22" t="s">
        <v>41</v>
      </c>
      <c r="D128" s="151">
        <v>805</v>
      </c>
      <c r="E128" s="20">
        <f>'Work Progress (%)'!G137</f>
        <v>1</v>
      </c>
      <c r="F128" s="20">
        <f>'Work Progress (%)'!L137</f>
        <v>1</v>
      </c>
      <c r="G128" s="20">
        <f>'Work Progress (%)'!Y137</f>
        <v>0.99750000000000005</v>
      </c>
      <c r="H128" s="20">
        <f>'Work Progress (%)'!AD137</f>
        <v>0</v>
      </c>
      <c r="I128" s="20">
        <f>'Work Progress (%)'!AI137</f>
        <v>0.28999999999999998</v>
      </c>
      <c r="J128" s="20">
        <f>'Work Progress (%)'!AQ137</f>
        <v>0</v>
      </c>
      <c r="K128" s="20">
        <f>'Work Progress (%)'!AV137</f>
        <v>0</v>
      </c>
      <c r="L128" s="20">
        <f>'Work Progress (%)'!BD137</f>
        <v>0</v>
      </c>
      <c r="M128" s="20">
        <v>0.7</v>
      </c>
      <c r="N128" s="20">
        <v>1</v>
      </c>
      <c r="O128" s="20">
        <v>0.2</v>
      </c>
      <c r="P128" s="20">
        <v>0.7</v>
      </c>
      <c r="Q128" s="21">
        <f t="shared" si="14"/>
        <v>0.5444500000000001</v>
      </c>
      <c r="R128" s="6"/>
    </row>
    <row r="129" spans="2:18" ht="73.5" customHeight="1" x14ac:dyDescent="0.45">
      <c r="B129" s="22" t="s">
        <v>143</v>
      </c>
      <c r="C129" s="22" t="s">
        <v>41</v>
      </c>
      <c r="D129" s="151">
        <v>806</v>
      </c>
      <c r="E129" s="20">
        <f>'Work Progress (%)'!G138</f>
        <v>1</v>
      </c>
      <c r="F129" s="20">
        <f>'Work Progress (%)'!L138</f>
        <v>0.8</v>
      </c>
      <c r="G129" s="20">
        <f>'Work Progress (%)'!Y138</f>
        <v>0.99750000000000005</v>
      </c>
      <c r="H129" s="20">
        <f>'Work Progress (%)'!AD138</f>
        <v>0</v>
      </c>
      <c r="I129" s="20">
        <f>'Work Progress (%)'!AI138</f>
        <v>0.59499999999999997</v>
      </c>
      <c r="J129" s="20">
        <f>'Work Progress (%)'!AQ138</f>
        <v>0</v>
      </c>
      <c r="K129" s="20">
        <f>'Work Progress (%)'!AV138</f>
        <v>0</v>
      </c>
      <c r="L129" s="20">
        <f>'Work Progress (%)'!BD138</f>
        <v>0</v>
      </c>
      <c r="M129" s="20">
        <v>0.7</v>
      </c>
      <c r="N129" s="20">
        <v>1</v>
      </c>
      <c r="O129" s="20">
        <v>0.2</v>
      </c>
      <c r="P129" s="20">
        <v>0.7</v>
      </c>
      <c r="Q129" s="21">
        <f t="shared" si="14"/>
        <v>0.54495000000000005</v>
      </c>
      <c r="R129" s="6"/>
    </row>
    <row r="130" spans="2:18" ht="73.5" customHeight="1" x14ac:dyDescent="0.45">
      <c r="B130" s="22" t="s">
        <v>143</v>
      </c>
      <c r="C130" s="22" t="s">
        <v>41</v>
      </c>
      <c r="D130" s="151">
        <v>807</v>
      </c>
      <c r="E130" s="20">
        <f>'Work Progress (%)'!G139</f>
        <v>1</v>
      </c>
      <c r="F130" s="20">
        <f>'Work Progress (%)'!L139</f>
        <v>1</v>
      </c>
      <c r="G130" s="20">
        <f>'Work Progress (%)'!Y139</f>
        <v>0.99750000000000005</v>
      </c>
      <c r="H130" s="20">
        <f>'Work Progress (%)'!AD139</f>
        <v>0</v>
      </c>
      <c r="I130" s="20">
        <f>'Work Progress (%)'!AI139</f>
        <v>4.5000000000000005E-2</v>
      </c>
      <c r="J130" s="20">
        <f>'Work Progress (%)'!AQ139</f>
        <v>0</v>
      </c>
      <c r="K130" s="20">
        <f>'Work Progress (%)'!AV139</f>
        <v>0</v>
      </c>
      <c r="L130" s="20">
        <f>'Work Progress (%)'!BD139</f>
        <v>0</v>
      </c>
      <c r="M130" s="20">
        <v>0.7</v>
      </c>
      <c r="N130" s="20">
        <v>1</v>
      </c>
      <c r="O130" s="20">
        <v>0.2</v>
      </c>
      <c r="P130" s="20">
        <v>0.7</v>
      </c>
      <c r="Q130" s="21">
        <f t="shared" si="14"/>
        <v>0.51995000000000002</v>
      </c>
      <c r="R130" s="6"/>
    </row>
    <row r="131" spans="2:18" ht="73.5" customHeight="1" x14ac:dyDescent="0.45">
      <c r="B131" s="22" t="s">
        <v>143</v>
      </c>
      <c r="C131" s="22" t="s">
        <v>41</v>
      </c>
      <c r="D131" s="151">
        <v>808</v>
      </c>
      <c r="E131" s="20">
        <f>'Work Progress (%)'!G140</f>
        <v>1</v>
      </c>
      <c r="F131" s="20">
        <f>'Work Progress (%)'!L140</f>
        <v>1</v>
      </c>
      <c r="G131" s="20">
        <f>'Work Progress (%)'!Y140</f>
        <v>0.99750000000000005</v>
      </c>
      <c r="H131" s="20">
        <f>'Work Progress (%)'!AD140</f>
        <v>0</v>
      </c>
      <c r="I131" s="20">
        <f>'Work Progress (%)'!AI140</f>
        <v>0.28999999999999998</v>
      </c>
      <c r="J131" s="20">
        <f>'Work Progress (%)'!AQ140</f>
        <v>0</v>
      </c>
      <c r="K131" s="20">
        <f>'Work Progress (%)'!AV140</f>
        <v>0</v>
      </c>
      <c r="L131" s="20">
        <f>'Work Progress (%)'!BD140</f>
        <v>0</v>
      </c>
      <c r="M131" s="20">
        <v>0.7</v>
      </c>
      <c r="N131" s="20">
        <v>1</v>
      </c>
      <c r="O131" s="20">
        <v>0.2</v>
      </c>
      <c r="P131" s="20">
        <v>0.7</v>
      </c>
      <c r="Q131" s="21">
        <f t="shared" si="14"/>
        <v>0.5444500000000001</v>
      </c>
      <c r="R131" s="6"/>
    </row>
    <row r="132" spans="2:18" ht="73.5" customHeight="1" x14ac:dyDescent="0.45">
      <c r="B132" s="22" t="s">
        <v>143</v>
      </c>
      <c r="C132" s="22" t="s">
        <v>41</v>
      </c>
      <c r="D132" s="151">
        <v>809</v>
      </c>
      <c r="E132" s="20">
        <f>'Work Progress (%)'!G141</f>
        <v>1</v>
      </c>
      <c r="F132" s="20">
        <f>'Work Progress (%)'!L141</f>
        <v>1</v>
      </c>
      <c r="G132" s="20">
        <f>'Work Progress (%)'!Y141</f>
        <v>0.99750000000000005</v>
      </c>
      <c r="H132" s="20">
        <f>'Work Progress (%)'!AD141</f>
        <v>0</v>
      </c>
      <c r="I132" s="20">
        <f>'Work Progress (%)'!AI141</f>
        <v>0.8899999999999999</v>
      </c>
      <c r="J132" s="20">
        <f>'Work Progress (%)'!AQ141</f>
        <v>0</v>
      </c>
      <c r="K132" s="20">
        <f>'Work Progress (%)'!AV141</f>
        <v>0</v>
      </c>
      <c r="L132" s="20">
        <f>'Work Progress (%)'!BD141</f>
        <v>0</v>
      </c>
      <c r="M132" s="20">
        <v>0.7</v>
      </c>
      <c r="N132" s="20">
        <v>1</v>
      </c>
      <c r="O132" s="20">
        <v>0.2</v>
      </c>
      <c r="P132" s="20">
        <v>0.7</v>
      </c>
      <c r="Q132" s="21">
        <f t="shared" si="14"/>
        <v>0.60445000000000004</v>
      </c>
      <c r="R132" s="6"/>
    </row>
    <row r="133" spans="2:18" ht="73.5" customHeight="1" x14ac:dyDescent="0.45">
      <c r="B133" s="22" t="s">
        <v>143</v>
      </c>
      <c r="C133" s="22" t="s">
        <v>41</v>
      </c>
      <c r="D133" s="151">
        <v>810</v>
      </c>
      <c r="E133" s="20">
        <f>'Work Progress (%)'!G142</f>
        <v>1</v>
      </c>
      <c r="F133" s="20">
        <f>'Work Progress (%)'!L142</f>
        <v>0.8</v>
      </c>
      <c r="G133" s="20">
        <f>'Work Progress (%)'!Y142</f>
        <v>0.99750000000000005</v>
      </c>
      <c r="H133" s="20">
        <f>'Work Progress (%)'!AD142</f>
        <v>0</v>
      </c>
      <c r="I133" s="20">
        <f>'Work Progress (%)'!AI142</f>
        <v>0.8899999999999999</v>
      </c>
      <c r="J133" s="20">
        <f>'Work Progress (%)'!AQ142</f>
        <v>0</v>
      </c>
      <c r="K133" s="20">
        <f>'Work Progress (%)'!AV142</f>
        <v>0</v>
      </c>
      <c r="L133" s="20">
        <f>'Work Progress (%)'!BD142</f>
        <v>0</v>
      </c>
      <c r="M133" s="20">
        <v>0.7</v>
      </c>
      <c r="N133" s="20">
        <v>1</v>
      </c>
      <c r="O133" s="20">
        <v>0.2</v>
      </c>
      <c r="P133" s="20">
        <v>0.7</v>
      </c>
      <c r="Q133" s="21">
        <f t="shared" si="14"/>
        <v>0.57445000000000002</v>
      </c>
      <c r="R133" s="6"/>
    </row>
    <row r="134" spans="2:18" ht="73.5" customHeight="1" x14ac:dyDescent="0.45">
      <c r="B134" s="22" t="s">
        <v>143</v>
      </c>
      <c r="C134" s="22" t="s">
        <v>41</v>
      </c>
      <c r="D134" s="151">
        <v>811</v>
      </c>
      <c r="E134" s="20">
        <f>'Work Progress (%)'!G143</f>
        <v>1</v>
      </c>
      <c r="F134" s="20">
        <f>'Work Progress (%)'!L143</f>
        <v>0.8</v>
      </c>
      <c r="G134" s="20">
        <f>'Work Progress (%)'!Y143</f>
        <v>0.99750000000000005</v>
      </c>
      <c r="H134" s="20">
        <f>'Work Progress (%)'!AD143</f>
        <v>0</v>
      </c>
      <c r="I134" s="20">
        <f>'Work Progress (%)'!AI143</f>
        <v>2.0000000000000004E-2</v>
      </c>
      <c r="J134" s="20">
        <f>'Work Progress (%)'!AQ143</f>
        <v>0</v>
      </c>
      <c r="K134" s="20">
        <f>'Work Progress (%)'!AV143</f>
        <v>0</v>
      </c>
      <c r="L134" s="20">
        <f>'Work Progress (%)'!BD143</f>
        <v>0</v>
      </c>
      <c r="M134" s="20">
        <v>0.7</v>
      </c>
      <c r="N134" s="20">
        <v>1</v>
      </c>
      <c r="O134" s="20">
        <v>0.2</v>
      </c>
      <c r="P134" s="20">
        <v>0.7</v>
      </c>
      <c r="Q134" s="21">
        <f t="shared" si="14"/>
        <v>0.48745000000000005</v>
      </c>
      <c r="R134" s="6"/>
    </row>
    <row r="135" spans="2:18" ht="73.5" customHeight="1" x14ac:dyDescent="0.45">
      <c r="B135" s="22" t="s">
        <v>143</v>
      </c>
      <c r="C135" s="22" t="s">
        <v>41</v>
      </c>
      <c r="D135" s="151">
        <v>812</v>
      </c>
      <c r="E135" s="20">
        <f>'Work Progress (%)'!G144</f>
        <v>1</v>
      </c>
      <c r="F135" s="20">
        <f>'Work Progress (%)'!L144</f>
        <v>1</v>
      </c>
      <c r="G135" s="20">
        <f>'Work Progress (%)'!Y144</f>
        <v>0.99750000000000005</v>
      </c>
      <c r="H135" s="20">
        <f>'Work Progress (%)'!AD144</f>
        <v>0</v>
      </c>
      <c r="I135" s="20">
        <f>'Work Progress (%)'!AI144</f>
        <v>0.8899999999999999</v>
      </c>
      <c r="J135" s="20">
        <f>'Work Progress (%)'!AQ144</f>
        <v>0</v>
      </c>
      <c r="K135" s="20">
        <f>'Work Progress (%)'!AV144</f>
        <v>0</v>
      </c>
      <c r="L135" s="20">
        <f>'Work Progress (%)'!BD144</f>
        <v>0</v>
      </c>
      <c r="M135" s="20">
        <v>0.7</v>
      </c>
      <c r="N135" s="20">
        <v>1</v>
      </c>
      <c r="O135" s="20">
        <v>0.2</v>
      </c>
      <c r="P135" s="20">
        <v>0.7</v>
      </c>
      <c r="Q135" s="21">
        <f t="shared" si="14"/>
        <v>0.60445000000000004</v>
      </c>
      <c r="R135" s="6"/>
    </row>
    <row r="136" spans="2:18" ht="73.5" customHeight="1" x14ac:dyDescent="0.45">
      <c r="B136" s="22" t="s">
        <v>143</v>
      </c>
      <c r="C136" s="22" t="s">
        <v>41</v>
      </c>
      <c r="D136" s="151">
        <v>813</v>
      </c>
      <c r="E136" s="20">
        <f>'Work Progress (%)'!G145</f>
        <v>1</v>
      </c>
      <c r="F136" s="20">
        <f>'Work Progress (%)'!L145</f>
        <v>0</v>
      </c>
      <c r="G136" s="20">
        <f>'Work Progress (%)'!Y145</f>
        <v>0.99750000000000005</v>
      </c>
      <c r="H136" s="20">
        <f>'Work Progress (%)'!AD145</f>
        <v>0</v>
      </c>
      <c r="I136" s="20">
        <f>'Work Progress (%)'!AI145</f>
        <v>0.28999999999999998</v>
      </c>
      <c r="J136" s="20">
        <f>'Work Progress (%)'!AQ145</f>
        <v>0</v>
      </c>
      <c r="K136" s="20">
        <f>'Work Progress (%)'!AV145</f>
        <v>0</v>
      </c>
      <c r="L136" s="20">
        <f>'Work Progress (%)'!BD145</f>
        <v>0</v>
      </c>
      <c r="M136" s="20">
        <v>0.7</v>
      </c>
      <c r="N136" s="20">
        <v>1</v>
      </c>
      <c r="O136" s="20">
        <v>0.2</v>
      </c>
      <c r="P136" s="20">
        <v>0.7</v>
      </c>
      <c r="Q136" s="21">
        <f t="shared" si="14"/>
        <v>0.39445000000000008</v>
      </c>
      <c r="R136" s="6"/>
    </row>
    <row r="137" spans="2:18" ht="73.5" customHeight="1" x14ac:dyDescent="0.45">
      <c r="B137" s="22" t="s">
        <v>143</v>
      </c>
      <c r="C137" s="22" t="s">
        <v>41</v>
      </c>
      <c r="D137" s="151">
        <v>814</v>
      </c>
      <c r="E137" s="20">
        <f>'Work Progress (%)'!G146</f>
        <v>1</v>
      </c>
      <c r="F137" s="20">
        <f>'Work Progress (%)'!L146</f>
        <v>0</v>
      </c>
      <c r="G137" s="20">
        <f>'Work Progress (%)'!Y146</f>
        <v>0.99750000000000005</v>
      </c>
      <c r="H137" s="20">
        <f>'Work Progress (%)'!AD146</f>
        <v>0</v>
      </c>
      <c r="I137" s="20">
        <f>'Work Progress (%)'!AI146</f>
        <v>0.99499999999999988</v>
      </c>
      <c r="J137" s="20">
        <f>'Work Progress (%)'!AQ146</f>
        <v>0</v>
      </c>
      <c r="K137" s="20">
        <f>'Work Progress (%)'!AV146</f>
        <v>0</v>
      </c>
      <c r="L137" s="20">
        <f>'Work Progress (%)'!BD146</f>
        <v>0</v>
      </c>
      <c r="M137" s="20">
        <v>0.7</v>
      </c>
      <c r="N137" s="20">
        <v>1</v>
      </c>
      <c r="O137" s="20">
        <v>0.2</v>
      </c>
      <c r="P137" s="20">
        <v>0.7</v>
      </c>
      <c r="Q137" s="21">
        <f t="shared" si="14"/>
        <v>0.46495000000000003</v>
      </c>
      <c r="R137" s="6"/>
    </row>
    <row r="138" spans="2:18" ht="73.5" customHeight="1" x14ac:dyDescent="0.45">
      <c r="B138" s="22" t="s">
        <v>143</v>
      </c>
      <c r="C138" s="22" t="s">
        <v>41</v>
      </c>
      <c r="D138" s="151">
        <v>815</v>
      </c>
      <c r="E138" s="20">
        <f>'Work Progress (%)'!G147</f>
        <v>1</v>
      </c>
      <c r="F138" s="20">
        <f>'Work Progress (%)'!L147</f>
        <v>0</v>
      </c>
      <c r="G138" s="20">
        <f>'Work Progress (%)'!Y147</f>
        <v>0.99750000000000005</v>
      </c>
      <c r="H138" s="20">
        <f>'Work Progress (%)'!AD147</f>
        <v>0</v>
      </c>
      <c r="I138" s="20">
        <f>'Work Progress (%)'!AI147</f>
        <v>0</v>
      </c>
      <c r="J138" s="20">
        <f>'Work Progress (%)'!AQ147</f>
        <v>0</v>
      </c>
      <c r="K138" s="20">
        <f>'Work Progress (%)'!AV147</f>
        <v>0</v>
      </c>
      <c r="L138" s="20">
        <f>'Work Progress (%)'!BD147</f>
        <v>0</v>
      </c>
      <c r="M138" s="20">
        <v>0.7</v>
      </c>
      <c r="N138" s="20">
        <v>1</v>
      </c>
      <c r="O138" s="20">
        <v>0.2</v>
      </c>
      <c r="P138" s="20">
        <v>0.7</v>
      </c>
      <c r="Q138" s="21">
        <f t="shared" si="14"/>
        <v>0.36545000000000005</v>
      </c>
      <c r="R138" s="6"/>
    </row>
    <row r="139" spans="2:18" ht="73.5" customHeight="1" x14ac:dyDescent="0.45">
      <c r="B139" s="22" t="s">
        <v>143</v>
      </c>
      <c r="C139" s="22" t="s">
        <v>41</v>
      </c>
      <c r="D139" s="151">
        <v>816</v>
      </c>
      <c r="E139" s="20">
        <f>'Work Progress (%)'!G148</f>
        <v>1</v>
      </c>
      <c r="F139" s="20">
        <f>'Work Progress (%)'!L148</f>
        <v>0.65999999999999992</v>
      </c>
      <c r="G139" s="20">
        <f>'Work Progress (%)'!Y148</f>
        <v>0.99750000000000005</v>
      </c>
      <c r="H139" s="20">
        <f>'Work Progress (%)'!AD148</f>
        <v>0</v>
      </c>
      <c r="I139" s="20">
        <f>'Work Progress (%)'!AI148</f>
        <v>0.69499999999999995</v>
      </c>
      <c r="J139" s="20">
        <f>'Work Progress (%)'!AQ148</f>
        <v>0</v>
      </c>
      <c r="K139" s="20">
        <f>'Work Progress (%)'!AV148</f>
        <v>0</v>
      </c>
      <c r="L139" s="20">
        <f>'Work Progress (%)'!BD148</f>
        <v>0</v>
      </c>
      <c r="M139" s="20">
        <v>0.7</v>
      </c>
      <c r="N139" s="20">
        <v>1</v>
      </c>
      <c r="O139" s="20">
        <v>0.2</v>
      </c>
      <c r="P139" s="20">
        <v>0.7</v>
      </c>
      <c r="Q139" s="21">
        <f t="shared" si="14"/>
        <v>0.53395000000000004</v>
      </c>
      <c r="R139" s="6"/>
    </row>
    <row r="140" spans="2:18" ht="73.5" customHeight="1" x14ac:dyDescent="0.45">
      <c r="B140" s="22" t="s">
        <v>143</v>
      </c>
      <c r="C140" s="22"/>
      <c r="D140" s="154" t="s">
        <v>42</v>
      </c>
      <c r="E140" s="141">
        <f>AVERAGE(E142:E156)</f>
        <v>1</v>
      </c>
      <c r="F140" s="141">
        <f t="shared" ref="F140:P140" si="15">AVERAGE(F142:F156)</f>
        <v>0.26100000000000001</v>
      </c>
      <c r="G140" s="20">
        <f t="shared" si="15"/>
        <v>0.99633333333333374</v>
      </c>
      <c r="H140" s="141">
        <f t="shared" si="15"/>
        <v>0</v>
      </c>
      <c r="I140" s="141">
        <f t="shared" si="15"/>
        <v>0.36833333333333329</v>
      </c>
      <c r="J140" s="141">
        <f t="shared" si="15"/>
        <v>0</v>
      </c>
      <c r="K140" s="141">
        <f t="shared" si="15"/>
        <v>0</v>
      </c>
      <c r="L140" s="141">
        <f t="shared" si="15"/>
        <v>0</v>
      </c>
      <c r="M140" s="141">
        <f t="shared" si="15"/>
        <v>0.69999999999999984</v>
      </c>
      <c r="N140" s="141">
        <f t="shared" si="15"/>
        <v>1</v>
      </c>
      <c r="O140" s="141">
        <f t="shared" si="15"/>
        <v>0.20000000000000004</v>
      </c>
      <c r="P140" s="141">
        <f t="shared" si="15"/>
        <v>0.69999999999999984</v>
      </c>
      <c r="Q140" s="14">
        <f>AVERAGE(Q141:Q156)</f>
        <v>0.4461</v>
      </c>
      <c r="R140" s="12"/>
    </row>
    <row r="141" spans="2:18" ht="73.5" customHeight="1" x14ac:dyDescent="0.45">
      <c r="B141" s="22" t="s">
        <v>143</v>
      </c>
      <c r="C141" s="22" t="s">
        <v>43</v>
      </c>
      <c r="D141" s="151">
        <v>901</v>
      </c>
      <c r="E141" s="20">
        <f>'Work Progress (%)'!G150</f>
        <v>1</v>
      </c>
      <c r="F141" s="20">
        <f>'Work Progress (%)'!L150</f>
        <v>1</v>
      </c>
      <c r="G141" s="20">
        <f>'Work Progress (%)'!Y150</f>
        <v>0.99750000000000005</v>
      </c>
      <c r="H141" s="20">
        <f>'Work Progress (%)'!AD150</f>
        <v>0</v>
      </c>
      <c r="I141" s="20">
        <f>'Work Progress (%)'!AI150</f>
        <v>4.5000000000000005E-2</v>
      </c>
      <c r="J141" s="20">
        <f>'Work Progress (%)'!AQ150</f>
        <v>0</v>
      </c>
      <c r="K141" s="20">
        <f>'Work Progress (%)'!AV150</f>
        <v>0</v>
      </c>
      <c r="L141" s="20">
        <f>'Work Progress (%)'!BD150</f>
        <v>0</v>
      </c>
      <c r="M141" s="20">
        <v>0.7</v>
      </c>
      <c r="N141" s="20">
        <v>1</v>
      </c>
      <c r="O141" s="20">
        <v>0.2</v>
      </c>
      <c r="P141" s="20">
        <v>0.7</v>
      </c>
      <c r="Q141" s="21">
        <f t="shared" ref="Q141:Q156" si="16">SUMPRODUCT(E141:P141, E$2:P$2)</f>
        <v>0.51995000000000002</v>
      </c>
      <c r="R141" s="6"/>
    </row>
    <row r="142" spans="2:18" ht="73.5" customHeight="1" x14ac:dyDescent="0.45">
      <c r="B142" s="22" t="s">
        <v>143</v>
      </c>
      <c r="C142" s="22" t="s">
        <v>43</v>
      </c>
      <c r="D142" s="151">
        <v>902</v>
      </c>
      <c r="E142" s="20">
        <f>'Work Progress (%)'!G151</f>
        <v>1</v>
      </c>
      <c r="F142" s="20">
        <f>'Work Progress (%)'!L151</f>
        <v>0.7</v>
      </c>
      <c r="G142" s="20">
        <f>'Work Progress (%)'!Y151</f>
        <v>0.99750000000000005</v>
      </c>
      <c r="H142" s="20">
        <f>'Work Progress (%)'!AD151</f>
        <v>0</v>
      </c>
      <c r="I142" s="20">
        <f>'Work Progress (%)'!AI151</f>
        <v>0.21</v>
      </c>
      <c r="J142" s="20">
        <f>'Work Progress (%)'!AQ151</f>
        <v>0</v>
      </c>
      <c r="K142" s="20">
        <f>'Work Progress (%)'!AV151</f>
        <v>0</v>
      </c>
      <c r="L142" s="20">
        <f>'Work Progress (%)'!BD151</f>
        <v>0</v>
      </c>
      <c r="M142" s="20">
        <v>0.7</v>
      </c>
      <c r="N142" s="20">
        <v>1</v>
      </c>
      <c r="O142" s="20">
        <v>0.2</v>
      </c>
      <c r="P142" s="20">
        <v>0.7</v>
      </c>
      <c r="Q142" s="21">
        <f t="shared" si="16"/>
        <v>0.49145000000000005</v>
      </c>
      <c r="R142" s="6"/>
    </row>
    <row r="143" spans="2:18" ht="73.5" customHeight="1" x14ac:dyDescent="0.45">
      <c r="B143" s="22" t="s">
        <v>143</v>
      </c>
      <c r="C143" s="22" t="s">
        <v>43</v>
      </c>
      <c r="D143" s="151">
        <v>903</v>
      </c>
      <c r="E143" s="20">
        <f>'Work Progress (%)'!G152</f>
        <v>1</v>
      </c>
      <c r="F143" s="20">
        <f>'Work Progress (%)'!L152</f>
        <v>0.8</v>
      </c>
      <c r="G143" s="20">
        <f>'Work Progress (%)'!Y152</f>
        <v>0.99750000000000005</v>
      </c>
      <c r="H143" s="20">
        <f>'Work Progress (%)'!AD152</f>
        <v>0</v>
      </c>
      <c r="I143" s="20">
        <f>'Work Progress (%)'!AI152</f>
        <v>0.28999999999999998</v>
      </c>
      <c r="J143" s="20">
        <f>'Work Progress (%)'!AQ152</f>
        <v>0</v>
      </c>
      <c r="K143" s="20">
        <f>'Work Progress (%)'!AV152</f>
        <v>0</v>
      </c>
      <c r="L143" s="20">
        <f>'Work Progress (%)'!BD152</f>
        <v>0</v>
      </c>
      <c r="M143" s="20">
        <v>0.7</v>
      </c>
      <c r="N143" s="20">
        <v>1</v>
      </c>
      <c r="O143" s="20">
        <v>0.2</v>
      </c>
      <c r="P143" s="20">
        <v>0.7</v>
      </c>
      <c r="Q143" s="21">
        <f t="shared" si="16"/>
        <v>0.51445000000000007</v>
      </c>
      <c r="R143" s="6"/>
    </row>
    <row r="144" spans="2:18" ht="73.5" customHeight="1" x14ac:dyDescent="0.45">
      <c r="B144" s="22" t="s">
        <v>143</v>
      </c>
      <c r="C144" s="22" t="s">
        <v>43</v>
      </c>
      <c r="D144" s="151">
        <v>904</v>
      </c>
      <c r="E144" s="20">
        <f>'Work Progress (%)'!G153</f>
        <v>1</v>
      </c>
      <c r="F144" s="20">
        <f>'Work Progress (%)'!L153</f>
        <v>0.66</v>
      </c>
      <c r="G144" s="20">
        <f>'Work Progress (%)'!Y153</f>
        <v>0.99750000000000005</v>
      </c>
      <c r="H144" s="20">
        <f>'Work Progress (%)'!AD153</f>
        <v>0</v>
      </c>
      <c r="I144" s="20">
        <f>'Work Progress (%)'!AI153</f>
        <v>0.245</v>
      </c>
      <c r="J144" s="20">
        <f>'Work Progress (%)'!AQ153</f>
        <v>0</v>
      </c>
      <c r="K144" s="20">
        <f>'Work Progress (%)'!AV153</f>
        <v>0</v>
      </c>
      <c r="L144" s="20">
        <f>'Work Progress (%)'!BD153</f>
        <v>0</v>
      </c>
      <c r="M144" s="20">
        <v>0.7</v>
      </c>
      <c r="N144" s="20">
        <v>1</v>
      </c>
      <c r="O144" s="20">
        <v>0.2</v>
      </c>
      <c r="P144" s="20">
        <v>0.7</v>
      </c>
      <c r="Q144" s="21">
        <f t="shared" si="16"/>
        <v>0.48895000000000005</v>
      </c>
      <c r="R144" s="6"/>
    </row>
    <row r="145" spans="2:18" ht="73.5" customHeight="1" x14ac:dyDescent="0.45">
      <c r="B145" s="22" t="s">
        <v>143</v>
      </c>
      <c r="C145" s="22" t="s">
        <v>43</v>
      </c>
      <c r="D145" s="151">
        <v>905</v>
      </c>
      <c r="E145" s="20">
        <f>'Work Progress (%)'!G154</f>
        <v>1</v>
      </c>
      <c r="F145" s="20">
        <f>'Work Progress (%)'!L154</f>
        <v>0.39</v>
      </c>
      <c r="G145" s="20">
        <f>'Work Progress (%)'!Y154</f>
        <v>0.99750000000000005</v>
      </c>
      <c r="H145" s="20">
        <f>'Work Progress (%)'!AD154</f>
        <v>0</v>
      </c>
      <c r="I145" s="20">
        <f>'Work Progress (%)'!AI154</f>
        <v>4.5000000000000005E-2</v>
      </c>
      <c r="J145" s="20">
        <f>'Work Progress (%)'!AQ154</f>
        <v>0</v>
      </c>
      <c r="K145" s="20">
        <f>'Work Progress (%)'!AV154</f>
        <v>0</v>
      </c>
      <c r="L145" s="20">
        <f>'Work Progress (%)'!BD154</f>
        <v>0</v>
      </c>
      <c r="M145" s="20">
        <v>0.7</v>
      </c>
      <c r="N145" s="20">
        <v>1</v>
      </c>
      <c r="O145" s="20">
        <v>0.2</v>
      </c>
      <c r="P145" s="20">
        <v>0.7</v>
      </c>
      <c r="Q145" s="21">
        <f t="shared" si="16"/>
        <v>0.42845000000000005</v>
      </c>
      <c r="R145" s="6"/>
    </row>
    <row r="146" spans="2:18" ht="73.5" customHeight="1" x14ac:dyDescent="0.45">
      <c r="B146" s="22" t="s">
        <v>143</v>
      </c>
      <c r="C146" s="22" t="s">
        <v>43</v>
      </c>
      <c r="D146" s="151">
        <v>906</v>
      </c>
      <c r="E146" s="20">
        <f>'Work Progress (%)'!G155</f>
        <v>1</v>
      </c>
      <c r="F146" s="20">
        <f>'Work Progress (%)'!L155</f>
        <v>0</v>
      </c>
      <c r="G146" s="20">
        <f>'Work Progress (%)'!Y155</f>
        <v>0.99750000000000005</v>
      </c>
      <c r="H146" s="20">
        <f>'Work Progress (%)'!AD155</f>
        <v>0</v>
      </c>
      <c r="I146" s="20">
        <f>'Work Progress (%)'!AI155</f>
        <v>0.68499999999999994</v>
      </c>
      <c r="J146" s="20">
        <f>'Work Progress (%)'!AQ155</f>
        <v>0</v>
      </c>
      <c r="K146" s="20">
        <f>'Work Progress (%)'!AV155</f>
        <v>0</v>
      </c>
      <c r="L146" s="20">
        <f>'Work Progress (%)'!BD155</f>
        <v>0</v>
      </c>
      <c r="M146" s="20">
        <v>0.7</v>
      </c>
      <c r="N146" s="20">
        <v>1</v>
      </c>
      <c r="O146" s="20">
        <v>0.2</v>
      </c>
      <c r="P146" s="20">
        <v>0.7</v>
      </c>
      <c r="Q146" s="21">
        <f t="shared" si="16"/>
        <v>0.43395000000000006</v>
      </c>
      <c r="R146" s="6"/>
    </row>
    <row r="147" spans="2:18" ht="73.5" customHeight="1" x14ac:dyDescent="0.45">
      <c r="B147" s="22" t="s">
        <v>143</v>
      </c>
      <c r="C147" s="22" t="s">
        <v>43</v>
      </c>
      <c r="D147" s="151">
        <v>907</v>
      </c>
      <c r="E147" s="20">
        <f>'Work Progress (%)'!G156</f>
        <v>1</v>
      </c>
      <c r="F147" s="20">
        <f>'Work Progress (%)'!L156</f>
        <v>0</v>
      </c>
      <c r="G147" s="20">
        <f>'Work Progress (%)'!Y156</f>
        <v>0.99750000000000005</v>
      </c>
      <c r="H147" s="20">
        <f>'Work Progress (%)'!AD156</f>
        <v>0</v>
      </c>
      <c r="I147" s="20">
        <f>'Work Progress (%)'!AI156</f>
        <v>0.28999999999999998</v>
      </c>
      <c r="J147" s="20">
        <f>'Work Progress (%)'!AQ156</f>
        <v>0</v>
      </c>
      <c r="K147" s="20">
        <f>'Work Progress (%)'!AV156</f>
        <v>0</v>
      </c>
      <c r="L147" s="20">
        <f>'Work Progress (%)'!BD156</f>
        <v>0</v>
      </c>
      <c r="M147" s="20">
        <v>0.7</v>
      </c>
      <c r="N147" s="20">
        <v>1</v>
      </c>
      <c r="O147" s="20">
        <v>0.2</v>
      </c>
      <c r="P147" s="20">
        <v>0.7</v>
      </c>
      <c r="Q147" s="21">
        <f t="shared" si="16"/>
        <v>0.39445000000000008</v>
      </c>
      <c r="R147" s="6"/>
    </row>
    <row r="148" spans="2:18" ht="73.5" customHeight="1" x14ac:dyDescent="0.45">
      <c r="B148" s="22" t="s">
        <v>143</v>
      </c>
      <c r="C148" s="22" t="s">
        <v>43</v>
      </c>
      <c r="D148" s="151">
        <v>908</v>
      </c>
      <c r="E148" s="20">
        <f>'Work Progress (%)'!G157</f>
        <v>1</v>
      </c>
      <c r="F148" s="20">
        <f>'Work Progress (%)'!L157</f>
        <v>0.74999999999999989</v>
      </c>
      <c r="G148" s="20">
        <f>'Work Progress (%)'!Y157</f>
        <v>0.99750000000000005</v>
      </c>
      <c r="H148" s="20">
        <f>'Work Progress (%)'!AD157</f>
        <v>0</v>
      </c>
      <c r="I148" s="20">
        <f>'Work Progress (%)'!AI157</f>
        <v>0.57999999999999996</v>
      </c>
      <c r="J148" s="20">
        <f>'Work Progress (%)'!AQ157</f>
        <v>0</v>
      </c>
      <c r="K148" s="20">
        <f>'Work Progress (%)'!AV157</f>
        <v>0</v>
      </c>
      <c r="L148" s="20">
        <f>'Work Progress (%)'!BD157</f>
        <v>0</v>
      </c>
      <c r="M148" s="20">
        <v>0.7</v>
      </c>
      <c r="N148" s="20">
        <v>1</v>
      </c>
      <c r="O148" s="20">
        <v>0.2</v>
      </c>
      <c r="P148" s="20">
        <v>0.7</v>
      </c>
      <c r="Q148" s="21">
        <f t="shared" si="16"/>
        <v>0.53594999999999993</v>
      </c>
      <c r="R148" s="6"/>
    </row>
    <row r="149" spans="2:18" ht="73.5" customHeight="1" x14ac:dyDescent="0.45">
      <c r="B149" s="22" t="s">
        <v>143</v>
      </c>
      <c r="C149" s="22" t="s">
        <v>43</v>
      </c>
      <c r="D149" s="151">
        <v>909</v>
      </c>
      <c r="E149" s="20">
        <f>'Work Progress (%)'!G158</f>
        <v>1</v>
      </c>
      <c r="F149" s="20">
        <f>'Work Progress (%)'!L158</f>
        <v>0</v>
      </c>
      <c r="G149" s="20">
        <f>'Work Progress (%)'!Y158</f>
        <v>0.99750000000000005</v>
      </c>
      <c r="H149" s="20">
        <f>'Work Progress (%)'!AD158</f>
        <v>0</v>
      </c>
      <c r="I149" s="20">
        <f>'Work Progress (%)'!AI158</f>
        <v>4.5000000000000005E-2</v>
      </c>
      <c r="J149" s="20">
        <f>'Work Progress (%)'!AQ158</f>
        <v>0</v>
      </c>
      <c r="K149" s="20">
        <f>'Work Progress (%)'!AV158</f>
        <v>0</v>
      </c>
      <c r="L149" s="20">
        <f>'Work Progress (%)'!BD158</f>
        <v>0</v>
      </c>
      <c r="M149" s="20">
        <v>0.7</v>
      </c>
      <c r="N149" s="20">
        <v>1</v>
      </c>
      <c r="O149" s="20">
        <v>0.2</v>
      </c>
      <c r="P149" s="20">
        <v>0.7</v>
      </c>
      <c r="Q149" s="21">
        <f t="shared" si="16"/>
        <v>0.36995000000000006</v>
      </c>
      <c r="R149" s="6"/>
    </row>
    <row r="150" spans="2:18" ht="73.5" customHeight="1" x14ac:dyDescent="0.45">
      <c r="B150" s="22" t="s">
        <v>143</v>
      </c>
      <c r="C150" s="22" t="s">
        <v>43</v>
      </c>
      <c r="D150" s="151">
        <v>910</v>
      </c>
      <c r="E150" s="20">
        <f>'Work Progress (%)'!G159</f>
        <v>1</v>
      </c>
      <c r="F150" s="20">
        <f>'Work Progress (%)'!L159</f>
        <v>0.13500000000000001</v>
      </c>
      <c r="G150" s="20">
        <f>'Work Progress (%)'!Y159</f>
        <v>0.99750000000000005</v>
      </c>
      <c r="H150" s="20">
        <f>'Work Progress (%)'!AD159</f>
        <v>0</v>
      </c>
      <c r="I150" s="20">
        <f>'Work Progress (%)'!AI159</f>
        <v>0.64500000000000002</v>
      </c>
      <c r="J150" s="20">
        <f>'Work Progress (%)'!AQ159</f>
        <v>0</v>
      </c>
      <c r="K150" s="20">
        <f>'Work Progress (%)'!AV159</f>
        <v>0</v>
      </c>
      <c r="L150" s="20">
        <f>'Work Progress (%)'!BD159</f>
        <v>0</v>
      </c>
      <c r="M150" s="20">
        <v>0.7</v>
      </c>
      <c r="N150" s="20">
        <v>1</v>
      </c>
      <c r="O150" s="20">
        <v>0.2</v>
      </c>
      <c r="P150" s="20">
        <v>0.7</v>
      </c>
      <c r="Q150" s="21">
        <f t="shared" si="16"/>
        <v>0.45020000000000004</v>
      </c>
      <c r="R150" s="6"/>
    </row>
    <row r="151" spans="2:18" ht="73.5" customHeight="1" x14ac:dyDescent="0.45">
      <c r="B151" s="22" t="s">
        <v>143</v>
      </c>
      <c r="C151" s="22" t="s">
        <v>43</v>
      </c>
      <c r="D151" s="151">
        <v>911</v>
      </c>
      <c r="E151" s="20">
        <f>'Work Progress (%)'!G160</f>
        <v>1</v>
      </c>
      <c r="F151" s="20">
        <f>'Work Progress (%)'!L160</f>
        <v>0.48</v>
      </c>
      <c r="G151" s="20">
        <f>'Work Progress (%)'!Y160</f>
        <v>0.99750000000000005</v>
      </c>
      <c r="H151" s="20">
        <f>'Work Progress (%)'!AD160</f>
        <v>0</v>
      </c>
      <c r="I151" s="20">
        <f>'Work Progress (%)'!AI160</f>
        <v>0.28999999999999998</v>
      </c>
      <c r="J151" s="20">
        <f>'Work Progress (%)'!AQ160</f>
        <v>0</v>
      </c>
      <c r="K151" s="20">
        <f>'Work Progress (%)'!AV160</f>
        <v>0</v>
      </c>
      <c r="L151" s="20">
        <f>'Work Progress (%)'!BD160</f>
        <v>0</v>
      </c>
      <c r="M151" s="20">
        <v>0.7</v>
      </c>
      <c r="N151" s="20">
        <v>1</v>
      </c>
      <c r="O151" s="20">
        <v>0.2</v>
      </c>
      <c r="P151" s="20">
        <v>0.7</v>
      </c>
      <c r="Q151" s="21">
        <f t="shared" si="16"/>
        <v>0.46645000000000003</v>
      </c>
      <c r="R151" s="6"/>
    </row>
    <row r="152" spans="2:18" ht="73.5" customHeight="1" x14ac:dyDescent="0.45">
      <c r="B152" s="22" t="s">
        <v>143</v>
      </c>
      <c r="C152" s="22" t="s">
        <v>43</v>
      </c>
      <c r="D152" s="151">
        <v>912</v>
      </c>
      <c r="E152" s="20">
        <f>'Work Progress (%)'!G161</f>
        <v>1</v>
      </c>
      <c r="F152" s="20">
        <f>'Work Progress (%)'!L161</f>
        <v>0</v>
      </c>
      <c r="G152" s="20">
        <f>'Work Progress (%)'!Y161</f>
        <v>0.99750000000000005</v>
      </c>
      <c r="H152" s="20">
        <f>'Work Progress (%)'!AD161</f>
        <v>0</v>
      </c>
      <c r="I152" s="20">
        <f>'Work Progress (%)'!AI161</f>
        <v>0.28999999999999998</v>
      </c>
      <c r="J152" s="20">
        <f>'Work Progress (%)'!AQ161</f>
        <v>0</v>
      </c>
      <c r="K152" s="20">
        <f>'Work Progress (%)'!AV161</f>
        <v>0</v>
      </c>
      <c r="L152" s="20">
        <f>'Work Progress (%)'!BD161</f>
        <v>0</v>
      </c>
      <c r="M152" s="20">
        <v>0.7</v>
      </c>
      <c r="N152" s="20">
        <v>1</v>
      </c>
      <c r="O152" s="20">
        <v>0.2</v>
      </c>
      <c r="P152" s="20">
        <v>0.7</v>
      </c>
      <c r="Q152" s="21">
        <f t="shared" si="16"/>
        <v>0.39445000000000008</v>
      </c>
      <c r="R152" s="6"/>
    </row>
    <row r="153" spans="2:18" ht="73.5" customHeight="1" x14ac:dyDescent="0.45">
      <c r="B153" s="22" t="s">
        <v>143</v>
      </c>
      <c r="C153" s="22" t="s">
        <v>43</v>
      </c>
      <c r="D153" s="151">
        <v>913</v>
      </c>
      <c r="E153" s="20">
        <f>'Work Progress (%)'!G162</f>
        <v>1</v>
      </c>
      <c r="F153" s="20">
        <f>'Work Progress (%)'!L162</f>
        <v>0</v>
      </c>
      <c r="G153" s="20">
        <f>'Work Progress (%)'!Y162</f>
        <v>0.99750000000000005</v>
      </c>
      <c r="H153" s="20">
        <f>'Work Progress (%)'!AD162</f>
        <v>0</v>
      </c>
      <c r="I153" s="20">
        <f>'Work Progress (%)'!AI162</f>
        <v>4.5000000000000005E-2</v>
      </c>
      <c r="J153" s="20">
        <f>'Work Progress (%)'!AQ162</f>
        <v>0</v>
      </c>
      <c r="K153" s="20">
        <f>'Work Progress (%)'!AV162</f>
        <v>0</v>
      </c>
      <c r="L153" s="20">
        <f>'Work Progress (%)'!BD162</f>
        <v>0</v>
      </c>
      <c r="M153" s="20">
        <v>0.7</v>
      </c>
      <c r="N153" s="20">
        <v>1</v>
      </c>
      <c r="O153" s="20">
        <v>0.2</v>
      </c>
      <c r="P153" s="20">
        <v>0.7</v>
      </c>
      <c r="Q153" s="21">
        <f t="shared" si="16"/>
        <v>0.36995000000000006</v>
      </c>
      <c r="R153" s="6"/>
    </row>
    <row r="154" spans="2:18" ht="73.5" customHeight="1" x14ac:dyDescent="0.45">
      <c r="B154" s="22" t="s">
        <v>143</v>
      </c>
      <c r="C154" s="22" t="s">
        <v>43</v>
      </c>
      <c r="D154" s="151">
        <v>914</v>
      </c>
      <c r="E154" s="20">
        <f>'Work Progress (%)'!G163</f>
        <v>1</v>
      </c>
      <c r="F154" s="20">
        <f>'Work Progress (%)'!L163</f>
        <v>0</v>
      </c>
      <c r="G154" s="20">
        <f>'Work Progress (%)'!Y163</f>
        <v>0.99750000000000005</v>
      </c>
      <c r="H154" s="20">
        <f>'Work Progress (%)'!AD163</f>
        <v>0</v>
      </c>
      <c r="I154" s="20">
        <f>'Work Progress (%)'!AI163</f>
        <v>0.8899999999999999</v>
      </c>
      <c r="J154" s="20">
        <f>'Work Progress (%)'!AQ163</f>
        <v>0</v>
      </c>
      <c r="K154" s="20">
        <f>'Work Progress (%)'!AV163</f>
        <v>0</v>
      </c>
      <c r="L154" s="20">
        <f>'Work Progress (%)'!BD163</f>
        <v>0</v>
      </c>
      <c r="M154" s="20">
        <v>0.7</v>
      </c>
      <c r="N154" s="20">
        <v>1</v>
      </c>
      <c r="O154" s="20">
        <v>0.2</v>
      </c>
      <c r="P154" s="20">
        <v>0.7</v>
      </c>
      <c r="Q154" s="21">
        <f t="shared" si="16"/>
        <v>0.45445000000000002</v>
      </c>
      <c r="R154" s="6"/>
    </row>
    <row r="155" spans="2:18" ht="73.5" customHeight="1" x14ac:dyDescent="0.45">
      <c r="B155" s="22" t="s">
        <v>143</v>
      </c>
      <c r="C155" s="22" t="s">
        <v>43</v>
      </c>
      <c r="D155" s="151">
        <v>915</v>
      </c>
      <c r="E155" s="20">
        <f>'Work Progress (%)'!G164</f>
        <v>1</v>
      </c>
      <c r="F155" s="20">
        <f>'Work Progress (%)'!L164</f>
        <v>0</v>
      </c>
      <c r="G155" s="20">
        <f>'Work Progress (%)'!Y164</f>
        <v>0.98</v>
      </c>
      <c r="H155" s="20">
        <f>'Work Progress (%)'!AD164</f>
        <v>0</v>
      </c>
      <c r="I155" s="20">
        <f>'Work Progress (%)'!AI164</f>
        <v>0.26499999999999996</v>
      </c>
      <c r="J155" s="20">
        <f>'Work Progress (%)'!AQ164</f>
        <v>0</v>
      </c>
      <c r="K155" s="20">
        <f>'Work Progress (%)'!AV164</f>
        <v>0</v>
      </c>
      <c r="L155" s="20">
        <f>'Work Progress (%)'!BD164</f>
        <v>0</v>
      </c>
      <c r="M155" s="20">
        <v>0.7</v>
      </c>
      <c r="N155" s="20">
        <v>1</v>
      </c>
      <c r="O155" s="20">
        <v>0.2</v>
      </c>
      <c r="P155" s="20">
        <v>0.7</v>
      </c>
      <c r="Q155" s="21">
        <f t="shared" si="16"/>
        <v>0.3881</v>
      </c>
      <c r="R155" s="6"/>
    </row>
    <row r="156" spans="2:18" ht="73.5" customHeight="1" x14ac:dyDescent="0.45">
      <c r="B156" s="22" t="s">
        <v>143</v>
      </c>
      <c r="C156" s="22" t="s">
        <v>43</v>
      </c>
      <c r="D156" s="151">
        <v>916</v>
      </c>
      <c r="E156" s="20">
        <f>'Work Progress (%)'!G165</f>
        <v>1</v>
      </c>
      <c r="F156" s="20">
        <f>'Work Progress (%)'!L165</f>
        <v>0</v>
      </c>
      <c r="G156" s="20">
        <f>'Work Progress (%)'!Y165</f>
        <v>0.99750000000000005</v>
      </c>
      <c r="H156" s="20">
        <f>'Work Progress (%)'!AD165</f>
        <v>0</v>
      </c>
      <c r="I156" s="20">
        <f>'Work Progress (%)'!AI165</f>
        <v>0.71</v>
      </c>
      <c r="J156" s="20">
        <f>'Work Progress (%)'!AQ165</f>
        <v>0</v>
      </c>
      <c r="K156" s="20">
        <f>'Work Progress (%)'!AV165</f>
        <v>0</v>
      </c>
      <c r="L156" s="20">
        <f>'Work Progress (%)'!BD165</f>
        <v>0</v>
      </c>
      <c r="M156" s="20">
        <v>0.7</v>
      </c>
      <c r="N156" s="20">
        <v>1</v>
      </c>
      <c r="O156" s="20">
        <v>0.2</v>
      </c>
      <c r="P156" s="20">
        <v>0.7</v>
      </c>
      <c r="Q156" s="21">
        <f t="shared" si="16"/>
        <v>0.43645000000000006</v>
      </c>
      <c r="R156" s="6"/>
    </row>
    <row r="157" spans="2:18" ht="73.5" customHeight="1" x14ac:dyDescent="0.45">
      <c r="B157" s="22" t="s">
        <v>143</v>
      </c>
      <c r="C157" s="22"/>
      <c r="D157" s="154" t="s">
        <v>44</v>
      </c>
      <c r="E157" s="141">
        <f>AVERAGE(E159:E173)</f>
        <v>1</v>
      </c>
      <c r="F157" s="141">
        <f t="shared" ref="F157:P157" si="17">AVERAGE(F159:F173)</f>
        <v>0</v>
      </c>
      <c r="G157" s="20">
        <f t="shared" si="17"/>
        <v>0.40716666666666673</v>
      </c>
      <c r="H157" s="141">
        <f t="shared" si="17"/>
        <v>0</v>
      </c>
      <c r="I157" s="141">
        <f t="shared" si="17"/>
        <v>3.1666666666666662E-2</v>
      </c>
      <c r="J157" s="141">
        <f t="shared" si="17"/>
        <v>0</v>
      </c>
      <c r="K157" s="141">
        <f t="shared" si="17"/>
        <v>0</v>
      </c>
      <c r="L157" s="141">
        <f t="shared" si="17"/>
        <v>0</v>
      </c>
      <c r="M157" s="141">
        <f t="shared" si="17"/>
        <v>0.69999999999999984</v>
      </c>
      <c r="N157" s="141">
        <f t="shared" si="17"/>
        <v>1</v>
      </c>
      <c r="O157" s="141">
        <f t="shared" si="17"/>
        <v>0.20000000000000004</v>
      </c>
      <c r="P157" s="141">
        <f t="shared" si="17"/>
        <v>0.69999999999999984</v>
      </c>
      <c r="Q157" s="13">
        <f>AVERAGE(Q158:Q173)</f>
        <v>0.24075625000000003</v>
      </c>
      <c r="R157" s="12"/>
    </row>
    <row r="158" spans="2:18" ht="73.5" customHeight="1" x14ac:dyDescent="0.45">
      <c r="B158" s="22" t="s">
        <v>143</v>
      </c>
      <c r="C158" s="22" t="s">
        <v>45</v>
      </c>
      <c r="D158" s="151">
        <v>1001</v>
      </c>
      <c r="E158" s="20">
        <f>'Work Progress (%)'!G167</f>
        <v>1</v>
      </c>
      <c r="F158" s="20">
        <f>'Work Progress (%)'!L167</f>
        <v>0</v>
      </c>
      <c r="G158" s="20">
        <f>'Work Progress (%)'!Y167</f>
        <v>0.54749999999999999</v>
      </c>
      <c r="H158" s="20">
        <f>'Work Progress (%)'!AD167</f>
        <v>0</v>
      </c>
      <c r="I158" s="20">
        <f>'Work Progress (%)'!AI167</f>
        <v>4.5000000000000005E-2</v>
      </c>
      <c r="J158" s="20">
        <f>'Work Progress (%)'!AQ167</f>
        <v>0</v>
      </c>
      <c r="K158" s="20">
        <f>'Work Progress (%)'!AV167</f>
        <v>0</v>
      </c>
      <c r="L158" s="20">
        <f>'Work Progress (%)'!BD167</f>
        <v>0</v>
      </c>
      <c r="M158" s="20">
        <v>0.7</v>
      </c>
      <c r="N158" s="20">
        <v>1</v>
      </c>
      <c r="O158" s="20">
        <v>0.2</v>
      </c>
      <c r="P158" s="20">
        <v>0.7</v>
      </c>
      <c r="Q158" s="21">
        <f t="shared" ref="Q158:Q173" si="18">SUMPRODUCT(E158:P158, E$2:P$2)</f>
        <v>0.27095000000000002</v>
      </c>
      <c r="R158" s="6"/>
    </row>
    <row r="159" spans="2:18" ht="73.5" customHeight="1" x14ac:dyDescent="0.45">
      <c r="B159" s="22" t="s">
        <v>143</v>
      </c>
      <c r="C159" s="22" t="s">
        <v>45</v>
      </c>
      <c r="D159" s="151">
        <v>1002</v>
      </c>
      <c r="E159" s="20">
        <f>'Work Progress (%)'!G168</f>
        <v>1</v>
      </c>
      <c r="F159" s="20">
        <f>'Work Progress (%)'!L168</f>
        <v>0</v>
      </c>
      <c r="G159" s="20">
        <f>'Work Progress (%)'!Y168</f>
        <v>0.2175</v>
      </c>
      <c r="H159" s="20">
        <f>'Work Progress (%)'!AD168</f>
        <v>0</v>
      </c>
      <c r="I159" s="20">
        <f>'Work Progress (%)'!AI168</f>
        <v>3.4999999999999996E-2</v>
      </c>
      <c r="J159" s="20">
        <f>'Work Progress (%)'!AQ168</f>
        <v>0</v>
      </c>
      <c r="K159" s="20">
        <f>'Work Progress (%)'!AV168</f>
        <v>0</v>
      </c>
      <c r="L159" s="20">
        <f>'Work Progress (%)'!BD168</f>
        <v>0</v>
      </c>
      <c r="M159" s="20">
        <v>0.7</v>
      </c>
      <c r="N159" s="20">
        <v>1</v>
      </c>
      <c r="O159" s="20">
        <v>0.2</v>
      </c>
      <c r="P159" s="20">
        <v>0.7</v>
      </c>
      <c r="Q159" s="21">
        <f t="shared" si="18"/>
        <v>0.19735000000000003</v>
      </c>
      <c r="R159" s="6"/>
    </row>
    <row r="160" spans="2:18" ht="73.5" customHeight="1" x14ac:dyDescent="0.45">
      <c r="B160" s="22" t="s">
        <v>143</v>
      </c>
      <c r="C160" s="22" t="s">
        <v>45</v>
      </c>
      <c r="D160" s="151">
        <v>1003</v>
      </c>
      <c r="E160" s="20">
        <f>'Work Progress (%)'!G169</f>
        <v>1</v>
      </c>
      <c r="F160" s="20">
        <f>'Work Progress (%)'!L169</f>
        <v>0</v>
      </c>
      <c r="G160" s="20">
        <f>'Work Progress (%)'!Y169</f>
        <v>0</v>
      </c>
      <c r="H160" s="20">
        <f>'Work Progress (%)'!AD169</f>
        <v>0</v>
      </c>
      <c r="I160" s="20">
        <f>'Work Progress (%)'!AI169</f>
        <v>4.5000000000000005E-2</v>
      </c>
      <c r="J160" s="20">
        <f>'Work Progress (%)'!AQ169</f>
        <v>0</v>
      </c>
      <c r="K160" s="20">
        <f>'Work Progress (%)'!AV169</f>
        <v>0</v>
      </c>
      <c r="L160" s="20">
        <f>'Work Progress (%)'!BD169</f>
        <v>0</v>
      </c>
      <c r="M160" s="20">
        <v>0.7</v>
      </c>
      <c r="N160" s="20">
        <v>1</v>
      </c>
      <c r="O160" s="20">
        <v>0.2</v>
      </c>
      <c r="P160" s="20">
        <v>0.7</v>
      </c>
      <c r="Q160" s="21">
        <f t="shared" si="18"/>
        <v>0.15050000000000002</v>
      </c>
      <c r="R160" s="6"/>
    </row>
    <row r="161" spans="2:18" ht="73.5" customHeight="1" x14ac:dyDescent="0.45">
      <c r="B161" s="22" t="s">
        <v>143</v>
      </c>
      <c r="C161" s="22" t="s">
        <v>45</v>
      </c>
      <c r="D161" s="151">
        <v>1004</v>
      </c>
      <c r="E161" s="20">
        <f>'Work Progress (%)'!G170</f>
        <v>1</v>
      </c>
      <c r="F161" s="20">
        <f>'Work Progress (%)'!L170</f>
        <v>0</v>
      </c>
      <c r="G161" s="20">
        <f>'Work Progress (%)'!Y170</f>
        <v>0.39749999999999996</v>
      </c>
      <c r="H161" s="20">
        <f>'Work Progress (%)'!AD170</f>
        <v>0</v>
      </c>
      <c r="I161" s="20">
        <f>'Work Progress (%)'!AI170</f>
        <v>3.4999999999999996E-2</v>
      </c>
      <c r="J161" s="20">
        <f>'Work Progress (%)'!AQ170</f>
        <v>0</v>
      </c>
      <c r="K161" s="20">
        <f>'Work Progress (%)'!AV170</f>
        <v>0</v>
      </c>
      <c r="L161" s="20">
        <f>'Work Progress (%)'!BD170</f>
        <v>0</v>
      </c>
      <c r="M161" s="20">
        <v>0.7</v>
      </c>
      <c r="N161" s="20">
        <v>1</v>
      </c>
      <c r="O161" s="20">
        <v>0.2</v>
      </c>
      <c r="P161" s="20">
        <v>0.7</v>
      </c>
      <c r="Q161" s="21">
        <f t="shared" si="18"/>
        <v>0.23694999999999999</v>
      </c>
      <c r="R161" s="6"/>
    </row>
    <row r="162" spans="2:18" ht="73.5" customHeight="1" x14ac:dyDescent="0.45">
      <c r="B162" s="22" t="s">
        <v>143</v>
      </c>
      <c r="C162" s="22" t="s">
        <v>45</v>
      </c>
      <c r="D162" s="151">
        <v>1005</v>
      </c>
      <c r="E162" s="20">
        <f>'Work Progress (%)'!G171</f>
        <v>1</v>
      </c>
      <c r="F162" s="20">
        <f>'Work Progress (%)'!L171</f>
        <v>0</v>
      </c>
      <c r="G162" s="20">
        <f>'Work Progress (%)'!Y171</f>
        <v>0.4375</v>
      </c>
      <c r="H162" s="20">
        <f>'Work Progress (%)'!AD171</f>
        <v>0</v>
      </c>
      <c r="I162" s="20">
        <f>'Work Progress (%)'!AI171</f>
        <v>4.5000000000000005E-2</v>
      </c>
      <c r="J162" s="20">
        <f>'Work Progress (%)'!AQ171</f>
        <v>0</v>
      </c>
      <c r="K162" s="20">
        <f>'Work Progress (%)'!AV171</f>
        <v>0</v>
      </c>
      <c r="L162" s="20">
        <f>'Work Progress (%)'!BD171</f>
        <v>0</v>
      </c>
      <c r="M162" s="20">
        <v>0.7</v>
      </c>
      <c r="N162" s="20">
        <v>1</v>
      </c>
      <c r="O162" s="20">
        <v>0.2</v>
      </c>
      <c r="P162" s="20">
        <v>0.7</v>
      </c>
      <c r="Q162" s="21">
        <f t="shared" si="18"/>
        <v>0.24675000000000002</v>
      </c>
      <c r="R162" s="6"/>
    </row>
    <row r="163" spans="2:18" ht="73.5" customHeight="1" x14ac:dyDescent="0.45">
      <c r="B163" s="22" t="s">
        <v>143</v>
      </c>
      <c r="C163" s="22" t="s">
        <v>45</v>
      </c>
      <c r="D163" s="151">
        <v>1006</v>
      </c>
      <c r="E163" s="20">
        <f>'Work Progress (%)'!G172</f>
        <v>1</v>
      </c>
      <c r="F163" s="20">
        <f>'Work Progress (%)'!L172</f>
        <v>0</v>
      </c>
      <c r="G163" s="20">
        <f>'Work Progress (%)'!Y172</f>
        <v>0.39749999999999996</v>
      </c>
      <c r="H163" s="20">
        <f>'Work Progress (%)'!AD172</f>
        <v>0</v>
      </c>
      <c r="I163" s="20">
        <f>'Work Progress (%)'!AI172</f>
        <v>3.4999999999999996E-2</v>
      </c>
      <c r="J163" s="20">
        <f>'Work Progress (%)'!AQ172</f>
        <v>0</v>
      </c>
      <c r="K163" s="20">
        <f>'Work Progress (%)'!AV172</f>
        <v>0</v>
      </c>
      <c r="L163" s="20">
        <f>'Work Progress (%)'!BD172</f>
        <v>0</v>
      </c>
      <c r="M163" s="20">
        <v>0.7</v>
      </c>
      <c r="N163" s="20">
        <v>1</v>
      </c>
      <c r="O163" s="20">
        <v>0.2</v>
      </c>
      <c r="P163" s="20">
        <v>0.7</v>
      </c>
      <c r="Q163" s="21">
        <f t="shared" si="18"/>
        <v>0.23694999999999999</v>
      </c>
      <c r="R163" s="6"/>
    </row>
    <row r="164" spans="2:18" ht="73.5" customHeight="1" x14ac:dyDescent="0.45">
      <c r="B164" s="22" t="s">
        <v>143</v>
      </c>
      <c r="C164" s="22" t="s">
        <v>45</v>
      </c>
      <c r="D164" s="151">
        <v>1007</v>
      </c>
      <c r="E164" s="20">
        <f>'Work Progress (%)'!G173</f>
        <v>1</v>
      </c>
      <c r="F164" s="20">
        <f>'Work Progress (%)'!L173</f>
        <v>0</v>
      </c>
      <c r="G164" s="20">
        <f>'Work Progress (%)'!Y173</f>
        <v>0.4375</v>
      </c>
      <c r="H164" s="20">
        <f>'Work Progress (%)'!AD173</f>
        <v>0</v>
      </c>
      <c r="I164" s="20">
        <f>'Work Progress (%)'!AI173</f>
        <v>4.5000000000000005E-2</v>
      </c>
      <c r="J164" s="20">
        <f>'Work Progress (%)'!AQ173</f>
        <v>0</v>
      </c>
      <c r="K164" s="20">
        <f>'Work Progress (%)'!AV173</f>
        <v>0</v>
      </c>
      <c r="L164" s="20">
        <f>'Work Progress (%)'!BD173</f>
        <v>0</v>
      </c>
      <c r="M164" s="20">
        <v>0.7</v>
      </c>
      <c r="N164" s="20">
        <v>1</v>
      </c>
      <c r="O164" s="20">
        <v>0.2</v>
      </c>
      <c r="P164" s="20">
        <v>0.7</v>
      </c>
      <c r="Q164" s="21">
        <f t="shared" si="18"/>
        <v>0.24675000000000002</v>
      </c>
      <c r="R164" s="6"/>
    </row>
    <row r="165" spans="2:18" ht="73.5" customHeight="1" x14ac:dyDescent="0.45">
      <c r="B165" s="22" t="s">
        <v>143</v>
      </c>
      <c r="C165" s="22" t="s">
        <v>45</v>
      </c>
      <c r="D165" s="151">
        <v>1008</v>
      </c>
      <c r="E165" s="20">
        <f>'Work Progress (%)'!G174</f>
        <v>1</v>
      </c>
      <c r="F165" s="20">
        <f>'Work Progress (%)'!L174</f>
        <v>0</v>
      </c>
      <c r="G165" s="20">
        <f>'Work Progress (%)'!Y174</f>
        <v>0.67749999999999999</v>
      </c>
      <c r="H165" s="20">
        <f>'Work Progress (%)'!AD174</f>
        <v>0</v>
      </c>
      <c r="I165" s="20">
        <f>'Work Progress (%)'!AI174</f>
        <v>3.4999999999999996E-2</v>
      </c>
      <c r="J165" s="20">
        <f>'Work Progress (%)'!AQ174</f>
        <v>0</v>
      </c>
      <c r="K165" s="20">
        <f>'Work Progress (%)'!AV174</f>
        <v>0</v>
      </c>
      <c r="L165" s="20">
        <f>'Work Progress (%)'!BD174</f>
        <v>0</v>
      </c>
      <c r="M165" s="20">
        <v>0.7</v>
      </c>
      <c r="N165" s="20">
        <v>1</v>
      </c>
      <c r="O165" s="20">
        <v>0.2</v>
      </c>
      <c r="P165" s="20">
        <v>0.7</v>
      </c>
      <c r="Q165" s="21">
        <f t="shared" si="18"/>
        <v>0.29855000000000004</v>
      </c>
      <c r="R165" s="6"/>
    </row>
    <row r="166" spans="2:18" ht="73.5" customHeight="1" x14ac:dyDescent="0.45">
      <c r="B166" s="22" t="s">
        <v>143</v>
      </c>
      <c r="C166" s="22" t="s">
        <v>45</v>
      </c>
      <c r="D166" s="151">
        <v>1009</v>
      </c>
      <c r="E166" s="20">
        <f>'Work Progress (%)'!G175</f>
        <v>1</v>
      </c>
      <c r="F166" s="20">
        <f>'Work Progress (%)'!L175</f>
        <v>0</v>
      </c>
      <c r="G166" s="20">
        <f>'Work Progress (%)'!Y175</f>
        <v>0.4375</v>
      </c>
      <c r="H166" s="20">
        <f>'Work Progress (%)'!AD175</f>
        <v>0</v>
      </c>
      <c r="I166" s="20">
        <f>'Work Progress (%)'!AI175</f>
        <v>4.5000000000000005E-2</v>
      </c>
      <c r="J166" s="20">
        <f>'Work Progress (%)'!AQ175</f>
        <v>0</v>
      </c>
      <c r="K166" s="20">
        <f>'Work Progress (%)'!AV175</f>
        <v>0</v>
      </c>
      <c r="L166" s="20">
        <f>'Work Progress (%)'!BD175</f>
        <v>0</v>
      </c>
      <c r="M166" s="20">
        <v>0.7</v>
      </c>
      <c r="N166" s="20">
        <v>1</v>
      </c>
      <c r="O166" s="20">
        <v>0.2</v>
      </c>
      <c r="P166" s="20">
        <v>0.7</v>
      </c>
      <c r="Q166" s="21">
        <f t="shared" si="18"/>
        <v>0.24675000000000002</v>
      </c>
      <c r="R166" s="6"/>
    </row>
    <row r="167" spans="2:18" ht="73.5" customHeight="1" x14ac:dyDescent="0.45">
      <c r="B167" s="22" t="s">
        <v>143</v>
      </c>
      <c r="C167" s="22" t="s">
        <v>45</v>
      </c>
      <c r="D167" s="151">
        <v>1010</v>
      </c>
      <c r="E167" s="20">
        <f>'Work Progress (%)'!G176</f>
        <v>1</v>
      </c>
      <c r="F167" s="20">
        <f>'Work Progress (%)'!L176</f>
        <v>0</v>
      </c>
      <c r="G167" s="20">
        <f>'Work Progress (%)'!Y176</f>
        <v>0.6875</v>
      </c>
      <c r="H167" s="20">
        <f>'Work Progress (%)'!AD176</f>
        <v>0</v>
      </c>
      <c r="I167" s="20">
        <f>'Work Progress (%)'!AI176</f>
        <v>4.5000000000000005E-2</v>
      </c>
      <c r="J167" s="20">
        <f>'Work Progress (%)'!AQ176</f>
        <v>0</v>
      </c>
      <c r="K167" s="20">
        <f>'Work Progress (%)'!AV176</f>
        <v>0</v>
      </c>
      <c r="L167" s="20">
        <f>'Work Progress (%)'!BD176</f>
        <v>0</v>
      </c>
      <c r="M167" s="20">
        <v>0.7</v>
      </c>
      <c r="N167" s="20">
        <v>1</v>
      </c>
      <c r="O167" s="20">
        <v>0.2</v>
      </c>
      <c r="P167" s="20">
        <v>0.7</v>
      </c>
      <c r="Q167" s="21">
        <f t="shared" si="18"/>
        <v>0.30175000000000002</v>
      </c>
      <c r="R167" s="6"/>
    </row>
    <row r="168" spans="2:18" ht="73.5" customHeight="1" x14ac:dyDescent="0.45">
      <c r="B168" s="22" t="s">
        <v>143</v>
      </c>
      <c r="C168" s="22" t="s">
        <v>45</v>
      </c>
      <c r="D168" s="151">
        <v>1011</v>
      </c>
      <c r="E168" s="20">
        <f>'Work Progress (%)'!G177</f>
        <v>1</v>
      </c>
      <c r="F168" s="20">
        <f>'Work Progress (%)'!L177</f>
        <v>0</v>
      </c>
      <c r="G168" s="20">
        <f>'Work Progress (%)'!Y177</f>
        <v>0.39749999999999996</v>
      </c>
      <c r="H168" s="20">
        <f>'Work Progress (%)'!AD177</f>
        <v>0</v>
      </c>
      <c r="I168" s="20">
        <f>'Work Progress (%)'!AI177</f>
        <v>4.5000000000000005E-2</v>
      </c>
      <c r="J168" s="20">
        <f>'Work Progress (%)'!AQ177</f>
        <v>0</v>
      </c>
      <c r="K168" s="20">
        <f>'Work Progress (%)'!AV177</f>
        <v>0</v>
      </c>
      <c r="L168" s="20">
        <f>'Work Progress (%)'!BD177</f>
        <v>0</v>
      </c>
      <c r="M168" s="20">
        <v>0.7</v>
      </c>
      <c r="N168" s="20">
        <v>1</v>
      </c>
      <c r="O168" s="20">
        <v>0.2</v>
      </c>
      <c r="P168" s="20">
        <v>0.7</v>
      </c>
      <c r="Q168" s="21">
        <f t="shared" si="18"/>
        <v>0.23794999999999999</v>
      </c>
      <c r="R168" s="6"/>
    </row>
    <row r="169" spans="2:18" ht="73.5" customHeight="1" x14ac:dyDescent="0.45">
      <c r="B169" s="22" t="s">
        <v>143</v>
      </c>
      <c r="C169" s="22" t="s">
        <v>45</v>
      </c>
      <c r="D169" s="151">
        <v>1012</v>
      </c>
      <c r="E169" s="20">
        <f>'Work Progress (%)'!G178</f>
        <v>1</v>
      </c>
      <c r="F169" s="20">
        <f>'Work Progress (%)'!L178</f>
        <v>0</v>
      </c>
      <c r="G169" s="20">
        <f>'Work Progress (%)'!Y178</f>
        <v>0.67749999999999999</v>
      </c>
      <c r="H169" s="20">
        <f>'Work Progress (%)'!AD178</f>
        <v>0</v>
      </c>
      <c r="I169" s="20">
        <f>'Work Progress (%)'!AI178</f>
        <v>0</v>
      </c>
      <c r="J169" s="20">
        <f>'Work Progress (%)'!AQ178</f>
        <v>0</v>
      </c>
      <c r="K169" s="20">
        <f>'Work Progress (%)'!AV178</f>
        <v>0</v>
      </c>
      <c r="L169" s="20">
        <f>'Work Progress (%)'!BD178</f>
        <v>0</v>
      </c>
      <c r="M169" s="20">
        <v>0.7</v>
      </c>
      <c r="N169" s="20">
        <v>1</v>
      </c>
      <c r="O169" s="20">
        <v>0.2</v>
      </c>
      <c r="P169" s="20">
        <v>0.7</v>
      </c>
      <c r="Q169" s="21">
        <f t="shared" si="18"/>
        <v>0.29505000000000003</v>
      </c>
      <c r="R169" s="6"/>
    </row>
    <row r="170" spans="2:18" ht="73.5" customHeight="1" x14ac:dyDescent="0.45">
      <c r="B170" s="22" t="s">
        <v>143</v>
      </c>
      <c r="C170" s="22" t="s">
        <v>45</v>
      </c>
      <c r="D170" s="151">
        <v>1013</v>
      </c>
      <c r="E170" s="20">
        <f>'Work Progress (%)'!G179</f>
        <v>1</v>
      </c>
      <c r="F170" s="20">
        <f>'Work Progress (%)'!L179</f>
        <v>0</v>
      </c>
      <c r="G170" s="20">
        <f>'Work Progress (%)'!Y179</f>
        <v>0.54749999999999999</v>
      </c>
      <c r="H170" s="20">
        <f>'Work Progress (%)'!AD179</f>
        <v>0</v>
      </c>
      <c r="I170" s="20">
        <f>'Work Progress (%)'!AI179</f>
        <v>4.5000000000000005E-2</v>
      </c>
      <c r="J170" s="20">
        <f>'Work Progress (%)'!AQ179</f>
        <v>0</v>
      </c>
      <c r="K170" s="20">
        <f>'Work Progress (%)'!AV179</f>
        <v>0</v>
      </c>
      <c r="L170" s="20">
        <f>'Work Progress (%)'!BD179</f>
        <v>0</v>
      </c>
      <c r="M170" s="20">
        <v>0.7</v>
      </c>
      <c r="N170" s="20">
        <v>1</v>
      </c>
      <c r="O170" s="20">
        <v>0.2</v>
      </c>
      <c r="P170" s="20">
        <v>0.7</v>
      </c>
      <c r="Q170" s="21">
        <f t="shared" si="18"/>
        <v>0.27095000000000002</v>
      </c>
      <c r="R170" s="6"/>
    </row>
    <row r="171" spans="2:18" ht="73.5" customHeight="1" x14ac:dyDescent="0.45">
      <c r="B171" s="22" t="s">
        <v>143</v>
      </c>
      <c r="C171" s="22" t="s">
        <v>45</v>
      </c>
      <c r="D171" s="151">
        <v>1014</v>
      </c>
      <c r="E171" s="20">
        <f>'Work Progress (%)'!G180</f>
        <v>1</v>
      </c>
      <c r="F171" s="20">
        <f>'Work Progress (%)'!L180</f>
        <v>0</v>
      </c>
      <c r="G171" s="20">
        <f>'Work Progress (%)'!Y180</f>
        <v>0.39749999999999996</v>
      </c>
      <c r="H171" s="20">
        <f>'Work Progress (%)'!AD180</f>
        <v>0</v>
      </c>
      <c r="I171" s="20">
        <f>'Work Progress (%)'!AI180</f>
        <v>0</v>
      </c>
      <c r="J171" s="20">
        <f>'Work Progress (%)'!AQ180</f>
        <v>0</v>
      </c>
      <c r="K171" s="20">
        <f>'Work Progress (%)'!AV180</f>
        <v>0</v>
      </c>
      <c r="L171" s="20">
        <f>'Work Progress (%)'!BD180</f>
        <v>0</v>
      </c>
      <c r="M171" s="20">
        <v>0.7</v>
      </c>
      <c r="N171" s="20">
        <v>1</v>
      </c>
      <c r="O171" s="20">
        <v>0.2</v>
      </c>
      <c r="P171" s="20">
        <v>0.7</v>
      </c>
      <c r="Q171" s="21">
        <f t="shared" si="18"/>
        <v>0.23344999999999999</v>
      </c>
      <c r="R171" s="6"/>
    </row>
    <row r="172" spans="2:18" ht="73.5" customHeight="1" x14ac:dyDescent="0.45">
      <c r="B172" s="22" t="s">
        <v>143</v>
      </c>
      <c r="C172" s="22" t="s">
        <v>45</v>
      </c>
      <c r="D172" s="151">
        <v>1015</v>
      </c>
      <c r="E172" s="20">
        <f>'Work Progress (%)'!G181</f>
        <v>1</v>
      </c>
      <c r="F172" s="20">
        <f>'Work Progress (%)'!L181</f>
        <v>0</v>
      </c>
      <c r="G172" s="20">
        <f>'Work Progress (%)'!Y181</f>
        <v>0</v>
      </c>
      <c r="H172" s="20">
        <f>'Work Progress (%)'!AD181</f>
        <v>0</v>
      </c>
      <c r="I172" s="20">
        <f>'Work Progress (%)'!AI181</f>
        <v>2.0000000000000004E-2</v>
      </c>
      <c r="J172" s="20">
        <f>'Work Progress (%)'!AQ181</f>
        <v>0</v>
      </c>
      <c r="K172" s="20">
        <f>'Work Progress (%)'!AV181</f>
        <v>0</v>
      </c>
      <c r="L172" s="20">
        <f>'Work Progress (%)'!BD181</f>
        <v>0</v>
      </c>
      <c r="M172" s="20">
        <v>0.7</v>
      </c>
      <c r="N172" s="20">
        <v>1</v>
      </c>
      <c r="O172" s="20">
        <v>0.2</v>
      </c>
      <c r="P172" s="20">
        <v>0.7</v>
      </c>
      <c r="Q172" s="21">
        <f t="shared" si="18"/>
        <v>0.14800000000000002</v>
      </c>
      <c r="R172" s="6"/>
    </row>
    <row r="173" spans="2:18" ht="73.5" customHeight="1" x14ac:dyDescent="0.45">
      <c r="B173" s="22" t="s">
        <v>143</v>
      </c>
      <c r="C173" s="22" t="s">
        <v>45</v>
      </c>
      <c r="D173" s="151">
        <v>1016</v>
      </c>
      <c r="E173" s="20">
        <f>'Work Progress (%)'!G182</f>
        <v>1</v>
      </c>
      <c r="F173" s="20">
        <f>'Work Progress (%)'!L182</f>
        <v>0</v>
      </c>
      <c r="G173" s="20">
        <f>'Work Progress (%)'!Y182</f>
        <v>0.39749999999999996</v>
      </c>
      <c r="H173" s="20">
        <f>'Work Progress (%)'!AD182</f>
        <v>0</v>
      </c>
      <c r="I173" s="20">
        <f>'Work Progress (%)'!AI182</f>
        <v>0</v>
      </c>
      <c r="J173" s="20">
        <f>'Work Progress (%)'!AQ182</f>
        <v>0</v>
      </c>
      <c r="K173" s="20">
        <f>'Work Progress (%)'!AV182</f>
        <v>0</v>
      </c>
      <c r="L173" s="20">
        <f>'Work Progress (%)'!BD182</f>
        <v>0</v>
      </c>
      <c r="M173" s="20">
        <v>0.7</v>
      </c>
      <c r="N173" s="20">
        <v>1</v>
      </c>
      <c r="O173" s="20">
        <v>0.2</v>
      </c>
      <c r="P173" s="20">
        <v>0.7</v>
      </c>
      <c r="Q173" s="21">
        <f t="shared" si="18"/>
        <v>0.23344999999999999</v>
      </c>
      <c r="R173" s="6"/>
    </row>
    <row r="174" spans="2:18" ht="73.5" customHeight="1" x14ac:dyDescent="0.45">
      <c r="B174" s="22" t="s">
        <v>143</v>
      </c>
      <c r="C174" s="22"/>
      <c r="D174" s="154" t="s">
        <v>46</v>
      </c>
      <c r="E174" s="141">
        <f>AVERAGE(E176:E190)</f>
        <v>0.90000000000000024</v>
      </c>
      <c r="F174" s="141">
        <f t="shared" ref="F174:P174" si="19">AVERAGE(F176:F190)</f>
        <v>0</v>
      </c>
      <c r="G174" s="20">
        <f t="shared" si="19"/>
        <v>0</v>
      </c>
      <c r="H174" s="141">
        <f t="shared" si="19"/>
        <v>0</v>
      </c>
      <c r="I174" s="141">
        <f t="shared" si="19"/>
        <v>0</v>
      </c>
      <c r="J174" s="141">
        <f t="shared" si="19"/>
        <v>0</v>
      </c>
      <c r="K174" s="141">
        <f t="shared" si="19"/>
        <v>0</v>
      </c>
      <c r="L174" s="141">
        <f t="shared" si="19"/>
        <v>0</v>
      </c>
      <c r="M174" s="141">
        <f t="shared" si="19"/>
        <v>0.69999999999999984</v>
      </c>
      <c r="N174" s="141">
        <f t="shared" si="19"/>
        <v>1</v>
      </c>
      <c r="O174" s="141">
        <f t="shared" si="19"/>
        <v>0.20000000000000004</v>
      </c>
      <c r="P174" s="141">
        <f t="shared" si="19"/>
        <v>0.69999999999999984</v>
      </c>
      <c r="Q174" s="14">
        <f>AVERAGE(Q175:Q190)</f>
        <v>0.13399999999999995</v>
      </c>
      <c r="R174" s="12"/>
    </row>
    <row r="175" spans="2:18" ht="73.5" customHeight="1" x14ac:dyDescent="0.45">
      <c r="B175" s="22" t="s">
        <v>143</v>
      </c>
      <c r="C175" s="22" t="s">
        <v>47</v>
      </c>
      <c r="D175" s="151">
        <v>1101</v>
      </c>
      <c r="E175" s="20">
        <v>0.9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0.7</v>
      </c>
      <c r="N175" s="20">
        <v>1</v>
      </c>
      <c r="O175" s="20">
        <v>0.2</v>
      </c>
      <c r="P175" s="20">
        <v>0.7</v>
      </c>
      <c r="Q175" s="21">
        <f t="shared" ref="Q175:Q190" si="20">SUMPRODUCT(E175:P175, E$2:P$2)</f>
        <v>0.13399999999999998</v>
      </c>
      <c r="R175" s="6"/>
    </row>
    <row r="176" spans="2:18" ht="73.5" customHeight="1" x14ac:dyDescent="0.45">
      <c r="B176" s="22" t="s">
        <v>143</v>
      </c>
      <c r="C176" s="22" t="s">
        <v>47</v>
      </c>
      <c r="D176" s="151">
        <v>1102</v>
      </c>
      <c r="E176" s="20">
        <v>0.9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0.7</v>
      </c>
      <c r="N176" s="20">
        <v>1</v>
      </c>
      <c r="O176" s="20">
        <v>0.2</v>
      </c>
      <c r="P176" s="20">
        <v>0.7</v>
      </c>
      <c r="Q176" s="21">
        <f t="shared" si="20"/>
        <v>0.13399999999999998</v>
      </c>
      <c r="R176" s="6"/>
    </row>
    <row r="177" spans="2:18" ht="73.5" customHeight="1" x14ac:dyDescent="0.45">
      <c r="B177" s="22" t="s">
        <v>143</v>
      </c>
      <c r="C177" s="22" t="s">
        <v>47</v>
      </c>
      <c r="D177" s="151">
        <v>1103</v>
      </c>
      <c r="E177" s="20">
        <v>0.9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0.7</v>
      </c>
      <c r="N177" s="20">
        <v>1</v>
      </c>
      <c r="O177" s="20">
        <v>0.2</v>
      </c>
      <c r="P177" s="20">
        <v>0.7</v>
      </c>
      <c r="Q177" s="21">
        <f t="shared" si="20"/>
        <v>0.13399999999999998</v>
      </c>
      <c r="R177" s="6"/>
    </row>
    <row r="178" spans="2:18" ht="73.5" customHeight="1" x14ac:dyDescent="0.45">
      <c r="B178" s="22" t="s">
        <v>143</v>
      </c>
      <c r="C178" s="22" t="s">
        <v>47</v>
      </c>
      <c r="D178" s="151">
        <v>1104</v>
      </c>
      <c r="E178" s="20">
        <v>0.9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0.7</v>
      </c>
      <c r="N178" s="20">
        <v>1</v>
      </c>
      <c r="O178" s="20">
        <v>0.2</v>
      </c>
      <c r="P178" s="20">
        <v>0.7</v>
      </c>
      <c r="Q178" s="21">
        <f t="shared" si="20"/>
        <v>0.13399999999999998</v>
      </c>
      <c r="R178" s="6"/>
    </row>
    <row r="179" spans="2:18" ht="73.5" customHeight="1" x14ac:dyDescent="0.45">
      <c r="B179" s="22" t="s">
        <v>143</v>
      </c>
      <c r="C179" s="22" t="s">
        <v>47</v>
      </c>
      <c r="D179" s="151">
        <v>1105</v>
      </c>
      <c r="E179" s="20">
        <v>0.9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0.7</v>
      </c>
      <c r="N179" s="20">
        <v>1</v>
      </c>
      <c r="O179" s="20">
        <v>0.2</v>
      </c>
      <c r="P179" s="20">
        <v>0.7</v>
      </c>
      <c r="Q179" s="21">
        <f t="shared" si="20"/>
        <v>0.13399999999999998</v>
      </c>
      <c r="R179" s="6"/>
    </row>
    <row r="180" spans="2:18" ht="73.5" customHeight="1" x14ac:dyDescent="0.45">
      <c r="B180" s="22" t="s">
        <v>143</v>
      </c>
      <c r="C180" s="22" t="s">
        <v>47</v>
      </c>
      <c r="D180" s="151">
        <v>1106</v>
      </c>
      <c r="E180" s="20">
        <v>0.9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0.7</v>
      </c>
      <c r="N180" s="20">
        <v>1</v>
      </c>
      <c r="O180" s="20">
        <v>0.2</v>
      </c>
      <c r="P180" s="20">
        <v>0.7</v>
      </c>
      <c r="Q180" s="21">
        <f t="shared" si="20"/>
        <v>0.13399999999999998</v>
      </c>
      <c r="R180" s="6"/>
    </row>
    <row r="181" spans="2:18" ht="73.5" customHeight="1" x14ac:dyDescent="0.45">
      <c r="B181" s="22" t="s">
        <v>143</v>
      </c>
      <c r="C181" s="22" t="s">
        <v>47</v>
      </c>
      <c r="D181" s="151">
        <v>1107</v>
      </c>
      <c r="E181" s="20">
        <v>0.9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0.7</v>
      </c>
      <c r="N181" s="20">
        <v>1</v>
      </c>
      <c r="O181" s="20">
        <v>0.2</v>
      </c>
      <c r="P181" s="20">
        <v>0.7</v>
      </c>
      <c r="Q181" s="21">
        <f t="shared" si="20"/>
        <v>0.13399999999999998</v>
      </c>
      <c r="R181" s="6"/>
    </row>
    <row r="182" spans="2:18" ht="73.5" customHeight="1" x14ac:dyDescent="0.45">
      <c r="B182" s="22" t="s">
        <v>143</v>
      </c>
      <c r="C182" s="22" t="s">
        <v>47</v>
      </c>
      <c r="D182" s="151">
        <v>1108</v>
      </c>
      <c r="E182" s="20">
        <v>0.9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0.7</v>
      </c>
      <c r="N182" s="20">
        <v>1</v>
      </c>
      <c r="O182" s="20">
        <v>0.2</v>
      </c>
      <c r="P182" s="20">
        <v>0.7</v>
      </c>
      <c r="Q182" s="21">
        <f t="shared" si="20"/>
        <v>0.13399999999999998</v>
      </c>
      <c r="R182" s="6"/>
    </row>
    <row r="183" spans="2:18" ht="73.5" customHeight="1" x14ac:dyDescent="0.45">
      <c r="B183" s="22" t="s">
        <v>143</v>
      </c>
      <c r="C183" s="22" t="s">
        <v>47</v>
      </c>
      <c r="D183" s="151">
        <v>1109</v>
      </c>
      <c r="E183" s="20">
        <v>0.9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0.7</v>
      </c>
      <c r="N183" s="20">
        <v>1</v>
      </c>
      <c r="O183" s="20">
        <v>0.2</v>
      </c>
      <c r="P183" s="20">
        <v>0.7</v>
      </c>
      <c r="Q183" s="21">
        <f t="shared" si="20"/>
        <v>0.13399999999999998</v>
      </c>
      <c r="R183" s="6"/>
    </row>
    <row r="184" spans="2:18" ht="73.5" customHeight="1" x14ac:dyDescent="0.45">
      <c r="B184" s="22" t="s">
        <v>143</v>
      </c>
      <c r="C184" s="22" t="s">
        <v>47</v>
      </c>
      <c r="D184" s="151">
        <v>1110</v>
      </c>
      <c r="E184" s="20">
        <v>0.9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0.7</v>
      </c>
      <c r="N184" s="20">
        <v>1</v>
      </c>
      <c r="O184" s="20">
        <v>0.2</v>
      </c>
      <c r="P184" s="20">
        <v>0.7</v>
      </c>
      <c r="Q184" s="21">
        <f t="shared" si="20"/>
        <v>0.13399999999999998</v>
      </c>
      <c r="R184" s="6"/>
    </row>
    <row r="185" spans="2:18" ht="73.5" customHeight="1" x14ac:dyDescent="0.45">
      <c r="B185" s="22" t="s">
        <v>143</v>
      </c>
      <c r="C185" s="22" t="s">
        <v>47</v>
      </c>
      <c r="D185" s="151">
        <v>1111</v>
      </c>
      <c r="E185" s="20">
        <v>0.9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0.7</v>
      </c>
      <c r="N185" s="20">
        <v>1</v>
      </c>
      <c r="O185" s="20">
        <v>0.2</v>
      </c>
      <c r="P185" s="20">
        <v>0.7</v>
      </c>
      <c r="Q185" s="21">
        <f t="shared" si="20"/>
        <v>0.13399999999999998</v>
      </c>
      <c r="R185" s="6"/>
    </row>
    <row r="186" spans="2:18" ht="73.5" customHeight="1" x14ac:dyDescent="0.45">
      <c r="B186" s="22" t="s">
        <v>143</v>
      </c>
      <c r="C186" s="22" t="s">
        <v>47</v>
      </c>
      <c r="D186" s="151">
        <v>1112</v>
      </c>
      <c r="E186" s="20">
        <v>0.9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0.7</v>
      </c>
      <c r="N186" s="20">
        <v>1</v>
      </c>
      <c r="O186" s="20">
        <v>0.2</v>
      </c>
      <c r="P186" s="20">
        <v>0.7</v>
      </c>
      <c r="Q186" s="21">
        <f t="shared" si="20"/>
        <v>0.13399999999999998</v>
      </c>
      <c r="R186" s="6"/>
    </row>
    <row r="187" spans="2:18" ht="73.5" customHeight="1" x14ac:dyDescent="0.45">
      <c r="B187" s="22" t="s">
        <v>143</v>
      </c>
      <c r="C187" s="22" t="s">
        <v>47</v>
      </c>
      <c r="D187" s="151">
        <v>1113</v>
      </c>
      <c r="E187" s="20">
        <v>0.9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0.7</v>
      </c>
      <c r="N187" s="20">
        <v>1</v>
      </c>
      <c r="O187" s="20">
        <v>0.2</v>
      </c>
      <c r="P187" s="20">
        <v>0.7</v>
      </c>
      <c r="Q187" s="21">
        <f t="shared" si="20"/>
        <v>0.13399999999999998</v>
      </c>
      <c r="R187" s="6"/>
    </row>
    <row r="188" spans="2:18" ht="73.5" customHeight="1" x14ac:dyDescent="0.45">
      <c r="B188" s="22" t="s">
        <v>143</v>
      </c>
      <c r="C188" s="22" t="s">
        <v>47</v>
      </c>
      <c r="D188" s="151">
        <v>1114</v>
      </c>
      <c r="E188" s="20">
        <v>0.9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0.7</v>
      </c>
      <c r="N188" s="20">
        <v>1</v>
      </c>
      <c r="O188" s="20">
        <v>0.2</v>
      </c>
      <c r="P188" s="20">
        <v>0.7</v>
      </c>
      <c r="Q188" s="21">
        <f t="shared" si="20"/>
        <v>0.13399999999999998</v>
      </c>
      <c r="R188" s="6"/>
    </row>
    <row r="189" spans="2:18" ht="73.5" customHeight="1" x14ac:dyDescent="0.45">
      <c r="B189" s="22" t="s">
        <v>143</v>
      </c>
      <c r="C189" s="22" t="s">
        <v>47</v>
      </c>
      <c r="D189" s="151">
        <v>1115</v>
      </c>
      <c r="E189" s="20">
        <v>0.9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0.7</v>
      </c>
      <c r="N189" s="20">
        <v>1</v>
      </c>
      <c r="O189" s="20">
        <v>0.2</v>
      </c>
      <c r="P189" s="20">
        <v>0.7</v>
      </c>
      <c r="Q189" s="21">
        <f t="shared" si="20"/>
        <v>0.13399999999999998</v>
      </c>
      <c r="R189" s="6"/>
    </row>
    <row r="190" spans="2:18" ht="73.5" customHeight="1" thickBot="1" x14ac:dyDescent="0.5">
      <c r="B190" s="22" t="s">
        <v>143</v>
      </c>
      <c r="C190" s="22" t="s">
        <v>47</v>
      </c>
      <c r="D190" s="152">
        <v>1116</v>
      </c>
      <c r="E190" s="20">
        <v>0.9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0.7</v>
      </c>
      <c r="N190" s="20">
        <v>1</v>
      </c>
      <c r="O190" s="20">
        <v>0.2</v>
      </c>
      <c r="P190" s="20">
        <v>0.7</v>
      </c>
      <c r="Q190" s="21">
        <f t="shared" si="20"/>
        <v>0.13399999999999998</v>
      </c>
      <c r="R190" s="7"/>
    </row>
    <row r="191" spans="2:18" ht="30.75" customHeight="1" x14ac:dyDescent="0.4">
      <c r="B191" s="22"/>
      <c r="C191" s="22"/>
      <c r="M191" s="15"/>
    </row>
    <row r="192" spans="2:18" ht="74.25" customHeight="1" x14ac:dyDescent="0.5">
      <c r="B192" s="22" t="s">
        <v>144</v>
      </c>
      <c r="C192" s="22"/>
      <c r="D192" s="153" t="s">
        <v>104</v>
      </c>
      <c r="E192" s="141">
        <f>AVERAGE(E193,E210,E244,E278,E261,E227,E295,E312,E329,E346,E363)</f>
        <v>0.80909090909090908</v>
      </c>
      <c r="F192" s="141">
        <f>AVERAGE(F193,F210,F244,F278,F261,F227,F295,F312,F329,F346,F363)*1.18</f>
        <v>0</v>
      </c>
      <c r="G192" s="141">
        <f>AVERAGE(G193,G210,G244,G278,G261,G227,G295,G312,G329,G346,G363)*1.05</f>
        <v>0</v>
      </c>
      <c r="H192" s="141">
        <f>AVERAGE(H193,H210,H244,H278,H261,H227,H295,H312,H329,H346,H363)*1.15</f>
        <v>0</v>
      </c>
      <c r="I192" s="141">
        <f>AVERAGE(I193,I210,I244,I278,I261,I227,I295,I312,I329,I346,I363)*1.1</f>
        <v>0</v>
      </c>
      <c r="J192" s="141">
        <f>AVERAGE(J193,J210,J244,J278,J261,J227,J295,J312,J329,J346,J363)*1.1</f>
        <v>0</v>
      </c>
      <c r="K192" s="141">
        <f>AVERAGE(K193,K210,K244,K278,K261,K227,K295,K312,K329,K346,K363)*1.15</f>
        <v>0</v>
      </c>
      <c r="L192" s="141">
        <f>AVERAGE(L193,L210,L244,L278,L261,L227,L295,L312,L329,L346,L363)</f>
        <v>0</v>
      </c>
      <c r="M192" s="141">
        <f>AVERAGE(M193,M210,M244,M278,M261,M227,M295,M312,M329,M346,M363)</f>
        <v>1</v>
      </c>
      <c r="N192" s="141">
        <f>AVERAGE(N193,N210,N244,N278,N261,N227,N295,N312,N329,N346,N363)</f>
        <v>1</v>
      </c>
      <c r="O192" s="141">
        <f>AVERAGE(O193,O210,O244,O278,O261,O227,O295,O312,O329,O346,O363)</f>
        <v>0.2</v>
      </c>
      <c r="P192" s="141">
        <f>AVERAGE(P193,P210,P244,P278,P261,P227,P295,P312,P329,P346,P363)</f>
        <v>0.71818181818181825</v>
      </c>
      <c r="Q192" s="14">
        <f t="shared" ref="Q192:Q243" si="21">SUMPRODUCT(E192:P192, E$2:P$2)</f>
        <v>0.12627272727272726</v>
      </c>
    </row>
    <row r="193" spans="2:17" ht="74.25" customHeight="1" x14ac:dyDescent="0.4">
      <c r="B193" s="22" t="s">
        <v>144</v>
      </c>
      <c r="C193" s="22"/>
      <c r="D193" s="154" t="s">
        <v>26</v>
      </c>
      <c r="E193" s="141">
        <f>AVERAGE(E195:E209)</f>
        <v>0.80000000000000016</v>
      </c>
      <c r="F193" s="141">
        <f t="shared" ref="F193:P193" si="22">AVERAGE(F195:F209)</f>
        <v>0</v>
      </c>
      <c r="G193" s="141">
        <f t="shared" si="22"/>
        <v>0</v>
      </c>
      <c r="H193" s="141">
        <f t="shared" si="22"/>
        <v>0</v>
      </c>
      <c r="I193" s="141">
        <f t="shared" si="22"/>
        <v>0</v>
      </c>
      <c r="J193" s="141">
        <f t="shared" si="22"/>
        <v>0</v>
      </c>
      <c r="K193" s="141">
        <f t="shared" si="22"/>
        <v>0</v>
      </c>
      <c r="L193" s="141">
        <f t="shared" si="22"/>
        <v>0</v>
      </c>
      <c r="M193" s="141">
        <f t="shared" si="22"/>
        <v>1</v>
      </c>
      <c r="N193" s="141">
        <f t="shared" si="22"/>
        <v>1</v>
      </c>
      <c r="O193" s="141">
        <f t="shared" si="22"/>
        <v>0.20000000000000004</v>
      </c>
      <c r="P193" s="141">
        <f t="shared" si="22"/>
        <v>0.90000000000000024</v>
      </c>
      <c r="Q193" s="14">
        <f t="shared" si="21"/>
        <v>0.127</v>
      </c>
    </row>
    <row r="194" spans="2:17" ht="74.25" customHeight="1" x14ac:dyDescent="0.45">
      <c r="B194" s="22" t="s">
        <v>144</v>
      </c>
      <c r="C194" s="22" t="s">
        <v>27</v>
      </c>
      <c r="D194" s="150">
        <v>101</v>
      </c>
      <c r="E194" s="20">
        <v>0.8</v>
      </c>
      <c r="F194" s="20">
        <f>'Work Progress (%)'!L203</f>
        <v>0</v>
      </c>
      <c r="G194" s="20">
        <f>'Work Progress (%)'!Y203</f>
        <v>0</v>
      </c>
      <c r="H194" s="20">
        <f>'Work Progress (%)'!AD203</f>
        <v>0</v>
      </c>
      <c r="I194" s="20">
        <f>'Work Progress (%)'!AI203</f>
        <v>0</v>
      </c>
      <c r="J194" s="20">
        <f>'Work Progress (%)'!AQ203</f>
        <v>0</v>
      </c>
      <c r="K194" s="20">
        <f>'Work Progress (%)'!AV203</f>
        <v>0</v>
      </c>
      <c r="L194" s="20">
        <f>'Work Progress (%)'!BD203</f>
        <v>0</v>
      </c>
      <c r="M194" s="20">
        <v>1</v>
      </c>
      <c r="N194" s="20">
        <v>1</v>
      </c>
      <c r="O194" s="20">
        <v>0.2</v>
      </c>
      <c r="P194" s="20">
        <v>0.9</v>
      </c>
      <c r="Q194" s="21">
        <f t="shared" si="21"/>
        <v>0.127</v>
      </c>
    </row>
    <row r="195" spans="2:17" ht="74.25" customHeight="1" x14ac:dyDescent="0.45">
      <c r="B195" s="22" t="s">
        <v>144</v>
      </c>
      <c r="C195" s="22" t="s">
        <v>27</v>
      </c>
      <c r="D195" s="151">
        <v>102</v>
      </c>
      <c r="E195" s="20">
        <v>0.8</v>
      </c>
      <c r="F195" s="20">
        <f>'Work Progress (%)'!L204</f>
        <v>0</v>
      </c>
      <c r="G195" s="20">
        <f>'Work Progress (%)'!Y204</f>
        <v>0</v>
      </c>
      <c r="H195" s="20">
        <f>'Work Progress (%)'!AD204</f>
        <v>0</v>
      </c>
      <c r="I195" s="20">
        <f>'Work Progress (%)'!AI204</f>
        <v>0</v>
      </c>
      <c r="J195" s="20">
        <f>'Work Progress (%)'!AQ204</f>
        <v>0</v>
      </c>
      <c r="K195" s="20">
        <f>'Work Progress (%)'!AV204</f>
        <v>0</v>
      </c>
      <c r="L195" s="20">
        <f>'Work Progress (%)'!BD204</f>
        <v>0</v>
      </c>
      <c r="M195" s="20">
        <v>1</v>
      </c>
      <c r="N195" s="20">
        <v>1</v>
      </c>
      <c r="O195" s="20">
        <v>0.2</v>
      </c>
      <c r="P195" s="20">
        <v>0.9</v>
      </c>
      <c r="Q195" s="21">
        <f t="shared" si="21"/>
        <v>0.127</v>
      </c>
    </row>
    <row r="196" spans="2:17" ht="74.25" customHeight="1" x14ac:dyDescent="0.45">
      <c r="B196" s="22" t="s">
        <v>144</v>
      </c>
      <c r="C196" s="22" t="s">
        <v>27</v>
      </c>
      <c r="D196" s="151">
        <v>103</v>
      </c>
      <c r="E196" s="20">
        <v>0.8</v>
      </c>
      <c r="F196" s="20">
        <f>'Work Progress (%)'!L205</f>
        <v>0</v>
      </c>
      <c r="G196" s="20">
        <f>'Work Progress (%)'!Y205</f>
        <v>0</v>
      </c>
      <c r="H196" s="20">
        <f>'Work Progress (%)'!AD205</f>
        <v>0</v>
      </c>
      <c r="I196" s="20">
        <f>'Work Progress (%)'!AI205</f>
        <v>0</v>
      </c>
      <c r="J196" s="20">
        <f>'Work Progress (%)'!AQ205</f>
        <v>0</v>
      </c>
      <c r="K196" s="20">
        <f>'Work Progress (%)'!AV205</f>
        <v>0</v>
      </c>
      <c r="L196" s="20">
        <f>'Work Progress (%)'!BD205</f>
        <v>0</v>
      </c>
      <c r="M196" s="20">
        <v>1</v>
      </c>
      <c r="N196" s="20">
        <v>1</v>
      </c>
      <c r="O196" s="20">
        <v>0.2</v>
      </c>
      <c r="P196" s="20">
        <v>0.9</v>
      </c>
      <c r="Q196" s="21">
        <f t="shared" si="21"/>
        <v>0.127</v>
      </c>
    </row>
    <row r="197" spans="2:17" ht="74.25" customHeight="1" x14ac:dyDescent="0.45">
      <c r="B197" s="22" t="s">
        <v>144</v>
      </c>
      <c r="C197" s="22" t="s">
        <v>27</v>
      </c>
      <c r="D197" s="151">
        <v>104</v>
      </c>
      <c r="E197" s="20">
        <v>0.8</v>
      </c>
      <c r="F197" s="20">
        <f>'Work Progress (%)'!L206</f>
        <v>0</v>
      </c>
      <c r="G197" s="20">
        <f>'Work Progress (%)'!Y206</f>
        <v>0</v>
      </c>
      <c r="H197" s="20">
        <f>'Work Progress (%)'!AD206</f>
        <v>0</v>
      </c>
      <c r="I197" s="20">
        <f>'Work Progress (%)'!AI206</f>
        <v>0</v>
      </c>
      <c r="J197" s="20">
        <f>'Work Progress (%)'!AQ206</f>
        <v>0</v>
      </c>
      <c r="K197" s="20">
        <f>'Work Progress (%)'!AV206</f>
        <v>0</v>
      </c>
      <c r="L197" s="20">
        <f>'Work Progress (%)'!BD206</f>
        <v>0</v>
      </c>
      <c r="M197" s="20">
        <v>1</v>
      </c>
      <c r="N197" s="20">
        <v>1</v>
      </c>
      <c r="O197" s="20">
        <v>0.2</v>
      </c>
      <c r="P197" s="20">
        <v>0.9</v>
      </c>
      <c r="Q197" s="21">
        <f t="shared" si="21"/>
        <v>0.127</v>
      </c>
    </row>
    <row r="198" spans="2:17" ht="74.25" customHeight="1" x14ac:dyDescent="0.45">
      <c r="B198" s="22" t="s">
        <v>144</v>
      </c>
      <c r="C198" s="22" t="s">
        <v>27</v>
      </c>
      <c r="D198" s="151">
        <v>105</v>
      </c>
      <c r="E198" s="20">
        <v>0.8</v>
      </c>
      <c r="F198" s="20">
        <f>'Work Progress (%)'!L207</f>
        <v>0</v>
      </c>
      <c r="G198" s="20">
        <f>'Work Progress (%)'!Y207</f>
        <v>0</v>
      </c>
      <c r="H198" s="20">
        <f>'Work Progress (%)'!AD207</f>
        <v>0</v>
      </c>
      <c r="I198" s="20">
        <f>'Work Progress (%)'!AI207</f>
        <v>0</v>
      </c>
      <c r="J198" s="20">
        <f>'Work Progress (%)'!AQ207</f>
        <v>0</v>
      </c>
      <c r="K198" s="20">
        <f>'Work Progress (%)'!AV207</f>
        <v>0</v>
      </c>
      <c r="L198" s="20">
        <f>'Work Progress (%)'!BD207</f>
        <v>0</v>
      </c>
      <c r="M198" s="20">
        <v>1</v>
      </c>
      <c r="N198" s="20">
        <v>1</v>
      </c>
      <c r="O198" s="20">
        <v>0.2</v>
      </c>
      <c r="P198" s="20">
        <v>0.9</v>
      </c>
      <c r="Q198" s="21">
        <f t="shared" si="21"/>
        <v>0.127</v>
      </c>
    </row>
    <row r="199" spans="2:17" ht="74.25" customHeight="1" x14ac:dyDescent="0.45">
      <c r="B199" s="22" t="s">
        <v>144</v>
      </c>
      <c r="C199" s="22" t="s">
        <v>27</v>
      </c>
      <c r="D199" s="151">
        <v>106</v>
      </c>
      <c r="E199" s="20">
        <v>0.8</v>
      </c>
      <c r="F199" s="20">
        <f>'Work Progress (%)'!L208</f>
        <v>0</v>
      </c>
      <c r="G199" s="20">
        <f>'Work Progress (%)'!Y208</f>
        <v>0</v>
      </c>
      <c r="H199" s="20">
        <f>'Work Progress (%)'!AD208</f>
        <v>0</v>
      </c>
      <c r="I199" s="20">
        <f>'Work Progress (%)'!AI208</f>
        <v>0</v>
      </c>
      <c r="J199" s="20">
        <f>'Work Progress (%)'!AQ208</f>
        <v>0</v>
      </c>
      <c r="K199" s="20">
        <f>'Work Progress (%)'!AV208</f>
        <v>0</v>
      </c>
      <c r="L199" s="20">
        <f>'Work Progress (%)'!BD208</f>
        <v>0</v>
      </c>
      <c r="M199" s="20">
        <v>1</v>
      </c>
      <c r="N199" s="20">
        <v>1</v>
      </c>
      <c r="O199" s="20">
        <v>0.2</v>
      </c>
      <c r="P199" s="20">
        <v>0.9</v>
      </c>
      <c r="Q199" s="21">
        <f t="shared" si="21"/>
        <v>0.127</v>
      </c>
    </row>
    <row r="200" spans="2:17" ht="74.25" customHeight="1" x14ac:dyDescent="0.45">
      <c r="B200" s="22" t="s">
        <v>144</v>
      </c>
      <c r="C200" s="22" t="s">
        <v>27</v>
      </c>
      <c r="D200" s="151">
        <v>107</v>
      </c>
      <c r="E200" s="20">
        <v>0.8</v>
      </c>
      <c r="F200" s="20">
        <f>'Work Progress (%)'!L209</f>
        <v>0</v>
      </c>
      <c r="G200" s="20">
        <f>'Work Progress (%)'!Y209</f>
        <v>0</v>
      </c>
      <c r="H200" s="20">
        <f>'Work Progress (%)'!AD209</f>
        <v>0</v>
      </c>
      <c r="I200" s="20">
        <f>'Work Progress (%)'!AI209</f>
        <v>0</v>
      </c>
      <c r="J200" s="20">
        <f>'Work Progress (%)'!AQ209</f>
        <v>0</v>
      </c>
      <c r="K200" s="20">
        <f>'Work Progress (%)'!AV209</f>
        <v>0</v>
      </c>
      <c r="L200" s="20">
        <f>'Work Progress (%)'!BD209</f>
        <v>0</v>
      </c>
      <c r="M200" s="20">
        <v>1</v>
      </c>
      <c r="N200" s="20">
        <v>1</v>
      </c>
      <c r="O200" s="20">
        <v>0.2</v>
      </c>
      <c r="P200" s="20">
        <v>0.9</v>
      </c>
      <c r="Q200" s="21">
        <f t="shared" si="21"/>
        <v>0.127</v>
      </c>
    </row>
    <row r="201" spans="2:17" ht="74.25" customHeight="1" x14ac:dyDescent="0.45">
      <c r="B201" s="22" t="s">
        <v>144</v>
      </c>
      <c r="C201" s="22" t="s">
        <v>27</v>
      </c>
      <c r="D201" s="151">
        <v>108</v>
      </c>
      <c r="E201" s="20">
        <v>0.8</v>
      </c>
      <c r="F201" s="20">
        <f>'Work Progress (%)'!L210</f>
        <v>0</v>
      </c>
      <c r="G201" s="20">
        <f>'Work Progress (%)'!Y210</f>
        <v>0</v>
      </c>
      <c r="H201" s="20">
        <f>'Work Progress (%)'!AD210</f>
        <v>0</v>
      </c>
      <c r="I201" s="20">
        <f>'Work Progress (%)'!AI210</f>
        <v>0</v>
      </c>
      <c r="J201" s="20">
        <f>'Work Progress (%)'!AQ210</f>
        <v>0</v>
      </c>
      <c r="K201" s="20">
        <f>'Work Progress (%)'!AV210</f>
        <v>0</v>
      </c>
      <c r="L201" s="20">
        <f>'Work Progress (%)'!BD210</f>
        <v>0</v>
      </c>
      <c r="M201" s="20">
        <v>1</v>
      </c>
      <c r="N201" s="20">
        <v>1</v>
      </c>
      <c r="O201" s="20">
        <v>0.2</v>
      </c>
      <c r="P201" s="20">
        <v>0.9</v>
      </c>
      <c r="Q201" s="21">
        <f t="shared" si="21"/>
        <v>0.127</v>
      </c>
    </row>
    <row r="202" spans="2:17" ht="74.25" customHeight="1" x14ac:dyDescent="0.45">
      <c r="B202" s="22" t="s">
        <v>144</v>
      </c>
      <c r="C202" s="22" t="s">
        <v>27</v>
      </c>
      <c r="D202" s="151">
        <v>109</v>
      </c>
      <c r="E202" s="20">
        <v>0.8</v>
      </c>
      <c r="F202" s="20">
        <f>'Work Progress (%)'!L211</f>
        <v>0</v>
      </c>
      <c r="G202" s="20">
        <f>'Work Progress (%)'!Y211</f>
        <v>0</v>
      </c>
      <c r="H202" s="20">
        <f>'Work Progress (%)'!AD211</f>
        <v>0</v>
      </c>
      <c r="I202" s="20">
        <f>'Work Progress (%)'!AI211</f>
        <v>0</v>
      </c>
      <c r="J202" s="20">
        <f>'Work Progress (%)'!AQ211</f>
        <v>0</v>
      </c>
      <c r="K202" s="20">
        <f>'Work Progress (%)'!AV211</f>
        <v>0</v>
      </c>
      <c r="L202" s="20">
        <f>'Work Progress (%)'!BD211</f>
        <v>0</v>
      </c>
      <c r="M202" s="20">
        <v>1</v>
      </c>
      <c r="N202" s="20">
        <v>1</v>
      </c>
      <c r="O202" s="20">
        <v>0.2</v>
      </c>
      <c r="P202" s="20">
        <v>0.9</v>
      </c>
      <c r="Q202" s="21">
        <f t="shared" si="21"/>
        <v>0.127</v>
      </c>
    </row>
    <row r="203" spans="2:17" ht="74.25" customHeight="1" x14ac:dyDescent="0.45">
      <c r="B203" s="22" t="s">
        <v>144</v>
      </c>
      <c r="C203" s="22" t="s">
        <v>27</v>
      </c>
      <c r="D203" s="151">
        <v>110</v>
      </c>
      <c r="E203" s="20">
        <v>0.8</v>
      </c>
      <c r="F203" s="20">
        <f>'Work Progress (%)'!L212</f>
        <v>0</v>
      </c>
      <c r="G203" s="20">
        <f>'Work Progress (%)'!Y212</f>
        <v>0</v>
      </c>
      <c r="H203" s="20">
        <f>'Work Progress (%)'!AD212</f>
        <v>0</v>
      </c>
      <c r="I203" s="20">
        <f>'Work Progress (%)'!AI212</f>
        <v>0</v>
      </c>
      <c r="J203" s="20">
        <f>'Work Progress (%)'!AQ212</f>
        <v>0</v>
      </c>
      <c r="K203" s="20">
        <f>'Work Progress (%)'!AV212</f>
        <v>0</v>
      </c>
      <c r="L203" s="20">
        <f>'Work Progress (%)'!BD212</f>
        <v>0</v>
      </c>
      <c r="M203" s="20">
        <v>1</v>
      </c>
      <c r="N203" s="20">
        <v>1</v>
      </c>
      <c r="O203" s="20">
        <v>0.2</v>
      </c>
      <c r="P203" s="20">
        <v>0.9</v>
      </c>
      <c r="Q203" s="21">
        <f t="shared" si="21"/>
        <v>0.127</v>
      </c>
    </row>
    <row r="204" spans="2:17" ht="74.25" customHeight="1" x14ac:dyDescent="0.45">
      <c r="B204" s="22" t="s">
        <v>144</v>
      </c>
      <c r="C204" s="22" t="s">
        <v>27</v>
      </c>
      <c r="D204" s="151">
        <v>111</v>
      </c>
      <c r="E204" s="20">
        <v>0.8</v>
      </c>
      <c r="F204" s="20">
        <f>'Work Progress (%)'!L213</f>
        <v>0</v>
      </c>
      <c r="G204" s="20">
        <f>'Work Progress (%)'!Y213</f>
        <v>0</v>
      </c>
      <c r="H204" s="20">
        <f>'Work Progress (%)'!AD213</f>
        <v>0</v>
      </c>
      <c r="I204" s="20">
        <f>'Work Progress (%)'!AI213</f>
        <v>0</v>
      </c>
      <c r="J204" s="20">
        <f>'Work Progress (%)'!AQ213</f>
        <v>0</v>
      </c>
      <c r="K204" s="20">
        <f>'Work Progress (%)'!AV213</f>
        <v>0</v>
      </c>
      <c r="L204" s="20">
        <f>'Work Progress (%)'!BD213</f>
        <v>0</v>
      </c>
      <c r="M204" s="20">
        <v>1</v>
      </c>
      <c r="N204" s="20">
        <v>1</v>
      </c>
      <c r="O204" s="20">
        <v>0.2</v>
      </c>
      <c r="P204" s="20">
        <v>0.9</v>
      </c>
      <c r="Q204" s="21">
        <f t="shared" si="21"/>
        <v>0.127</v>
      </c>
    </row>
    <row r="205" spans="2:17" ht="74.25" customHeight="1" x14ac:dyDescent="0.45">
      <c r="B205" s="22" t="s">
        <v>144</v>
      </c>
      <c r="C205" s="22" t="s">
        <v>27</v>
      </c>
      <c r="D205" s="151">
        <v>112</v>
      </c>
      <c r="E205" s="20">
        <v>0.8</v>
      </c>
      <c r="F205" s="20">
        <f>'Work Progress (%)'!L214</f>
        <v>0</v>
      </c>
      <c r="G205" s="20">
        <f>'Work Progress (%)'!Y214</f>
        <v>0</v>
      </c>
      <c r="H205" s="20">
        <f>'Work Progress (%)'!AD214</f>
        <v>0</v>
      </c>
      <c r="I205" s="20">
        <f>'Work Progress (%)'!AI214</f>
        <v>0</v>
      </c>
      <c r="J205" s="20">
        <f>'Work Progress (%)'!AQ214</f>
        <v>0</v>
      </c>
      <c r="K205" s="20">
        <f>'Work Progress (%)'!AV214</f>
        <v>0</v>
      </c>
      <c r="L205" s="20">
        <f>'Work Progress (%)'!BD214</f>
        <v>0</v>
      </c>
      <c r="M205" s="20">
        <v>1</v>
      </c>
      <c r="N205" s="20">
        <v>1</v>
      </c>
      <c r="O205" s="20">
        <v>0.2</v>
      </c>
      <c r="P205" s="20">
        <v>0.9</v>
      </c>
      <c r="Q205" s="21">
        <f t="shared" si="21"/>
        <v>0.127</v>
      </c>
    </row>
    <row r="206" spans="2:17" ht="74.25" customHeight="1" x14ac:dyDescent="0.45">
      <c r="B206" s="22" t="s">
        <v>144</v>
      </c>
      <c r="C206" s="22" t="s">
        <v>27</v>
      </c>
      <c r="D206" s="151">
        <v>113</v>
      </c>
      <c r="E206" s="20">
        <v>0.8</v>
      </c>
      <c r="F206" s="20">
        <f>'Work Progress (%)'!L215</f>
        <v>0</v>
      </c>
      <c r="G206" s="20">
        <f>'Work Progress (%)'!Y215</f>
        <v>0</v>
      </c>
      <c r="H206" s="20">
        <f>'Work Progress (%)'!AD215</f>
        <v>0</v>
      </c>
      <c r="I206" s="20">
        <f>'Work Progress (%)'!AI215</f>
        <v>0</v>
      </c>
      <c r="J206" s="20">
        <f>'Work Progress (%)'!AQ215</f>
        <v>0</v>
      </c>
      <c r="K206" s="20">
        <f>'Work Progress (%)'!AV215</f>
        <v>0</v>
      </c>
      <c r="L206" s="20">
        <f>'Work Progress (%)'!BD215</f>
        <v>0</v>
      </c>
      <c r="M206" s="20">
        <v>1</v>
      </c>
      <c r="N206" s="20">
        <v>1</v>
      </c>
      <c r="O206" s="20">
        <v>0.2</v>
      </c>
      <c r="P206" s="20">
        <v>0.9</v>
      </c>
      <c r="Q206" s="21">
        <f t="shared" si="21"/>
        <v>0.127</v>
      </c>
    </row>
    <row r="207" spans="2:17" ht="74.25" customHeight="1" x14ac:dyDescent="0.45">
      <c r="B207" s="22" t="s">
        <v>144</v>
      </c>
      <c r="C207" s="22" t="s">
        <v>27</v>
      </c>
      <c r="D207" s="151">
        <v>114</v>
      </c>
      <c r="E207" s="20">
        <v>0.8</v>
      </c>
      <c r="F207" s="20">
        <f>'Work Progress (%)'!L216</f>
        <v>0</v>
      </c>
      <c r="G207" s="20">
        <f>'Work Progress (%)'!Y216</f>
        <v>0</v>
      </c>
      <c r="H207" s="20">
        <f>'Work Progress (%)'!AD216</f>
        <v>0</v>
      </c>
      <c r="I207" s="20">
        <f>'Work Progress (%)'!AI216</f>
        <v>0</v>
      </c>
      <c r="J207" s="20">
        <f>'Work Progress (%)'!AQ216</f>
        <v>0</v>
      </c>
      <c r="K207" s="20">
        <f>'Work Progress (%)'!AV216</f>
        <v>0</v>
      </c>
      <c r="L207" s="20">
        <f>'Work Progress (%)'!BD216</f>
        <v>0</v>
      </c>
      <c r="M207" s="20">
        <v>1</v>
      </c>
      <c r="N207" s="20">
        <v>1</v>
      </c>
      <c r="O207" s="20">
        <v>0.2</v>
      </c>
      <c r="P207" s="20">
        <v>0.9</v>
      </c>
      <c r="Q207" s="21">
        <f t="shared" si="21"/>
        <v>0.127</v>
      </c>
    </row>
    <row r="208" spans="2:17" ht="74.25" customHeight="1" x14ac:dyDescent="0.45">
      <c r="B208" s="22" t="s">
        <v>144</v>
      </c>
      <c r="C208" s="22" t="s">
        <v>27</v>
      </c>
      <c r="D208" s="151">
        <v>115</v>
      </c>
      <c r="E208" s="20">
        <v>0.8</v>
      </c>
      <c r="F208" s="20">
        <f>'Work Progress (%)'!L217</f>
        <v>0</v>
      </c>
      <c r="G208" s="20">
        <f>'Work Progress (%)'!Y217</f>
        <v>0</v>
      </c>
      <c r="H208" s="20">
        <f>'Work Progress (%)'!AD217</f>
        <v>0</v>
      </c>
      <c r="I208" s="20">
        <f>'Work Progress (%)'!AI217</f>
        <v>0</v>
      </c>
      <c r="J208" s="20">
        <f>'Work Progress (%)'!AQ217</f>
        <v>0</v>
      </c>
      <c r="K208" s="20">
        <f>'Work Progress (%)'!AV217</f>
        <v>0</v>
      </c>
      <c r="L208" s="20">
        <f>'Work Progress (%)'!BD217</f>
        <v>0</v>
      </c>
      <c r="M208" s="20">
        <v>1</v>
      </c>
      <c r="N208" s="20">
        <v>1</v>
      </c>
      <c r="O208" s="20">
        <v>0.2</v>
      </c>
      <c r="P208" s="20">
        <v>0.9</v>
      </c>
      <c r="Q208" s="21">
        <f t="shared" si="21"/>
        <v>0.127</v>
      </c>
    </row>
    <row r="209" spans="2:17" ht="74.25" customHeight="1" x14ac:dyDescent="0.45">
      <c r="B209" s="22" t="s">
        <v>144</v>
      </c>
      <c r="C209" s="22" t="s">
        <v>27</v>
      </c>
      <c r="D209" s="151">
        <v>116</v>
      </c>
      <c r="E209" s="20">
        <v>0.8</v>
      </c>
      <c r="F209" s="20">
        <f>'Work Progress (%)'!L218</f>
        <v>0</v>
      </c>
      <c r="G209" s="20">
        <f>'Work Progress (%)'!Y218</f>
        <v>0</v>
      </c>
      <c r="H209" s="20">
        <f>'Work Progress (%)'!AD218</f>
        <v>0</v>
      </c>
      <c r="I209" s="20">
        <f>'Work Progress (%)'!AI218</f>
        <v>0</v>
      </c>
      <c r="J209" s="20">
        <f>'Work Progress (%)'!AQ218</f>
        <v>0</v>
      </c>
      <c r="K209" s="20">
        <f>'Work Progress (%)'!AV218</f>
        <v>0</v>
      </c>
      <c r="L209" s="20">
        <f>'Work Progress (%)'!BD218</f>
        <v>0</v>
      </c>
      <c r="M209" s="20">
        <v>1</v>
      </c>
      <c r="N209" s="20">
        <v>1</v>
      </c>
      <c r="O209" s="20">
        <v>0.2</v>
      </c>
      <c r="P209" s="20">
        <v>0.9</v>
      </c>
      <c r="Q209" s="21">
        <f t="shared" si="21"/>
        <v>0.127</v>
      </c>
    </row>
    <row r="210" spans="2:17" ht="74.25" customHeight="1" x14ac:dyDescent="0.45">
      <c r="B210" s="22" t="s">
        <v>144</v>
      </c>
      <c r="C210" s="22"/>
      <c r="D210" s="154" t="s">
        <v>28</v>
      </c>
      <c r="E210" s="141">
        <f>AVERAGE(E212:E226)</f>
        <v>0.80000000000000016</v>
      </c>
      <c r="F210" s="141">
        <f t="shared" ref="F210:P210" si="23">AVERAGE(F212:F226)</f>
        <v>0</v>
      </c>
      <c r="G210" s="20">
        <f t="shared" si="23"/>
        <v>0</v>
      </c>
      <c r="H210" s="141">
        <f t="shared" si="23"/>
        <v>0</v>
      </c>
      <c r="I210" s="141">
        <f t="shared" si="23"/>
        <v>0</v>
      </c>
      <c r="J210" s="141">
        <f t="shared" si="23"/>
        <v>0</v>
      </c>
      <c r="K210" s="141">
        <f t="shared" si="23"/>
        <v>0</v>
      </c>
      <c r="L210" s="141">
        <f t="shared" si="23"/>
        <v>0</v>
      </c>
      <c r="M210" s="141">
        <f t="shared" si="23"/>
        <v>1</v>
      </c>
      <c r="N210" s="141">
        <f t="shared" si="23"/>
        <v>1</v>
      </c>
      <c r="O210" s="141">
        <f t="shared" si="23"/>
        <v>0.20000000000000004</v>
      </c>
      <c r="P210" s="141">
        <f t="shared" si="23"/>
        <v>0.69999999999999984</v>
      </c>
      <c r="Q210" s="14">
        <f t="shared" si="21"/>
        <v>0.125</v>
      </c>
    </row>
    <row r="211" spans="2:17" ht="74.25" customHeight="1" x14ac:dyDescent="0.45">
      <c r="B211" s="22" t="s">
        <v>144</v>
      </c>
      <c r="C211" s="22" t="s">
        <v>29</v>
      </c>
      <c r="D211" s="151">
        <v>201</v>
      </c>
      <c r="E211" s="20">
        <v>0.8</v>
      </c>
      <c r="F211" s="20">
        <f>'Work Progress (%)'!L220</f>
        <v>0</v>
      </c>
      <c r="G211" s="20">
        <f>'Work Progress (%)'!Y220</f>
        <v>0</v>
      </c>
      <c r="H211" s="20">
        <f>'Work Progress (%)'!AD220</f>
        <v>0</v>
      </c>
      <c r="I211" s="20">
        <f>'Work Progress (%)'!AI220</f>
        <v>0</v>
      </c>
      <c r="J211" s="20">
        <f>'Work Progress (%)'!AQ220</f>
        <v>0</v>
      </c>
      <c r="K211" s="20">
        <f>'Work Progress (%)'!AV220</f>
        <v>0</v>
      </c>
      <c r="L211" s="20">
        <f>'Work Progress (%)'!BD220</f>
        <v>0</v>
      </c>
      <c r="M211" s="20">
        <v>1</v>
      </c>
      <c r="N211" s="20">
        <v>1</v>
      </c>
      <c r="O211" s="20">
        <v>0.2</v>
      </c>
      <c r="P211" s="20">
        <v>0.7</v>
      </c>
      <c r="Q211" s="21">
        <f t="shared" si="21"/>
        <v>0.125</v>
      </c>
    </row>
    <row r="212" spans="2:17" ht="74.25" customHeight="1" x14ac:dyDescent="0.45">
      <c r="B212" s="22" t="s">
        <v>144</v>
      </c>
      <c r="C212" s="22" t="s">
        <v>29</v>
      </c>
      <c r="D212" s="151">
        <v>202</v>
      </c>
      <c r="E212" s="20">
        <v>0.8</v>
      </c>
      <c r="F212" s="20">
        <f>'Work Progress (%)'!L221</f>
        <v>0</v>
      </c>
      <c r="G212" s="20">
        <f>'Work Progress (%)'!Y221</f>
        <v>0</v>
      </c>
      <c r="H212" s="20">
        <f>'Work Progress (%)'!AD221</f>
        <v>0</v>
      </c>
      <c r="I212" s="20">
        <f>'Work Progress (%)'!AI221</f>
        <v>0</v>
      </c>
      <c r="J212" s="20">
        <f>'Work Progress (%)'!AQ221</f>
        <v>0</v>
      </c>
      <c r="K212" s="20">
        <f>'Work Progress (%)'!AV221</f>
        <v>0</v>
      </c>
      <c r="L212" s="20">
        <f>'Work Progress (%)'!BD221</f>
        <v>0</v>
      </c>
      <c r="M212" s="20">
        <v>1</v>
      </c>
      <c r="N212" s="20">
        <v>1</v>
      </c>
      <c r="O212" s="20">
        <v>0.2</v>
      </c>
      <c r="P212" s="20">
        <v>0.7</v>
      </c>
      <c r="Q212" s="21">
        <f t="shared" si="21"/>
        <v>0.125</v>
      </c>
    </row>
    <row r="213" spans="2:17" ht="74.25" customHeight="1" x14ac:dyDescent="0.45">
      <c r="B213" s="22" t="s">
        <v>144</v>
      </c>
      <c r="C213" s="22" t="s">
        <v>29</v>
      </c>
      <c r="D213" s="151">
        <v>203</v>
      </c>
      <c r="E213" s="20">
        <v>0.8</v>
      </c>
      <c r="F213" s="20">
        <f>'Work Progress (%)'!L222</f>
        <v>0</v>
      </c>
      <c r="G213" s="20">
        <f>'Work Progress (%)'!Y222</f>
        <v>0</v>
      </c>
      <c r="H213" s="20">
        <f>'Work Progress (%)'!AD222</f>
        <v>0</v>
      </c>
      <c r="I213" s="20">
        <f>'Work Progress (%)'!AI222</f>
        <v>0</v>
      </c>
      <c r="J213" s="20">
        <f>'Work Progress (%)'!AQ222</f>
        <v>0</v>
      </c>
      <c r="K213" s="20">
        <f>'Work Progress (%)'!AV222</f>
        <v>0</v>
      </c>
      <c r="L213" s="20">
        <f>'Work Progress (%)'!BD222</f>
        <v>0</v>
      </c>
      <c r="M213" s="20">
        <v>1</v>
      </c>
      <c r="N213" s="20">
        <v>1</v>
      </c>
      <c r="O213" s="20">
        <v>0.2</v>
      </c>
      <c r="P213" s="20">
        <v>0.7</v>
      </c>
      <c r="Q213" s="21">
        <f t="shared" si="21"/>
        <v>0.125</v>
      </c>
    </row>
    <row r="214" spans="2:17" ht="74.25" customHeight="1" x14ac:dyDescent="0.45">
      <c r="B214" s="22" t="s">
        <v>144</v>
      </c>
      <c r="C214" s="22" t="s">
        <v>29</v>
      </c>
      <c r="D214" s="151">
        <v>204</v>
      </c>
      <c r="E214" s="20">
        <v>0.8</v>
      </c>
      <c r="F214" s="20">
        <f>'Work Progress (%)'!L223</f>
        <v>0</v>
      </c>
      <c r="G214" s="20">
        <f>'Work Progress (%)'!Y223</f>
        <v>0</v>
      </c>
      <c r="H214" s="20">
        <f>'Work Progress (%)'!AD223</f>
        <v>0</v>
      </c>
      <c r="I214" s="20">
        <f>'Work Progress (%)'!AI223</f>
        <v>0</v>
      </c>
      <c r="J214" s="20">
        <f>'Work Progress (%)'!AQ223</f>
        <v>0</v>
      </c>
      <c r="K214" s="20">
        <f>'Work Progress (%)'!AV223</f>
        <v>0</v>
      </c>
      <c r="L214" s="20">
        <f>'Work Progress (%)'!BD223</f>
        <v>0</v>
      </c>
      <c r="M214" s="20">
        <v>1</v>
      </c>
      <c r="N214" s="20">
        <v>1</v>
      </c>
      <c r="O214" s="20">
        <v>0.2</v>
      </c>
      <c r="P214" s="20">
        <v>0.7</v>
      </c>
      <c r="Q214" s="21">
        <f t="shared" si="21"/>
        <v>0.125</v>
      </c>
    </row>
    <row r="215" spans="2:17" ht="74.25" customHeight="1" x14ac:dyDescent="0.45">
      <c r="B215" s="22" t="s">
        <v>144</v>
      </c>
      <c r="C215" s="22" t="s">
        <v>29</v>
      </c>
      <c r="D215" s="151">
        <v>205</v>
      </c>
      <c r="E215" s="20">
        <v>0.8</v>
      </c>
      <c r="F215" s="20">
        <f>'Work Progress (%)'!L224</f>
        <v>0</v>
      </c>
      <c r="G215" s="20">
        <f>'Work Progress (%)'!Y224</f>
        <v>0</v>
      </c>
      <c r="H215" s="20">
        <f>'Work Progress (%)'!AD224</f>
        <v>0</v>
      </c>
      <c r="I215" s="20">
        <f>'Work Progress (%)'!AI224</f>
        <v>0</v>
      </c>
      <c r="J215" s="20">
        <f>'Work Progress (%)'!AQ224</f>
        <v>0</v>
      </c>
      <c r="K215" s="20">
        <f>'Work Progress (%)'!AV224</f>
        <v>0</v>
      </c>
      <c r="L215" s="20">
        <f>'Work Progress (%)'!BD224</f>
        <v>0</v>
      </c>
      <c r="M215" s="20">
        <v>1</v>
      </c>
      <c r="N215" s="20">
        <v>1</v>
      </c>
      <c r="O215" s="20">
        <v>0.2</v>
      </c>
      <c r="P215" s="20">
        <v>0.7</v>
      </c>
      <c r="Q215" s="21">
        <f t="shared" si="21"/>
        <v>0.125</v>
      </c>
    </row>
    <row r="216" spans="2:17" ht="74.25" customHeight="1" x14ac:dyDescent="0.45">
      <c r="B216" s="22" t="s">
        <v>144</v>
      </c>
      <c r="C216" s="22" t="s">
        <v>29</v>
      </c>
      <c r="D216" s="151">
        <v>206</v>
      </c>
      <c r="E216" s="20">
        <v>0.8</v>
      </c>
      <c r="F216" s="20">
        <f>'Work Progress (%)'!L225</f>
        <v>0</v>
      </c>
      <c r="G216" s="20">
        <f>'Work Progress (%)'!Y225</f>
        <v>0</v>
      </c>
      <c r="H216" s="20">
        <f>'Work Progress (%)'!AD225</f>
        <v>0</v>
      </c>
      <c r="I216" s="20">
        <f>'Work Progress (%)'!AI225</f>
        <v>0</v>
      </c>
      <c r="J216" s="20">
        <f>'Work Progress (%)'!AQ225</f>
        <v>0</v>
      </c>
      <c r="K216" s="20">
        <f>'Work Progress (%)'!AV225</f>
        <v>0</v>
      </c>
      <c r="L216" s="20">
        <f>'Work Progress (%)'!BD225</f>
        <v>0</v>
      </c>
      <c r="M216" s="20">
        <v>1</v>
      </c>
      <c r="N216" s="20">
        <v>1</v>
      </c>
      <c r="O216" s="20">
        <v>0.2</v>
      </c>
      <c r="P216" s="20">
        <v>0.7</v>
      </c>
      <c r="Q216" s="21">
        <f t="shared" si="21"/>
        <v>0.125</v>
      </c>
    </row>
    <row r="217" spans="2:17" ht="74.25" customHeight="1" x14ac:dyDescent="0.45">
      <c r="B217" s="22" t="s">
        <v>144</v>
      </c>
      <c r="C217" s="22" t="s">
        <v>29</v>
      </c>
      <c r="D217" s="151">
        <v>207</v>
      </c>
      <c r="E217" s="20">
        <v>0.8</v>
      </c>
      <c r="F217" s="20">
        <f>'Work Progress (%)'!L226</f>
        <v>0</v>
      </c>
      <c r="G217" s="20">
        <f>'Work Progress (%)'!Y226</f>
        <v>0</v>
      </c>
      <c r="H217" s="20">
        <f>'Work Progress (%)'!AD226</f>
        <v>0</v>
      </c>
      <c r="I217" s="20">
        <f>'Work Progress (%)'!AI226</f>
        <v>0</v>
      </c>
      <c r="J217" s="20">
        <f>'Work Progress (%)'!AQ226</f>
        <v>0</v>
      </c>
      <c r="K217" s="20">
        <f>'Work Progress (%)'!AV226</f>
        <v>0</v>
      </c>
      <c r="L217" s="20">
        <f>'Work Progress (%)'!BD226</f>
        <v>0</v>
      </c>
      <c r="M217" s="20">
        <v>1</v>
      </c>
      <c r="N217" s="20">
        <v>1</v>
      </c>
      <c r="O217" s="20">
        <v>0.2</v>
      </c>
      <c r="P217" s="20">
        <v>0.7</v>
      </c>
      <c r="Q217" s="21">
        <f t="shared" si="21"/>
        <v>0.125</v>
      </c>
    </row>
    <row r="218" spans="2:17" ht="74.25" customHeight="1" x14ac:dyDescent="0.45">
      <c r="B218" s="22" t="s">
        <v>144</v>
      </c>
      <c r="C218" s="22" t="s">
        <v>29</v>
      </c>
      <c r="D218" s="151">
        <v>208</v>
      </c>
      <c r="E218" s="20">
        <v>0.8</v>
      </c>
      <c r="F218" s="20">
        <f>'Work Progress (%)'!L227</f>
        <v>0</v>
      </c>
      <c r="G218" s="20">
        <f>'Work Progress (%)'!Y227</f>
        <v>0</v>
      </c>
      <c r="H218" s="20">
        <f>'Work Progress (%)'!AD227</f>
        <v>0</v>
      </c>
      <c r="I218" s="20">
        <f>'Work Progress (%)'!AI227</f>
        <v>0</v>
      </c>
      <c r="J218" s="20">
        <f>'Work Progress (%)'!AQ227</f>
        <v>0</v>
      </c>
      <c r="K218" s="20">
        <f>'Work Progress (%)'!AV227</f>
        <v>0</v>
      </c>
      <c r="L218" s="20">
        <f>'Work Progress (%)'!BD227</f>
        <v>0</v>
      </c>
      <c r="M218" s="20">
        <v>1</v>
      </c>
      <c r="N218" s="20">
        <v>1</v>
      </c>
      <c r="O218" s="20">
        <v>0.2</v>
      </c>
      <c r="P218" s="20">
        <v>0.7</v>
      </c>
      <c r="Q218" s="21">
        <f t="shared" si="21"/>
        <v>0.125</v>
      </c>
    </row>
    <row r="219" spans="2:17" ht="74.25" customHeight="1" x14ac:dyDescent="0.45">
      <c r="B219" s="22" t="s">
        <v>144</v>
      </c>
      <c r="C219" s="22" t="s">
        <v>29</v>
      </c>
      <c r="D219" s="151">
        <v>209</v>
      </c>
      <c r="E219" s="20">
        <v>0.8</v>
      </c>
      <c r="F219" s="20">
        <f>'Work Progress (%)'!L228</f>
        <v>0</v>
      </c>
      <c r="G219" s="20">
        <f>'Work Progress (%)'!Y228</f>
        <v>0</v>
      </c>
      <c r="H219" s="20">
        <f>'Work Progress (%)'!AD228</f>
        <v>0</v>
      </c>
      <c r="I219" s="20">
        <f>'Work Progress (%)'!AI228</f>
        <v>0</v>
      </c>
      <c r="J219" s="20">
        <f>'Work Progress (%)'!AQ228</f>
        <v>0</v>
      </c>
      <c r="K219" s="20">
        <f>'Work Progress (%)'!AV228</f>
        <v>0</v>
      </c>
      <c r="L219" s="20">
        <f>'Work Progress (%)'!BD228</f>
        <v>0</v>
      </c>
      <c r="M219" s="20">
        <v>1</v>
      </c>
      <c r="N219" s="20">
        <v>1</v>
      </c>
      <c r="O219" s="20">
        <v>0.2</v>
      </c>
      <c r="P219" s="20">
        <v>0.7</v>
      </c>
      <c r="Q219" s="21">
        <f t="shared" si="21"/>
        <v>0.125</v>
      </c>
    </row>
    <row r="220" spans="2:17" ht="74.25" customHeight="1" x14ac:dyDescent="0.45">
      <c r="B220" s="22" t="s">
        <v>144</v>
      </c>
      <c r="C220" s="22" t="s">
        <v>29</v>
      </c>
      <c r="D220" s="151">
        <v>210</v>
      </c>
      <c r="E220" s="20">
        <v>0.8</v>
      </c>
      <c r="F220" s="20">
        <f>'Work Progress (%)'!L229</f>
        <v>0</v>
      </c>
      <c r="G220" s="20">
        <f>'Work Progress (%)'!Y229</f>
        <v>0</v>
      </c>
      <c r="H220" s="20">
        <f>'Work Progress (%)'!AD229</f>
        <v>0</v>
      </c>
      <c r="I220" s="20">
        <f>'Work Progress (%)'!AI229</f>
        <v>0</v>
      </c>
      <c r="J220" s="20">
        <f>'Work Progress (%)'!AQ229</f>
        <v>0</v>
      </c>
      <c r="K220" s="20">
        <f>'Work Progress (%)'!AV229</f>
        <v>0</v>
      </c>
      <c r="L220" s="20">
        <f>'Work Progress (%)'!BD229</f>
        <v>0</v>
      </c>
      <c r="M220" s="20">
        <v>1</v>
      </c>
      <c r="N220" s="20">
        <v>1</v>
      </c>
      <c r="O220" s="20">
        <v>0.2</v>
      </c>
      <c r="P220" s="20">
        <v>0.7</v>
      </c>
      <c r="Q220" s="21">
        <f t="shared" si="21"/>
        <v>0.125</v>
      </c>
    </row>
    <row r="221" spans="2:17" ht="74.25" customHeight="1" x14ac:dyDescent="0.45">
      <c r="B221" s="22" t="s">
        <v>144</v>
      </c>
      <c r="C221" s="22" t="s">
        <v>29</v>
      </c>
      <c r="D221" s="151">
        <v>211</v>
      </c>
      <c r="E221" s="20">
        <v>0.8</v>
      </c>
      <c r="F221" s="20">
        <f>'Work Progress (%)'!L230</f>
        <v>0</v>
      </c>
      <c r="G221" s="20">
        <f>'Work Progress (%)'!Y230</f>
        <v>0</v>
      </c>
      <c r="H221" s="20">
        <f>'Work Progress (%)'!AD230</f>
        <v>0</v>
      </c>
      <c r="I221" s="20">
        <f>'Work Progress (%)'!AI230</f>
        <v>0</v>
      </c>
      <c r="J221" s="20">
        <f>'Work Progress (%)'!AQ230</f>
        <v>0</v>
      </c>
      <c r="K221" s="20">
        <f>'Work Progress (%)'!AV230</f>
        <v>0</v>
      </c>
      <c r="L221" s="20">
        <f>'Work Progress (%)'!BD230</f>
        <v>0</v>
      </c>
      <c r="M221" s="20">
        <v>1</v>
      </c>
      <c r="N221" s="20">
        <v>1</v>
      </c>
      <c r="O221" s="20">
        <v>0.2</v>
      </c>
      <c r="P221" s="20">
        <v>0.7</v>
      </c>
      <c r="Q221" s="21">
        <f t="shared" si="21"/>
        <v>0.125</v>
      </c>
    </row>
    <row r="222" spans="2:17" ht="74.25" customHeight="1" x14ac:dyDescent="0.45">
      <c r="B222" s="22" t="s">
        <v>144</v>
      </c>
      <c r="C222" s="22" t="s">
        <v>29</v>
      </c>
      <c r="D222" s="151">
        <v>212</v>
      </c>
      <c r="E222" s="20">
        <v>0.8</v>
      </c>
      <c r="F222" s="20">
        <f>'Work Progress (%)'!L231</f>
        <v>0</v>
      </c>
      <c r="G222" s="20">
        <f>'Work Progress (%)'!Y231</f>
        <v>0</v>
      </c>
      <c r="H222" s="20">
        <f>'Work Progress (%)'!AD231</f>
        <v>0</v>
      </c>
      <c r="I222" s="20">
        <f>'Work Progress (%)'!AI231</f>
        <v>0</v>
      </c>
      <c r="J222" s="20">
        <f>'Work Progress (%)'!AQ231</f>
        <v>0</v>
      </c>
      <c r="K222" s="20">
        <f>'Work Progress (%)'!AV231</f>
        <v>0</v>
      </c>
      <c r="L222" s="20">
        <f>'Work Progress (%)'!BD231</f>
        <v>0</v>
      </c>
      <c r="M222" s="20">
        <v>1</v>
      </c>
      <c r="N222" s="20">
        <v>1</v>
      </c>
      <c r="O222" s="20">
        <v>0.2</v>
      </c>
      <c r="P222" s="20">
        <v>0.7</v>
      </c>
      <c r="Q222" s="21">
        <f t="shared" si="21"/>
        <v>0.125</v>
      </c>
    </row>
    <row r="223" spans="2:17" ht="74.25" customHeight="1" x14ac:dyDescent="0.45">
      <c r="B223" s="22" t="s">
        <v>144</v>
      </c>
      <c r="C223" s="22" t="s">
        <v>29</v>
      </c>
      <c r="D223" s="151">
        <v>213</v>
      </c>
      <c r="E223" s="20">
        <v>0.8</v>
      </c>
      <c r="F223" s="20">
        <f>'Work Progress (%)'!L232</f>
        <v>0</v>
      </c>
      <c r="G223" s="20">
        <f>'Work Progress (%)'!Y232</f>
        <v>0</v>
      </c>
      <c r="H223" s="20">
        <f>'Work Progress (%)'!AD232</f>
        <v>0</v>
      </c>
      <c r="I223" s="20">
        <f>'Work Progress (%)'!AI232</f>
        <v>0</v>
      </c>
      <c r="J223" s="20">
        <f>'Work Progress (%)'!AQ232</f>
        <v>0</v>
      </c>
      <c r="K223" s="20">
        <f>'Work Progress (%)'!AV232</f>
        <v>0</v>
      </c>
      <c r="L223" s="20">
        <f>'Work Progress (%)'!BD232</f>
        <v>0</v>
      </c>
      <c r="M223" s="20">
        <v>1</v>
      </c>
      <c r="N223" s="20">
        <v>1</v>
      </c>
      <c r="O223" s="20">
        <v>0.2</v>
      </c>
      <c r="P223" s="20">
        <v>0.7</v>
      </c>
      <c r="Q223" s="21">
        <f t="shared" si="21"/>
        <v>0.125</v>
      </c>
    </row>
    <row r="224" spans="2:17" ht="74.25" customHeight="1" x14ac:dyDescent="0.45">
      <c r="B224" s="22" t="s">
        <v>144</v>
      </c>
      <c r="C224" s="22" t="s">
        <v>29</v>
      </c>
      <c r="D224" s="151">
        <v>214</v>
      </c>
      <c r="E224" s="20">
        <v>0.8</v>
      </c>
      <c r="F224" s="20">
        <f>'Work Progress (%)'!L233</f>
        <v>0</v>
      </c>
      <c r="G224" s="20">
        <f>'Work Progress (%)'!Y233</f>
        <v>0</v>
      </c>
      <c r="H224" s="20">
        <f>'Work Progress (%)'!AD233</f>
        <v>0</v>
      </c>
      <c r="I224" s="20">
        <f>'Work Progress (%)'!AI233</f>
        <v>0</v>
      </c>
      <c r="J224" s="20">
        <f>'Work Progress (%)'!AQ233</f>
        <v>0</v>
      </c>
      <c r="K224" s="20">
        <f>'Work Progress (%)'!AV233</f>
        <v>0</v>
      </c>
      <c r="L224" s="20">
        <f>'Work Progress (%)'!BD233</f>
        <v>0</v>
      </c>
      <c r="M224" s="20">
        <v>1</v>
      </c>
      <c r="N224" s="20">
        <v>1</v>
      </c>
      <c r="O224" s="20">
        <v>0.2</v>
      </c>
      <c r="P224" s="20">
        <v>0.7</v>
      </c>
      <c r="Q224" s="21">
        <f t="shared" si="21"/>
        <v>0.125</v>
      </c>
    </row>
    <row r="225" spans="2:17" ht="74.25" customHeight="1" x14ac:dyDescent="0.45">
      <c r="B225" s="22" t="s">
        <v>144</v>
      </c>
      <c r="C225" s="22" t="s">
        <v>29</v>
      </c>
      <c r="D225" s="151">
        <v>215</v>
      </c>
      <c r="E225" s="20">
        <v>0.8</v>
      </c>
      <c r="F225" s="20">
        <f>'Work Progress (%)'!L234</f>
        <v>0</v>
      </c>
      <c r="G225" s="20">
        <f>'Work Progress (%)'!Y234</f>
        <v>0</v>
      </c>
      <c r="H225" s="20">
        <f>'Work Progress (%)'!AD234</f>
        <v>0</v>
      </c>
      <c r="I225" s="20">
        <f>'Work Progress (%)'!AI234</f>
        <v>0</v>
      </c>
      <c r="J225" s="20">
        <f>'Work Progress (%)'!AQ234</f>
        <v>0</v>
      </c>
      <c r="K225" s="20">
        <f>'Work Progress (%)'!AV234</f>
        <v>0</v>
      </c>
      <c r="L225" s="20">
        <f>'Work Progress (%)'!BD234</f>
        <v>0</v>
      </c>
      <c r="M225" s="20">
        <v>1</v>
      </c>
      <c r="N225" s="20">
        <v>1</v>
      </c>
      <c r="O225" s="20">
        <v>0.2</v>
      </c>
      <c r="P225" s="20">
        <v>0.7</v>
      </c>
      <c r="Q225" s="21">
        <f t="shared" si="21"/>
        <v>0.125</v>
      </c>
    </row>
    <row r="226" spans="2:17" ht="74.25" customHeight="1" x14ac:dyDescent="0.45">
      <c r="B226" s="22" t="s">
        <v>144</v>
      </c>
      <c r="C226" s="22" t="s">
        <v>29</v>
      </c>
      <c r="D226" s="151">
        <v>216</v>
      </c>
      <c r="E226" s="20">
        <v>0.8</v>
      </c>
      <c r="F226" s="20">
        <f>'Work Progress (%)'!L235</f>
        <v>0</v>
      </c>
      <c r="G226" s="20">
        <f>'Work Progress (%)'!Y235</f>
        <v>0</v>
      </c>
      <c r="H226" s="20">
        <f>'Work Progress (%)'!AD235</f>
        <v>0</v>
      </c>
      <c r="I226" s="20">
        <f>'Work Progress (%)'!AI235</f>
        <v>0</v>
      </c>
      <c r="J226" s="20">
        <f>'Work Progress (%)'!AQ235</f>
        <v>0</v>
      </c>
      <c r="K226" s="20">
        <f>'Work Progress (%)'!AV235</f>
        <v>0</v>
      </c>
      <c r="L226" s="20">
        <f>'Work Progress (%)'!BD235</f>
        <v>0</v>
      </c>
      <c r="M226" s="20">
        <v>1</v>
      </c>
      <c r="N226" s="20">
        <v>1</v>
      </c>
      <c r="O226" s="20">
        <v>0.2</v>
      </c>
      <c r="P226" s="20">
        <v>0.7</v>
      </c>
      <c r="Q226" s="21">
        <f t="shared" si="21"/>
        <v>0.125</v>
      </c>
    </row>
    <row r="227" spans="2:17" ht="74.25" customHeight="1" x14ac:dyDescent="0.45">
      <c r="B227" s="22" t="s">
        <v>144</v>
      </c>
      <c r="C227" s="22"/>
      <c r="D227" s="154" t="s">
        <v>30</v>
      </c>
      <c r="E227" s="141">
        <f>AVERAGE(E229:E243)</f>
        <v>0.80000000000000016</v>
      </c>
      <c r="F227" s="141">
        <f t="shared" ref="F227:P227" si="24">AVERAGE(F229:F243)</f>
        <v>0</v>
      </c>
      <c r="G227" s="20">
        <f t="shared" si="24"/>
        <v>0</v>
      </c>
      <c r="H227" s="141">
        <f t="shared" si="24"/>
        <v>0</v>
      </c>
      <c r="I227" s="141">
        <f t="shared" si="24"/>
        <v>0</v>
      </c>
      <c r="J227" s="141">
        <f t="shared" si="24"/>
        <v>0</v>
      </c>
      <c r="K227" s="141">
        <f t="shared" si="24"/>
        <v>0</v>
      </c>
      <c r="L227" s="141">
        <f t="shared" si="24"/>
        <v>0</v>
      </c>
      <c r="M227" s="141">
        <f t="shared" si="24"/>
        <v>1</v>
      </c>
      <c r="N227" s="141">
        <f t="shared" si="24"/>
        <v>1</v>
      </c>
      <c r="O227" s="141">
        <f t="shared" si="24"/>
        <v>0.20000000000000004</v>
      </c>
      <c r="P227" s="141">
        <f t="shared" si="24"/>
        <v>0.69999999999999984</v>
      </c>
      <c r="Q227" s="14">
        <f t="shared" si="21"/>
        <v>0.125</v>
      </c>
    </row>
    <row r="228" spans="2:17" ht="74.25" customHeight="1" x14ac:dyDescent="0.45">
      <c r="B228" s="22" t="s">
        <v>144</v>
      </c>
      <c r="C228" s="22" t="s">
        <v>31</v>
      </c>
      <c r="D228" s="151">
        <v>301</v>
      </c>
      <c r="E228" s="20">
        <v>0.8</v>
      </c>
      <c r="F228" s="20">
        <f>'Work Progress (%)'!L237</f>
        <v>0</v>
      </c>
      <c r="G228" s="20">
        <f>'Work Progress (%)'!Y237</f>
        <v>0</v>
      </c>
      <c r="H228" s="20">
        <f>'Work Progress (%)'!AD237</f>
        <v>0</v>
      </c>
      <c r="I228" s="20">
        <f>'Work Progress (%)'!AI237</f>
        <v>0</v>
      </c>
      <c r="J228" s="20">
        <f>'Work Progress (%)'!AQ237</f>
        <v>0</v>
      </c>
      <c r="K228" s="20">
        <f>'Work Progress (%)'!AV237</f>
        <v>0</v>
      </c>
      <c r="L228" s="20">
        <f>'Work Progress (%)'!BD237</f>
        <v>0</v>
      </c>
      <c r="M228" s="20">
        <v>1</v>
      </c>
      <c r="N228" s="20">
        <v>1</v>
      </c>
      <c r="O228" s="20">
        <v>0.2</v>
      </c>
      <c r="P228" s="20">
        <v>0.7</v>
      </c>
      <c r="Q228" s="21">
        <f t="shared" si="21"/>
        <v>0.125</v>
      </c>
    </row>
    <row r="229" spans="2:17" ht="74.25" customHeight="1" x14ac:dyDescent="0.45">
      <c r="B229" s="22" t="s">
        <v>144</v>
      </c>
      <c r="C229" s="22" t="s">
        <v>31</v>
      </c>
      <c r="D229" s="151">
        <v>302</v>
      </c>
      <c r="E229" s="20">
        <v>0.8</v>
      </c>
      <c r="F229" s="20">
        <f>'Work Progress (%)'!L238</f>
        <v>0</v>
      </c>
      <c r="G229" s="20">
        <f>'Work Progress (%)'!Y238</f>
        <v>0</v>
      </c>
      <c r="H229" s="20">
        <f>'Work Progress (%)'!AD238</f>
        <v>0</v>
      </c>
      <c r="I229" s="20">
        <f>'Work Progress (%)'!AI238</f>
        <v>0</v>
      </c>
      <c r="J229" s="20">
        <f>'Work Progress (%)'!AQ238</f>
        <v>0</v>
      </c>
      <c r="K229" s="20">
        <f>'Work Progress (%)'!AV238</f>
        <v>0</v>
      </c>
      <c r="L229" s="20">
        <f>'Work Progress (%)'!BD238</f>
        <v>0</v>
      </c>
      <c r="M229" s="20">
        <v>1</v>
      </c>
      <c r="N229" s="20">
        <v>1</v>
      </c>
      <c r="O229" s="20">
        <v>0.2</v>
      </c>
      <c r="P229" s="20">
        <v>0.7</v>
      </c>
      <c r="Q229" s="21">
        <f t="shared" si="21"/>
        <v>0.125</v>
      </c>
    </row>
    <row r="230" spans="2:17" ht="74.25" customHeight="1" x14ac:dyDescent="0.45">
      <c r="B230" s="22" t="s">
        <v>144</v>
      </c>
      <c r="C230" s="22" t="s">
        <v>31</v>
      </c>
      <c r="D230" s="151">
        <v>303</v>
      </c>
      <c r="E230" s="20">
        <v>0.8</v>
      </c>
      <c r="F230" s="20">
        <f>'Work Progress (%)'!L239</f>
        <v>0</v>
      </c>
      <c r="G230" s="20">
        <f>'Work Progress (%)'!Y239</f>
        <v>0</v>
      </c>
      <c r="H230" s="20">
        <f>'Work Progress (%)'!AD239</f>
        <v>0</v>
      </c>
      <c r="I230" s="20">
        <f>'Work Progress (%)'!AI239</f>
        <v>0</v>
      </c>
      <c r="J230" s="20">
        <f>'Work Progress (%)'!AQ239</f>
        <v>0</v>
      </c>
      <c r="K230" s="20">
        <f>'Work Progress (%)'!AV239</f>
        <v>0</v>
      </c>
      <c r="L230" s="20">
        <f>'Work Progress (%)'!BD239</f>
        <v>0</v>
      </c>
      <c r="M230" s="20">
        <v>1</v>
      </c>
      <c r="N230" s="20">
        <v>1</v>
      </c>
      <c r="O230" s="20">
        <v>0.2</v>
      </c>
      <c r="P230" s="20">
        <v>0.7</v>
      </c>
      <c r="Q230" s="21">
        <f t="shared" si="21"/>
        <v>0.125</v>
      </c>
    </row>
    <row r="231" spans="2:17" ht="74.25" customHeight="1" x14ac:dyDescent="0.45">
      <c r="B231" s="22" t="s">
        <v>144</v>
      </c>
      <c r="C231" s="22" t="s">
        <v>31</v>
      </c>
      <c r="D231" s="151">
        <v>304</v>
      </c>
      <c r="E231" s="20">
        <v>0.8</v>
      </c>
      <c r="F231" s="20">
        <f>'Work Progress (%)'!L240</f>
        <v>0</v>
      </c>
      <c r="G231" s="20">
        <f>'Work Progress (%)'!Y240</f>
        <v>0</v>
      </c>
      <c r="H231" s="20">
        <f>'Work Progress (%)'!AD240</f>
        <v>0</v>
      </c>
      <c r="I231" s="20">
        <f>'Work Progress (%)'!AI240</f>
        <v>0</v>
      </c>
      <c r="J231" s="20">
        <f>'Work Progress (%)'!AQ240</f>
        <v>0</v>
      </c>
      <c r="K231" s="20">
        <f>'Work Progress (%)'!AV240</f>
        <v>0</v>
      </c>
      <c r="L231" s="20">
        <f>'Work Progress (%)'!BD240</f>
        <v>0</v>
      </c>
      <c r="M231" s="20">
        <v>1</v>
      </c>
      <c r="N231" s="20">
        <v>1</v>
      </c>
      <c r="O231" s="20">
        <v>0.2</v>
      </c>
      <c r="P231" s="20">
        <v>0.7</v>
      </c>
      <c r="Q231" s="21">
        <f t="shared" si="21"/>
        <v>0.125</v>
      </c>
    </row>
    <row r="232" spans="2:17" ht="74.25" customHeight="1" x14ac:dyDescent="0.45">
      <c r="B232" s="22" t="s">
        <v>144</v>
      </c>
      <c r="C232" s="22" t="s">
        <v>31</v>
      </c>
      <c r="D232" s="151">
        <v>305</v>
      </c>
      <c r="E232" s="20">
        <v>0.8</v>
      </c>
      <c r="F232" s="20">
        <f>'Work Progress (%)'!L241</f>
        <v>0</v>
      </c>
      <c r="G232" s="20">
        <f>'Work Progress (%)'!Y241</f>
        <v>0</v>
      </c>
      <c r="H232" s="20">
        <f>'Work Progress (%)'!AD241</f>
        <v>0</v>
      </c>
      <c r="I232" s="20">
        <f>'Work Progress (%)'!AI241</f>
        <v>0</v>
      </c>
      <c r="J232" s="20">
        <f>'Work Progress (%)'!AQ241</f>
        <v>0</v>
      </c>
      <c r="K232" s="20">
        <f>'Work Progress (%)'!AV241</f>
        <v>0</v>
      </c>
      <c r="L232" s="20">
        <f>'Work Progress (%)'!BD241</f>
        <v>0</v>
      </c>
      <c r="M232" s="20">
        <v>1</v>
      </c>
      <c r="N232" s="20">
        <v>1</v>
      </c>
      <c r="O232" s="20">
        <v>0.2</v>
      </c>
      <c r="P232" s="20">
        <v>0.7</v>
      </c>
      <c r="Q232" s="21">
        <f t="shared" si="21"/>
        <v>0.125</v>
      </c>
    </row>
    <row r="233" spans="2:17" ht="74.25" customHeight="1" x14ac:dyDescent="0.45">
      <c r="B233" s="22" t="s">
        <v>144</v>
      </c>
      <c r="C233" s="22" t="s">
        <v>31</v>
      </c>
      <c r="D233" s="151">
        <v>306</v>
      </c>
      <c r="E233" s="20">
        <v>0.8</v>
      </c>
      <c r="F233" s="20">
        <f>'Work Progress (%)'!L242</f>
        <v>0</v>
      </c>
      <c r="G233" s="20">
        <f>'Work Progress (%)'!Y242</f>
        <v>0</v>
      </c>
      <c r="H233" s="20">
        <f>'Work Progress (%)'!AD242</f>
        <v>0</v>
      </c>
      <c r="I233" s="20">
        <f>'Work Progress (%)'!AI242</f>
        <v>0</v>
      </c>
      <c r="J233" s="20">
        <f>'Work Progress (%)'!AQ242</f>
        <v>0</v>
      </c>
      <c r="K233" s="20">
        <f>'Work Progress (%)'!AV242</f>
        <v>0</v>
      </c>
      <c r="L233" s="20">
        <f>'Work Progress (%)'!BD242</f>
        <v>0</v>
      </c>
      <c r="M233" s="20">
        <v>1</v>
      </c>
      <c r="N233" s="20">
        <v>1</v>
      </c>
      <c r="O233" s="20">
        <v>0.2</v>
      </c>
      <c r="P233" s="20">
        <v>0.7</v>
      </c>
      <c r="Q233" s="21">
        <f t="shared" si="21"/>
        <v>0.125</v>
      </c>
    </row>
    <row r="234" spans="2:17" ht="74.25" customHeight="1" x14ac:dyDescent="0.45">
      <c r="B234" s="22" t="s">
        <v>144</v>
      </c>
      <c r="C234" s="22" t="s">
        <v>31</v>
      </c>
      <c r="D234" s="151">
        <v>307</v>
      </c>
      <c r="E234" s="20">
        <v>0.8</v>
      </c>
      <c r="F234" s="20">
        <f>'Work Progress (%)'!L243</f>
        <v>0</v>
      </c>
      <c r="G234" s="20">
        <f>'Work Progress (%)'!Y243</f>
        <v>0</v>
      </c>
      <c r="H234" s="20">
        <f>'Work Progress (%)'!AD243</f>
        <v>0</v>
      </c>
      <c r="I234" s="20">
        <f>'Work Progress (%)'!AI243</f>
        <v>0</v>
      </c>
      <c r="J234" s="20">
        <f>'Work Progress (%)'!AQ243</f>
        <v>0</v>
      </c>
      <c r="K234" s="20">
        <f>'Work Progress (%)'!AV243</f>
        <v>0</v>
      </c>
      <c r="L234" s="20">
        <f>'Work Progress (%)'!BD243</f>
        <v>0</v>
      </c>
      <c r="M234" s="20">
        <v>1</v>
      </c>
      <c r="N234" s="20">
        <v>1</v>
      </c>
      <c r="O234" s="20">
        <v>0.2</v>
      </c>
      <c r="P234" s="20">
        <v>0.7</v>
      </c>
      <c r="Q234" s="21">
        <f t="shared" si="21"/>
        <v>0.125</v>
      </c>
    </row>
    <row r="235" spans="2:17" ht="74.25" customHeight="1" x14ac:dyDescent="0.45">
      <c r="B235" s="22" t="s">
        <v>144</v>
      </c>
      <c r="C235" s="22" t="s">
        <v>31</v>
      </c>
      <c r="D235" s="151">
        <v>308</v>
      </c>
      <c r="E235" s="20">
        <v>0.8</v>
      </c>
      <c r="F235" s="20">
        <f>'Work Progress (%)'!L244</f>
        <v>0</v>
      </c>
      <c r="G235" s="20">
        <f>'Work Progress (%)'!Y244</f>
        <v>0</v>
      </c>
      <c r="H235" s="20">
        <f>'Work Progress (%)'!AD244</f>
        <v>0</v>
      </c>
      <c r="I235" s="20">
        <f>'Work Progress (%)'!AI244</f>
        <v>0</v>
      </c>
      <c r="J235" s="20">
        <f>'Work Progress (%)'!AQ244</f>
        <v>0</v>
      </c>
      <c r="K235" s="20">
        <f>'Work Progress (%)'!AV244</f>
        <v>0</v>
      </c>
      <c r="L235" s="20">
        <f>'Work Progress (%)'!BD244</f>
        <v>0</v>
      </c>
      <c r="M235" s="20">
        <v>1</v>
      </c>
      <c r="N235" s="20">
        <v>1</v>
      </c>
      <c r="O235" s="20">
        <v>0.2</v>
      </c>
      <c r="P235" s="20">
        <v>0.7</v>
      </c>
      <c r="Q235" s="21">
        <f t="shared" si="21"/>
        <v>0.125</v>
      </c>
    </row>
    <row r="236" spans="2:17" ht="74.25" customHeight="1" x14ac:dyDescent="0.45">
      <c r="B236" s="22" t="s">
        <v>144</v>
      </c>
      <c r="C236" s="22" t="s">
        <v>31</v>
      </c>
      <c r="D236" s="151">
        <v>309</v>
      </c>
      <c r="E236" s="20">
        <v>0.8</v>
      </c>
      <c r="F236" s="20">
        <f>'Work Progress (%)'!L245</f>
        <v>0</v>
      </c>
      <c r="G236" s="20">
        <f>'Work Progress (%)'!Y245</f>
        <v>0</v>
      </c>
      <c r="H236" s="20">
        <f>'Work Progress (%)'!AD245</f>
        <v>0</v>
      </c>
      <c r="I236" s="20">
        <f>'Work Progress (%)'!AI245</f>
        <v>0</v>
      </c>
      <c r="J236" s="20">
        <f>'Work Progress (%)'!AQ245</f>
        <v>0</v>
      </c>
      <c r="K236" s="20">
        <f>'Work Progress (%)'!AV245</f>
        <v>0</v>
      </c>
      <c r="L236" s="20">
        <f>'Work Progress (%)'!BD245</f>
        <v>0</v>
      </c>
      <c r="M236" s="20">
        <v>1</v>
      </c>
      <c r="N236" s="20">
        <v>1</v>
      </c>
      <c r="O236" s="20">
        <v>0.2</v>
      </c>
      <c r="P236" s="20">
        <v>0.7</v>
      </c>
      <c r="Q236" s="21">
        <f t="shared" si="21"/>
        <v>0.125</v>
      </c>
    </row>
    <row r="237" spans="2:17" ht="74.25" customHeight="1" x14ac:dyDescent="0.45">
      <c r="B237" s="22" t="s">
        <v>144</v>
      </c>
      <c r="C237" s="22" t="s">
        <v>31</v>
      </c>
      <c r="D237" s="151">
        <v>310</v>
      </c>
      <c r="E237" s="20">
        <v>0.8</v>
      </c>
      <c r="F237" s="20">
        <f>'Work Progress (%)'!L246</f>
        <v>0</v>
      </c>
      <c r="G237" s="20">
        <f>'Work Progress (%)'!Y246</f>
        <v>0</v>
      </c>
      <c r="H237" s="20">
        <f>'Work Progress (%)'!AD246</f>
        <v>0</v>
      </c>
      <c r="I237" s="20">
        <f>'Work Progress (%)'!AI246</f>
        <v>0</v>
      </c>
      <c r="J237" s="20">
        <f>'Work Progress (%)'!AQ246</f>
        <v>0</v>
      </c>
      <c r="K237" s="20">
        <f>'Work Progress (%)'!AV246</f>
        <v>0</v>
      </c>
      <c r="L237" s="20">
        <f>'Work Progress (%)'!BD246</f>
        <v>0</v>
      </c>
      <c r="M237" s="20">
        <v>1</v>
      </c>
      <c r="N237" s="20">
        <v>1</v>
      </c>
      <c r="O237" s="20">
        <v>0.2</v>
      </c>
      <c r="P237" s="20">
        <v>0.7</v>
      </c>
      <c r="Q237" s="21">
        <f t="shared" si="21"/>
        <v>0.125</v>
      </c>
    </row>
    <row r="238" spans="2:17" ht="74.25" customHeight="1" x14ac:dyDescent="0.45">
      <c r="B238" s="22" t="s">
        <v>144</v>
      </c>
      <c r="C238" s="22" t="s">
        <v>31</v>
      </c>
      <c r="D238" s="151">
        <v>311</v>
      </c>
      <c r="E238" s="20">
        <v>0.8</v>
      </c>
      <c r="F238" s="20">
        <f>'Work Progress (%)'!L247</f>
        <v>0</v>
      </c>
      <c r="G238" s="20">
        <f>'Work Progress (%)'!Y247</f>
        <v>0</v>
      </c>
      <c r="H238" s="20">
        <f>'Work Progress (%)'!AD247</f>
        <v>0</v>
      </c>
      <c r="I238" s="20">
        <f>'Work Progress (%)'!AI247</f>
        <v>0</v>
      </c>
      <c r="J238" s="20">
        <f>'Work Progress (%)'!AQ247</f>
        <v>0</v>
      </c>
      <c r="K238" s="20">
        <f>'Work Progress (%)'!AV247</f>
        <v>0</v>
      </c>
      <c r="L238" s="20">
        <f>'Work Progress (%)'!BD247</f>
        <v>0</v>
      </c>
      <c r="M238" s="20">
        <v>1</v>
      </c>
      <c r="N238" s="20">
        <v>1</v>
      </c>
      <c r="O238" s="20">
        <v>0.2</v>
      </c>
      <c r="P238" s="20">
        <v>0.7</v>
      </c>
      <c r="Q238" s="21">
        <f t="shared" si="21"/>
        <v>0.125</v>
      </c>
    </row>
    <row r="239" spans="2:17" ht="74.25" customHeight="1" x14ac:dyDescent="0.45">
      <c r="B239" s="22" t="s">
        <v>144</v>
      </c>
      <c r="C239" s="22" t="s">
        <v>31</v>
      </c>
      <c r="D239" s="151">
        <v>312</v>
      </c>
      <c r="E239" s="20">
        <v>0.8</v>
      </c>
      <c r="F239" s="20">
        <f>'Work Progress (%)'!L248</f>
        <v>0</v>
      </c>
      <c r="G239" s="20">
        <f>'Work Progress (%)'!Y248</f>
        <v>0</v>
      </c>
      <c r="H239" s="20">
        <f>'Work Progress (%)'!AD248</f>
        <v>0</v>
      </c>
      <c r="I239" s="20">
        <f>'Work Progress (%)'!AI248</f>
        <v>0</v>
      </c>
      <c r="J239" s="20">
        <f>'Work Progress (%)'!AQ248</f>
        <v>0</v>
      </c>
      <c r="K239" s="20">
        <f>'Work Progress (%)'!AV248</f>
        <v>0</v>
      </c>
      <c r="L239" s="20">
        <f>'Work Progress (%)'!BD248</f>
        <v>0</v>
      </c>
      <c r="M239" s="20">
        <v>1</v>
      </c>
      <c r="N239" s="20">
        <v>1</v>
      </c>
      <c r="O239" s="20">
        <v>0.2</v>
      </c>
      <c r="P239" s="20">
        <v>0.7</v>
      </c>
      <c r="Q239" s="21">
        <f t="shared" si="21"/>
        <v>0.125</v>
      </c>
    </row>
    <row r="240" spans="2:17" ht="74.25" customHeight="1" x14ac:dyDescent="0.45">
      <c r="B240" s="22" t="s">
        <v>144</v>
      </c>
      <c r="C240" s="22" t="s">
        <v>31</v>
      </c>
      <c r="D240" s="151">
        <v>313</v>
      </c>
      <c r="E240" s="20">
        <v>0.8</v>
      </c>
      <c r="F240" s="20">
        <f>'Work Progress (%)'!L249</f>
        <v>0</v>
      </c>
      <c r="G240" s="20">
        <f>'Work Progress (%)'!Y249</f>
        <v>0</v>
      </c>
      <c r="H240" s="20">
        <f>'Work Progress (%)'!AD249</f>
        <v>0</v>
      </c>
      <c r="I240" s="20">
        <f>'Work Progress (%)'!AI249</f>
        <v>0</v>
      </c>
      <c r="J240" s="20">
        <f>'Work Progress (%)'!AQ249</f>
        <v>0</v>
      </c>
      <c r="K240" s="20">
        <f>'Work Progress (%)'!AV249</f>
        <v>0</v>
      </c>
      <c r="L240" s="20">
        <f>'Work Progress (%)'!BD249</f>
        <v>0</v>
      </c>
      <c r="M240" s="20">
        <v>1</v>
      </c>
      <c r="N240" s="20">
        <v>1</v>
      </c>
      <c r="O240" s="20">
        <v>0.2</v>
      </c>
      <c r="P240" s="20">
        <v>0.7</v>
      </c>
      <c r="Q240" s="21">
        <f t="shared" si="21"/>
        <v>0.125</v>
      </c>
    </row>
    <row r="241" spans="2:17" ht="74.25" customHeight="1" x14ac:dyDescent="0.45">
      <c r="B241" s="22" t="s">
        <v>144</v>
      </c>
      <c r="C241" s="22" t="s">
        <v>31</v>
      </c>
      <c r="D241" s="151">
        <v>314</v>
      </c>
      <c r="E241" s="20">
        <v>0.8</v>
      </c>
      <c r="F241" s="20">
        <f>'Work Progress (%)'!L250</f>
        <v>0</v>
      </c>
      <c r="G241" s="20">
        <f>'Work Progress (%)'!Y250</f>
        <v>0</v>
      </c>
      <c r="H241" s="20">
        <f>'Work Progress (%)'!AD250</f>
        <v>0</v>
      </c>
      <c r="I241" s="20">
        <f>'Work Progress (%)'!AI250</f>
        <v>0</v>
      </c>
      <c r="J241" s="20">
        <f>'Work Progress (%)'!AQ250</f>
        <v>0</v>
      </c>
      <c r="K241" s="20">
        <f>'Work Progress (%)'!AV250</f>
        <v>0</v>
      </c>
      <c r="L241" s="20">
        <f>'Work Progress (%)'!BD250</f>
        <v>0</v>
      </c>
      <c r="M241" s="20">
        <v>1</v>
      </c>
      <c r="N241" s="20">
        <v>1</v>
      </c>
      <c r="O241" s="20">
        <v>0.2</v>
      </c>
      <c r="P241" s="20">
        <v>0.7</v>
      </c>
      <c r="Q241" s="21">
        <f t="shared" si="21"/>
        <v>0.125</v>
      </c>
    </row>
    <row r="242" spans="2:17" ht="74.25" customHeight="1" x14ac:dyDescent="0.45">
      <c r="B242" s="22" t="s">
        <v>144</v>
      </c>
      <c r="C242" s="22" t="s">
        <v>31</v>
      </c>
      <c r="D242" s="151">
        <v>315</v>
      </c>
      <c r="E242" s="20">
        <v>0.8</v>
      </c>
      <c r="F242" s="20">
        <f>'Work Progress (%)'!L251</f>
        <v>0</v>
      </c>
      <c r="G242" s="20">
        <f>'Work Progress (%)'!Y251</f>
        <v>0</v>
      </c>
      <c r="H242" s="20">
        <f>'Work Progress (%)'!AD251</f>
        <v>0</v>
      </c>
      <c r="I242" s="20">
        <f>'Work Progress (%)'!AI251</f>
        <v>0</v>
      </c>
      <c r="J242" s="20">
        <f>'Work Progress (%)'!AQ251</f>
        <v>0</v>
      </c>
      <c r="K242" s="20">
        <f>'Work Progress (%)'!AV251</f>
        <v>0</v>
      </c>
      <c r="L242" s="20">
        <f>'Work Progress (%)'!BD251</f>
        <v>0</v>
      </c>
      <c r="M242" s="20">
        <v>1</v>
      </c>
      <c r="N242" s="20">
        <v>1</v>
      </c>
      <c r="O242" s="20">
        <v>0.2</v>
      </c>
      <c r="P242" s="20">
        <v>0.7</v>
      </c>
      <c r="Q242" s="21">
        <f t="shared" si="21"/>
        <v>0.125</v>
      </c>
    </row>
    <row r="243" spans="2:17" ht="74.25" customHeight="1" x14ac:dyDescent="0.45">
      <c r="B243" s="22" t="s">
        <v>144</v>
      </c>
      <c r="C243" s="22" t="s">
        <v>31</v>
      </c>
      <c r="D243" s="151">
        <v>316</v>
      </c>
      <c r="E243" s="20">
        <v>0.8</v>
      </c>
      <c r="F243" s="20">
        <f>'Work Progress (%)'!L252</f>
        <v>0</v>
      </c>
      <c r="G243" s="20">
        <f>'Work Progress (%)'!Y252</f>
        <v>0</v>
      </c>
      <c r="H243" s="20">
        <f>'Work Progress (%)'!AD252</f>
        <v>0</v>
      </c>
      <c r="I243" s="20">
        <f>'Work Progress (%)'!AI252</f>
        <v>0</v>
      </c>
      <c r="J243" s="20">
        <f>'Work Progress (%)'!AQ252</f>
        <v>0</v>
      </c>
      <c r="K243" s="20">
        <f>'Work Progress (%)'!AV252</f>
        <v>0</v>
      </c>
      <c r="L243" s="20">
        <f>'Work Progress (%)'!BD252</f>
        <v>0</v>
      </c>
      <c r="M243" s="20">
        <v>1</v>
      </c>
      <c r="N243" s="20">
        <v>1</v>
      </c>
      <c r="O243" s="20">
        <v>0.2</v>
      </c>
      <c r="P243" s="20">
        <v>0.7</v>
      </c>
      <c r="Q243" s="21">
        <f t="shared" si="21"/>
        <v>0.125</v>
      </c>
    </row>
    <row r="244" spans="2:17" ht="74.25" customHeight="1" x14ac:dyDescent="0.45">
      <c r="B244" s="22" t="s">
        <v>144</v>
      </c>
      <c r="C244" s="22"/>
      <c r="D244" s="154" t="s">
        <v>32</v>
      </c>
      <c r="E244" s="141">
        <f>AVERAGE(E246:E260)</f>
        <v>0.80000000000000016</v>
      </c>
      <c r="F244" s="141">
        <f t="shared" ref="F244:P244" si="25">AVERAGE(F246:F260)</f>
        <v>0</v>
      </c>
      <c r="G244" s="20">
        <f t="shared" si="25"/>
        <v>0</v>
      </c>
      <c r="H244" s="141">
        <f t="shared" si="25"/>
        <v>0</v>
      </c>
      <c r="I244" s="141">
        <f t="shared" si="25"/>
        <v>0</v>
      </c>
      <c r="J244" s="141">
        <f t="shared" si="25"/>
        <v>0</v>
      </c>
      <c r="K244" s="141">
        <f t="shared" si="25"/>
        <v>0</v>
      </c>
      <c r="L244" s="141">
        <f t="shared" si="25"/>
        <v>0</v>
      </c>
      <c r="M244" s="141">
        <f t="shared" si="25"/>
        <v>1</v>
      </c>
      <c r="N244" s="141">
        <f t="shared" si="25"/>
        <v>1</v>
      </c>
      <c r="O244" s="141">
        <f t="shared" si="25"/>
        <v>0.20000000000000004</v>
      </c>
      <c r="P244" s="141">
        <f t="shared" si="25"/>
        <v>0.69999999999999984</v>
      </c>
      <c r="Q244" s="14">
        <f>AVERAGE(Q245:Q260)</f>
        <v>0.125</v>
      </c>
    </row>
    <row r="245" spans="2:17" ht="74.25" customHeight="1" x14ac:dyDescent="0.45">
      <c r="B245" s="22" t="s">
        <v>144</v>
      </c>
      <c r="C245" s="22" t="s">
        <v>33</v>
      </c>
      <c r="D245" s="151">
        <v>401</v>
      </c>
      <c r="E245" s="20">
        <v>0.8</v>
      </c>
      <c r="F245" s="20">
        <f>'Work Progress (%)'!L254</f>
        <v>0</v>
      </c>
      <c r="G245" s="20">
        <f>'Work Progress (%)'!Y254</f>
        <v>0</v>
      </c>
      <c r="H245" s="20">
        <f>'Work Progress (%)'!AD254</f>
        <v>0</v>
      </c>
      <c r="I245" s="20">
        <f>'Work Progress (%)'!AI254</f>
        <v>0</v>
      </c>
      <c r="J245" s="20">
        <f>'Work Progress (%)'!AQ254</f>
        <v>0</v>
      </c>
      <c r="K245" s="20">
        <f>'Work Progress (%)'!AV254</f>
        <v>0</v>
      </c>
      <c r="L245" s="20">
        <f>'Work Progress (%)'!BD254</f>
        <v>0</v>
      </c>
      <c r="M245" s="20">
        <v>1</v>
      </c>
      <c r="N245" s="20">
        <v>1</v>
      </c>
      <c r="O245" s="20">
        <v>0.2</v>
      </c>
      <c r="P245" s="20">
        <v>0.7</v>
      </c>
      <c r="Q245" s="21">
        <f t="shared" ref="Q245:Q260" si="26">SUMPRODUCT(E245:P245, E$2:P$2)</f>
        <v>0.125</v>
      </c>
    </row>
    <row r="246" spans="2:17" ht="74.25" customHeight="1" x14ac:dyDescent="0.45">
      <c r="B246" s="22" t="s">
        <v>144</v>
      </c>
      <c r="C246" s="22" t="s">
        <v>33</v>
      </c>
      <c r="D246" s="151">
        <v>402</v>
      </c>
      <c r="E246" s="20">
        <v>0.8</v>
      </c>
      <c r="F246" s="20">
        <f>'Work Progress (%)'!L255</f>
        <v>0</v>
      </c>
      <c r="G246" s="20">
        <f>'Work Progress (%)'!Y255</f>
        <v>0</v>
      </c>
      <c r="H246" s="20">
        <f>'Work Progress (%)'!AD255</f>
        <v>0</v>
      </c>
      <c r="I246" s="20">
        <f>'Work Progress (%)'!AI255</f>
        <v>0</v>
      </c>
      <c r="J246" s="20">
        <f>'Work Progress (%)'!AQ255</f>
        <v>0</v>
      </c>
      <c r="K246" s="20">
        <f>'Work Progress (%)'!AV255</f>
        <v>0</v>
      </c>
      <c r="L246" s="20">
        <f>'Work Progress (%)'!BD255</f>
        <v>0</v>
      </c>
      <c r="M246" s="20">
        <v>1</v>
      </c>
      <c r="N246" s="20">
        <v>1</v>
      </c>
      <c r="O246" s="20">
        <v>0.2</v>
      </c>
      <c r="P246" s="20">
        <v>0.7</v>
      </c>
      <c r="Q246" s="21">
        <f t="shared" si="26"/>
        <v>0.125</v>
      </c>
    </row>
    <row r="247" spans="2:17" ht="74.25" customHeight="1" x14ac:dyDescent="0.45">
      <c r="B247" s="22" t="s">
        <v>144</v>
      </c>
      <c r="C247" s="22" t="s">
        <v>33</v>
      </c>
      <c r="D247" s="151">
        <v>403</v>
      </c>
      <c r="E247" s="20">
        <v>0.8</v>
      </c>
      <c r="F247" s="20">
        <f>'Work Progress (%)'!L256</f>
        <v>0</v>
      </c>
      <c r="G247" s="20">
        <f>'Work Progress (%)'!Y256</f>
        <v>0</v>
      </c>
      <c r="H247" s="20">
        <f>'Work Progress (%)'!AD256</f>
        <v>0</v>
      </c>
      <c r="I247" s="20">
        <f>'Work Progress (%)'!AI256</f>
        <v>0</v>
      </c>
      <c r="J247" s="20">
        <f>'Work Progress (%)'!AQ256</f>
        <v>0</v>
      </c>
      <c r="K247" s="20">
        <f>'Work Progress (%)'!AV256</f>
        <v>0</v>
      </c>
      <c r="L247" s="20">
        <f>'Work Progress (%)'!BD256</f>
        <v>0</v>
      </c>
      <c r="M247" s="20">
        <v>1</v>
      </c>
      <c r="N247" s="20">
        <v>1</v>
      </c>
      <c r="O247" s="20">
        <v>0.2</v>
      </c>
      <c r="P247" s="20">
        <v>0.7</v>
      </c>
      <c r="Q247" s="21">
        <f t="shared" si="26"/>
        <v>0.125</v>
      </c>
    </row>
    <row r="248" spans="2:17" ht="74.25" customHeight="1" x14ac:dyDescent="0.45">
      <c r="B248" s="22" t="s">
        <v>144</v>
      </c>
      <c r="C248" s="22" t="s">
        <v>33</v>
      </c>
      <c r="D248" s="151">
        <v>404</v>
      </c>
      <c r="E248" s="20">
        <v>0.8</v>
      </c>
      <c r="F248" s="20">
        <f>'Work Progress (%)'!L257</f>
        <v>0</v>
      </c>
      <c r="G248" s="20">
        <f>'Work Progress (%)'!Y257</f>
        <v>0</v>
      </c>
      <c r="H248" s="20">
        <f>'Work Progress (%)'!AD257</f>
        <v>0</v>
      </c>
      <c r="I248" s="20">
        <f>'Work Progress (%)'!AI257</f>
        <v>0</v>
      </c>
      <c r="J248" s="20">
        <f>'Work Progress (%)'!AQ257</f>
        <v>0</v>
      </c>
      <c r="K248" s="20">
        <f>'Work Progress (%)'!AV257</f>
        <v>0</v>
      </c>
      <c r="L248" s="20">
        <f>'Work Progress (%)'!BD257</f>
        <v>0</v>
      </c>
      <c r="M248" s="20">
        <v>1</v>
      </c>
      <c r="N248" s="20">
        <v>1</v>
      </c>
      <c r="O248" s="20">
        <v>0.2</v>
      </c>
      <c r="P248" s="20">
        <v>0.7</v>
      </c>
      <c r="Q248" s="21">
        <f t="shared" si="26"/>
        <v>0.125</v>
      </c>
    </row>
    <row r="249" spans="2:17" ht="74.25" customHeight="1" x14ac:dyDescent="0.45">
      <c r="B249" s="22" t="s">
        <v>144</v>
      </c>
      <c r="C249" s="22" t="s">
        <v>33</v>
      </c>
      <c r="D249" s="151">
        <v>405</v>
      </c>
      <c r="E249" s="20">
        <v>0.8</v>
      </c>
      <c r="F249" s="20">
        <f>'Work Progress (%)'!L258</f>
        <v>0</v>
      </c>
      <c r="G249" s="20">
        <f>'Work Progress (%)'!Y258</f>
        <v>0</v>
      </c>
      <c r="H249" s="20">
        <f>'Work Progress (%)'!AD258</f>
        <v>0</v>
      </c>
      <c r="I249" s="20">
        <f>'Work Progress (%)'!AI258</f>
        <v>0</v>
      </c>
      <c r="J249" s="20">
        <f>'Work Progress (%)'!AQ258</f>
        <v>0</v>
      </c>
      <c r="K249" s="20">
        <f>'Work Progress (%)'!AV258</f>
        <v>0</v>
      </c>
      <c r="L249" s="20">
        <f>'Work Progress (%)'!BD258</f>
        <v>0</v>
      </c>
      <c r="M249" s="20">
        <v>1</v>
      </c>
      <c r="N249" s="20">
        <v>1</v>
      </c>
      <c r="O249" s="20">
        <v>0.2</v>
      </c>
      <c r="P249" s="20">
        <v>0.7</v>
      </c>
      <c r="Q249" s="21">
        <f t="shared" si="26"/>
        <v>0.125</v>
      </c>
    </row>
    <row r="250" spans="2:17" ht="74.25" customHeight="1" x14ac:dyDescent="0.45">
      <c r="B250" s="22" t="s">
        <v>144</v>
      </c>
      <c r="C250" s="22" t="s">
        <v>33</v>
      </c>
      <c r="D250" s="151">
        <v>406</v>
      </c>
      <c r="E250" s="20">
        <v>0.8</v>
      </c>
      <c r="F250" s="20">
        <f>'Work Progress (%)'!L259</f>
        <v>0</v>
      </c>
      <c r="G250" s="20">
        <f>'Work Progress (%)'!Y259</f>
        <v>0</v>
      </c>
      <c r="H250" s="20">
        <f>'Work Progress (%)'!AD259</f>
        <v>0</v>
      </c>
      <c r="I250" s="20">
        <f>'Work Progress (%)'!AI259</f>
        <v>0</v>
      </c>
      <c r="J250" s="20">
        <f>'Work Progress (%)'!AQ259</f>
        <v>0</v>
      </c>
      <c r="K250" s="20">
        <f>'Work Progress (%)'!AV259</f>
        <v>0</v>
      </c>
      <c r="L250" s="20">
        <f>'Work Progress (%)'!BD259</f>
        <v>0</v>
      </c>
      <c r="M250" s="20">
        <v>1</v>
      </c>
      <c r="N250" s="20">
        <v>1</v>
      </c>
      <c r="O250" s="20">
        <v>0.2</v>
      </c>
      <c r="P250" s="20">
        <v>0.7</v>
      </c>
      <c r="Q250" s="21">
        <f t="shared" si="26"/>
        <v>0.125</v>
      </c>
    </row>
    <row r="251" spans="2:17" ht="74.25" customHeight="1" x14ac:dyDescent="0.45">
      <c r="B251" s="22" t="s">
        <v>144</v>
      </c>
      <c r="C251" s="22" t="s">
        <v>33</v>
      </c>
      <c r="D251" s="151">
        <v>407</v>
      </c>
      <c r="E251" s="20">
        <v>0.8</v>
      </c>
      <c r="F251" s="20">
        <f>'Work Progress (%)'!L260</f>
        <v>0</v>
      </c>
      <c r="G251" s="20">
        <f>'Work Progress (%)'!Y260</f>
        <v>0</v>
      </c>
      <c r="H251" s="20">
        <f>'Work Progress (%)'!AD260</f>
        <v>0</v>
      </c>
      <c r="I251" s="20">
        <f>'Work Progress (%)'!AI260</f>
        <v>0</v>
      </c>
      <c r="J251" s="20">
        <f>'Work Progress (%)'!AQ260</f>
        <v>0</v>
      </c>
      <c r="K251" s="20">
        <f>'Work Progress (%)'!AV260</f>
        <v>0</v>
      </c>
      <c r="L251" s="20">
        <f>'Work Progress (%)'!BD260</f>
        <v>0</v>
      </c>
      <c r="M251" s="20">
        <v>1</v>
      </c>
      <c r="N251" s="20">
        <v>1</v>
      </c>
      <c r="O251" s="20">
        <v>0.2</v>
      </c>
      <c r="P251" s="20">
        <v>0.7</v>
      </c>
      <c r="Q251" s="21">
        <f t="shared" si="26"/>
        <v>0.125</v>
      </c>
    </row>
    <row r="252" spans="2:17" ht="74.25" customHeight="1" x14ac:dyDescent="0.45">
      <c r="B252" s="22" t="s">
        <v>144</v>
      </c>
      <c r="C252" s="22" t="s">
        <v>33</v>
      </c>
      <c r="D252" s="151">
        <v>408</v>
      </c>
      <c r="E252" s="20">
        <v>0.8</v>
      </c>
      <c r="F252" s="20">
        <f>'Work Progress (%)'!L261</f>
        <v>0</v>
      </c>
      <c r="G252" s="20">
        <f>'Work Progress (%)'!Y261</f>
        <v>0</v>
      </c>
      <c r="H252" s="20">
        <f>'Work Progress (%)'!AD261</f>
        <v>0</v>
      </c>
      <c r="I252" s="20">
        <f>'Work Progress (%)'!AI261</f>
        <v>0</v>
      </c>
      <c r="J252" s="20">
        <f>'Work Progress (%)'!AQ261</f>
        <v>0</v>
      </c>
      <c r="K252" s="20">
        <f>'Work Progress (%)'!AV261</f>
        <v>0</v>
      </c>
      <c r="L252" s="20">
        <f>'Work Progress (%)'!BD261</f>
        <v>0</v>
      </c>
      <c r="M252" s="20">
        <v>1</v>
      </c>
      <c r="N252" s="20">
        <v>1</v>
      </c>
      <c r="O252" s="20">
        <v>0.2</v>
      </c>
      <c r="P252" s="20">
        <v>0.7</v>
      </c>
      <c r="Q252" s="21">
        <f t="shared" si="26"/>
        <v>0.125</v>
      </c>
    </row>
    <row r="253" spans="2:17" ht="74.25" customHeight="1" x14ac:dyDescent="0.45">
      <c r="B253" s="22" t="s">
        <v>144</v>
      </c>
      <c r="C253" s="22" t="s">
        <v>33</v>
      </c>
      <c r="D253" s="151">
        <v>409</v>
      </c>
      <c r="E253" s="20">
        <v>0.8</v>
      </c>
      <c r="F253" s="20">
        <f>'Work Progress (%)'!L262</f>
        <v>0</v>
      </c>
      <c r="G253" s="20">
        <f>'Work Progress (%)'!Y262</f>
        <v>0</v>
      </c>
      <c r="H253" s="20">
        <f>'Work Progress (%)'!AD262</f>
        <v>0</v>
      </c>
      <c r="I253" s="20">
        <f>'Work Progress (%)'!AI262</f>
        <v>0</v>
      </c>
      <c r="J253" s="20">
        <f>'Work Progress (%)'!AQ262</f>
        <v>0</v>
      </c>
      <c r="K253" s="20">
        <f>'Work Progress (%)'!AV262</f>
        <v>0</v>
      </c>
      <c r="L253" s="20">
        <f>'Work Progress (%)'!BD262</f>
        <v>0</v>
      </c>
      <c r="M253" s="20">
        <v>1</v>
      </c>
      <c r="N253" s="20">
        <v>1</v>
      </c>
      <c r="O253" s="20">
        <v>0.2</v>
      </c>
      <c r="P253" s="20">
        <v>0.7</v>
      </c>
      <c r="Q253" s="21">
        <f t="shared" si="26"/>
        <v>0.125</v>
      </c>
    </row>
    <row r="254" spans="2:17" ht="74.25" customHeight="1" x14ac:dyDescent="0.45">
      <c r="B254" s="22" t="s">
        <v>144</v>
      </c>
      <c r="C254" s="22" t="s">
        <v>33</v>
      </c>
      <c r="D254" s="151">
        <v>410</v>
      </c>
      <c r="E254" s="20">
        <v>0.8</v>
      </c>
      <c r="F254" s="20">
        <f>'Work Progress (%)'!L263</f>
        <v>0</v>
      </c>
      <c r="G254" s="20">
        <f>'Work Progress (%)'!Y263</f>
        <v>0</v>
      </c>
      <c r="H254" s="20">
        <f>'Work Progress (%)'!AD263</f>
        <v>0</v>
      </c>
      <c r="I254" s="20">
        <f>'Work Progress (%)'!AI263</f>
        <v>0</v>
      </c>
      <c r="J254" s="20">
        <f>'Work Progress (%)'!AQ263</f>
        <v>0</v>
      </c>
      <c r="K254" s="20">
        <f>'Work Progress (%)'!AV263</f>
        <v>0</v>
      </c>
      <c r="L254" s="20">
        <f>'Work Progress (%)'!BD263</f>
        <v>0</v>
      </c>
      <c r="M254" s="20">
        <v>1</v>
      </c>
      <c r="N254" s="20">
        <v>1</v>
      </c>
      <c r="O254" s="20">
        <v>0.2</v>
      </c>
      <c r="P254" s="20">
        <v>0.7</v>
      </c>
      <c r="Q254" s="21">
        <f t="shared" si="26"/>
        <v>0.125</v>
      </c>
    </row>
    <row r="255" spans="2:17" ht="74.25" customHeight="1" x14ac:dyDescent="0.45">
      <c r="B255" s="22" t="s">
        <v>144</v>
      </c>
      <c r="C255" s="22" t="s">
        <v>33</v>
      </c>
      <c r="D255" s="151">
        <v>411</v>
      </c>
      <c r="E255" s="20">
        <v>0.8</v>
      </c>
      <c r="F255" s="20">
        <f>'Work Progress (%)'!L264</f>
        <v>0</v>
      </c>
      <c r="G255" s="20">
        <f>'Work Progress (%)'!Y264</f>
        <v>0</v>
      </c>
      <c r="H255" s="20">
        <f>'Work Progress (%)'!AD264</f>
        <v>0</v>
      </c>
      <c r="I255" s="20">
        <f>'Work Progress (%)'!AI264</f>
        <v>0</v>
      </c>
      <c r="J255" s="20">
        <f>'Work Progress (%)'!AQ264</f>
        <v>0</v>
      </c>
      <c r="K255" s="20">
        <f>'Work Progress (%)'!AV264</f>
        <v>0</v>
      </c>
      <c r="L255" s="20">
        <f>'Work Progress (%)'!BD264</f>
        <v>0</v>
      </c>
      <c r="M255" s="20">
        <v>1</v>
      </c>
      <c r="N255" s="20">
        <v>1</v>
      </c>
      <c r="O255" s="20">
        <v>0.2</v>
      </c>
      <c r="P255" s="20">
        <v>0.7</v>
      </c>
      <c r="Q255" s="21">
        <f t="shared" si="26"/>
        <v>0.125</v>
      </c>
    </row>
    <row r="256" spans="2:17" ht="74.25" customHeight="1" x14ac:dyDescent="0.45">
      <c r="B256" s="22" t="s">
        <v>144</v>
      </c>
      <c r="C256" s="22" t="s">
        <v>33</v>
      </c>
      <c r="D256" s="151">
        <v>412</v>
      </c>
      <c r="E256" s="20">
        <v>0.8</v>
      </c>
      <c r="F256" s="20">
        <f>'Work Progress (%)'!L265</f>
        <v>0</v>
      </c>
      <c r="G256" s="20">
        <f>'Work Progress (%)'!Y265</f>
        <v>0</v>
      </c>
      <c r="H256" s="20">
        <f>'Work Progress (%)'!AD265</f>
        <v>0</v>
      </c>
      <c r="I256" s="20">
        <f>'Work Progress (%)'!AI265</f>
        <v>0</v>
      </c>
      <c r="J256" s="20">
        <f>'Work Progress (%)'!AQ265</f>
        <v>0</v>
      </c>
      <c r="K256" s="20">
        <f>'Work Progress (%)'!AV265</f>
        <v>0</v>
      </c>
      <c r="L256" s="20">
        <f>'Work Progress (%)'!BD265</f>
        <v>0</v>
      </c>
      <c r="M256" s="20">
        <v>1</v>
      </c>
      <c r="N256" s="20">
        <v>1</v>
      </c>
      <c r="O256" s="20">
        <v>0.2</v>
      </c>
      <c r="P256" s="20">
        <v>0.7</v>
      </c>
      <c r="Q256" s="21">
        <f t="shared" si="26"/>
        <v>0.125</v>
      </c>
    </row>
    <row r="257" spans="2:17" ht="74.25" customHeight="1" x14ac:dyDescent="0.45">
      <c r="B257" s="22" t="s">
        <v>144</v>
      </c>
      <c r="C257" s="22" t="s">
        <v>33</v>
      </c>
      <c r="D257" s="151">
        <v>413</v>
      </c>
      <c r="E257" s="20">
        <v>0.8</v>
      </c>
      <c r="F257" s="20">
        <f>'Work Progress (%)'!L266</f>
        <v>0</v>
      </c>
      <c r="G257" s="20">
        <f>'Work Progress (%)'!Y266</f>
        <v>0</v>
      </c>
      <c r="H257" s="20">
        <f>'Work Progress (%)'!AD266</f>
        <v>0</v>
      </c>
      <c r="I257" s="20">
        <f>'Work Progress (%)'!AI266</f>
        <v>0</v>
      </c>
      <c r="J257" s="20">
        <f>'Work Progress (%)'!AQ266</f>
        <v>0</v>
      </c>
      <c r="K257" s="20">
        <f>'Work Progress (%)'!AV266</f>
        <v>0</v>
      </c>
      <c r="L257" s="20">
        <f>'Work Progress (%)'!BD266</f>
        <v>0</v>
      </c>
      <c r="M257" s="20">
        <v>1</v>
      </c>
      <c r="N257" s="20">
        <v>1</v>
      </c>
      <c r="O257" s="20">
        <v>0.2</v>
      </c>
      <c r="P257" s="20">
        <v>0.7</v>
      </c>
      <c r="Q257" s="21">
        <f t="shared" si="26"/>
        <v>0.125</v>
      </c>
    </row>
    <row r="258" spans="2:17" ht="74.25" customHeight="1" x14ac:dyDescent="0.45">
      <c r="B258" s="22" t="s">
        <v>144</v>
      </c>
      <c r="C258" s="22" t="s">
        <v>33</v>
      </c>
      <c r="D258" s="151">
        <v>414</v>
      </c>
      <c r="E258" s="20">
        <v>0.8</v>
      </c>
      <c r="F258" s="20">
        <f>'Work Progress (%)'!L267</f>
        <v>0</v>
      </c>
      <c r="G258" s="20">
        <f>'Work Progress (%)'!Y267</f>
        <v>0</v>
      </c>
      <c r="H258" s="20">
        <f>'Work Progress (%)'!AD267</f>
        <v>0</v>
      </c>
      <c r="I258" s="20">
        <f>'Work Progress (%)'!AI267</f>
        <v>0</v>
      </c>
      <c r="J258" s="20">
        <f>'Work Progress (%)'!AQ267</f>
        <v>0</v>
      </c>
      <c r="K258" s="20">
        <f>'Work Progress (%)'!AV267</f>
        <v>0</v>
      </c>
      <c r="L258" s="20">
        <f>'Work Progress (%)'!BD267</f>
        <v>0</v>
      </c>
      <c r="M258" s="20">
        <v>1</v>
      </c>
      <c r="N258" s="20">
        <v>1</v>
      </c>
      <c r="O258" s="20">
        <v>0.2</v>
      </c>
      <c r="P258" s="20">
        <v>0.7</v>
      </c>
      <c r="Q258" s="21">
        <f t="shared" si="26"/>
        <v>0.125</v>
      </c>
    </row>
    <row r="259" spans="2:17" ht="74.25" customHeight="1" x14ac:dyDescent="0.45">
      <c r="B259" s="22" t="s">
        <v>144</v>
      </c>
      <c r="C259" s="22" t="s">
        <v>33</v>
      </c>
      <c r="D259" s="151">
        <v>415</v>
      </c>
      <c r="E259" s="20">
        <v>0.8</v>
      </c>
      <c r="F259" s="20">
        <f>'Work Progress (%)'!L268</f>
        <v>0</v>
      </c>
      <c r="G259" s="20">
        <f>'Work Progress (%)'!Y268</f>
        <v>0</v>
      </c>
      <c r="H259" s="20">
        <f>'Work Progress (%)'!AD268</f>
        <v>0</v>
      </c>
      <c r="I259" s="20">
        <f>'Work Progress (%)'!AI268</f>
        <v>0</v>
      </c>
      <c r="J259" s="20">
        <f>'Work Progress (%)'!AQ268</f>
        <v>0</v>
      </c>
      <c r="K259" s="20">
        <f>'Work Progress (%)'!AV268</f>
        <v>0</v>
      </c>
      <c r="L259" s="20">
        <f>'Work Progress (%)'!BD268</f>
        <v>0</v>
      </c>
      <c r="M259" s="20">
        <v>1</v>
      </c>
      <c r="N259" s="20">
        <v>1</v>
      </c>
      <c r="O259" s="20">
        <v>0.2</v>
      </c>
      <c r="P259" s="20">
        <v>0.7</v>
      </c>
      <c r="Q259" s="21">
        <f t="shared" si="26"/>
        <v>0.125</v>
      </c>
    </row>
    <row r="260" spans="2:17" ht="74.25" customHeight="1" x14ac:dyDescent="0.45">
      <c r="B260" s="22" t="s">
        <v>144</v>
      </c>
      <c r="C260" s="22" t="s">
        <v>33</v>
      </c>
      <c r="D260" s="151">
        <v>416</v>
      </c>
      <c r="E260" s="20">
        <v>0.8</v>
      </c>
      <c r="F260" s="20">
        <f>'Work Progress (%)'!L269</f>
        <v>0</v>
      </c>
      <c r="G260" s="20">
        <f>'Work Progress (%)'!Y269</f>
        <v>0</v>
      </c>
      <c r="H260" s="20">
        <f>'Work Progress (%)'!AD269</f>
        <v>0</v>
      </c>
      <c r="I260" s="20">
        <f>'Work Progress (%)'!AI269</f>
        <v>0</v>
      </c>
      <c r="J260" s="20">
        <f>'Work Progress (%)'!AQ269</f>
        <v>0</v>
      </c>
      <c r="K260" s="20">
        <f>'Work Progress (%)'!AV269</f>
        <v>0</v>
      </c>
      <c r="L260" s="20">
        <f>'Work Progress (%)'!BD269</f>
        <v>0</v>
      </c>
      <c r="M260" s="20">
        <v>1</v>
      </c>
      <c r="N260" s="20">
        <v>1</v>
      </c>
      <c r="O260" s="20">
        <v>0.2</v>
      </c>
      <c r="P260" s="20">
        <v>0.7</v>
      </c>
      <c r="Q260" s="21">
        <f t="shared" si="26"/>
        <v>0.125</v>
      </c>
    </row>
    <row r="261" spans="2:17" ht="74.25" customHeight="1" x14ac:dyDescent="0.45">
      <c r="B261" s="22" t="s">
        <v>144</v>
      </c>
      <c r="C261" s="22"/>
      <c r="D261" s="154" t="s">
        <v>34</v>
      </c>
      <c r="E261" s="141">
        <f>AVERAGE(E263:E277)</f>
        <v>0.80000000000000016</v>
      </c>
      <c r="F261" s="141">
        <f t="shared" ref="F261:P261" si="27">AVERAGE(F263:F277)</f>
        <v>0</v>
      </c>
      <c r="G261" s="20">
        <f t="shared" si="27"/>
        <v>0</v>
      </c>
      <c r="H261" s="141">
        <f t="shared" si="27"/>
        <v>0</v>
      </c>
      <c r="I261" s="141">
        <f t="shared" si="27"/>
        <v>0</v>
      </c>
      <c r="J261" s="141">
        <f t="shared" si="27"/>
        <v>0</v>
      </c>
      <c r="K261" s="141">
        <f t="shared" si="27"/>
        <v>0</v>
      </c>
      <c r="L261" s="141">
        <f t="shared" si="27"/>
        <v>0</v>
      </c>
      <c r="M261" s="141">
        <f t="shared" si="27"/>
        <v>1</v>
      </c>
      <c r="N261" s="141">
        <f t="shared" si="27"/>
        <v>1</v>
      </c>
      <c r="O261" s="141">
        <f t="shared" si="27"/>
        <v>0.20000000000000004</v>
      </c>
      <c r="P261" s="141">
        <f t="shared" si="27"/>
        <v>0.69999999999999984</v>
      </c>
      <c r="Q261" s="14">
        <f>AVERAGE(Q262:Q277)</f>
        <v>0.125</v>
      </c>
    </row>
    <row r="262" spans="2:17" ht="74.25" customHeight="1" x14ac:dyDescent="0.45">
      <c r="B262" s="22" t="s">
        <v>144</v>
      </c>
      <c r="C262" s="22" t="s">
        <v>35</v>
      </c>
      <c r="D262" s="151">
        <v>501</v>
      </c>
      <c r="E262" s="20">
        <v>0.8</v>
      </c>
      <c r="F262" s="20">
        <f>'Work Progress (%)'!L271</f>
        <v>0</v>
      </c>
      <c r="G262" s="20">
        <f>'Work Progress (%)'!Y271</f>
        <v>0</v>
      </c>
      <c r="H262" s="20">
        <f>'Work Progress (%)'!AD271</f>
        <v>0</v>
      </c>
      <c r="I262" s="20">
        <f>'Work Progress (%)'!AI271</f>
        <v>0</v>
      </c>
      <c r="J262" s="20">
        <f>'Work Progress (%)'!AQ271</f>
        <v>0</v>
      </c>
      <c r="K262" s="20">
        <f>'Work Progress (%)'!AV271</f>
        <v>0</v>
      </c>
      <c r="L262" s="20">
        <f>'Work Progress (%)'!BD271</f>
        <v>0</v>
      </c>
      <c r="M262" s="20">
        <v>1</v>
      </c>
      <c r="N262" s="20">
        <v>1</v>
      </c>
      <c r="O262" s="20">
        <v>0.2</v>
      </c>
      <c r="P262" s="20">
        <v>0.7</v>
      </c>
      <c r="Q262" s="21">
        <f t="shared" ref="Q262:Q277" si="28">SUMPRODUCT(E262:P262, E$2:P$2)</f>
        <v>0.125</v>
      </c>
    </row>
    <row r="263" spans="2:17" ht="74.25" customHeight="1" x14ac:dyDescent="0.45">
      <c r="B263" s="22" t="s">
        <v>144</v>
      </c>
      <c r="C263" s="22" t="s">
        <v>35</v>
      </c>
      <c r="D263" s="151">
        <v>502</v>
      </c>
      <c r="E263" s="20">
        <v>0.8</v>
      </c>
      <c r="F263" s="20">
        <f>'Work Progress (%)'!L272</f>
        <v>0</v>
      </c>
      <c r="G263" s="20">
        <f>'Work Progress (%)'!Y272</f>
        <v>0</v>
      </c>
      <c r="H263" s="20">
        <f>'Work Progress (%)'!AD272</f>
        <v>0</v>
      </c>
      <c r="I263" s="20">
        <f>'Work Progress (%)'!AI272</f>
        <v>0</v>
      </c>
      <c r="J263" s="20">
        <f>'Work Progress (%)'!AQ272</f>
        <v>0</v>
      </c>
      <c r="K263" s="20">
        <f>'Work Progress (%)'!AV272</f>
        <v>0</v>
      </c>
      <c r="L263" s="20">
        <f>'Work Progress (%)'!BD272</f>
        <v>0</v>
      </c>
      <c r="M263" s="20">
        <v>1</v>
      </c>
      <c r="N263" s="20">
        <v>1</v>
      </c>
      <c r="O263" s="20">
        <v>0.2</v>
      </c>
      <c r="P263" s="20">
        <v>0.7</v>
      </c>
      <c r="Q263" s="21">
        <f t="shared" si="28"/>
        <v>0.125</v>
      </c>
    </row>
    <row r="264" spans="2:17" ht="74.25" customHeight="1" x14ac:dyDescent="0.45">
      <c r="B264" s="22" t="s">
        <v>144</v>
      </c>
      <c r="C264" s="22" t="s">
        <v>35</v>
      </c>
      <c r="D264" s="151">
        <v>503</v>
      </c>
      <c r="E264" s="20">
        <v>0.8</v>
      </c>
      <c r="F264" s="20">
        <f>'Work Progress (%)'!L273</f>
        <v>0</v>
      </c>
      <c r="G264" s="20">
        <f>'Work Progress (%)'!Y273</f>
        <v>0</v>
      </c>
      <c r="H264" s="20">
        <f>'Work Progress (%)'!AD273</f>
        <v>0</v>
      </c>
      <c r="I264" s="20">
        <f>'Work Progress (%)'!AI273</f>
        <v>0</v>
      </c>
      <c r="J264" s="20">
        <f>'Work Progress (%)'!AQ273</f>
        <v>0</v>
      </c>
      <c r="K264" s="20">
        <f>'Work Progress (%)'!AV273</f>
        <v>0</v>
      </c>
      <c r="L264" s="20">
        <f>'Work Progress (%)'!BD273</f>
        <v>0</v>
      </c>
      <c r="M264" s="20">
        <v>1</v>
      </c>
      <c r="N264" s="20">
        <v>1</v>
      </c>
      <c r="O264" s="20">
        <v>0.2</v>
      </c>
      <c r="P264" s="20">
        <v>0.7</v>
      </c>
      <c r="Q264" s="21">
        <f t="shared" si="28"/>
        <v>0.125</v>
      </c>
    </row>
    <row r="265" spans="2:17" ht="74.25" customHeight="1" x14ac:dyDescent="0.45">
      <c r="B265" s="22" t="s">
        <v>144</v>
      </c>
      <c r="C265" s="22" t="s">
        <v>35</v>
      </c>
      <c r="D265" s="151">
        <v>504</v>
      </c>
      <c r="E265" s="20">
        <v>0.8</v>
      </c>
      <c r="F265" s="20">
        <f>'Work Progress (%)'!L274</f>
        <v>0</v>
      </c>
      <c r="G265" s="20">
        <f>'Work Progress (%)'!Y274</f>
        <v>0</v>
      </c>
      <c r="H265" s="20">
        <f>'Work Progress (%)'!AD274</f>
        <v>0</v>
      </c>
      <c r="I265" s="20">
        <f>'Work Progress (%)'!AI274</f>
        <v>0</v>
      </c>
      <c r="J265" s="20">
        <f>'Work Progress (%)'!AQ274</f>
        <v>0</v>
      </c>
      <c r="K265" s="20">
        <f>'Work Progress (%)'!AV274</f>
        <v>0</v>
      </c>
      <c r="L265" s="20">
        <f>'Work Progress (%)'!BD274</f>
        <v>0</v>
      </c>
      <c r="M265" s="20">
        <v>1</v>
      </c>
      <c r="N265" s="20">
        <v>1</v>
      </c>
      <c r="O265" s="20">
        <v>0.2</v>
      </c>
      <c r="P265" s="20">
        <v>0.7</v>
      </c>
      <c r="Q265" s="21">
        <f t="shared" si="28"/>
        <v>0.125</v>
      </c>
    </row>
    <row r="266" spans="2:17" ht="74.25" customHeight="1" x14ac:dyDescent="0.45">
      <c r="B266" s="22" t="s">
        <v>144</v>
      </c>
      <c r="C266" s="22" t="s">
        <v>35</v>
      </c>
      <c r="D266" s="151">
        <v>505</v>
      </c>
      <c r="E266" s="20">
        <v>0.8</v>
      </c>
      <c r="F266" s="20">
        <f>'Work Progress (%)'!L275</f>
        <v>0</v>
      </c>
      <c r="G266" s="20">
        <f>'Work Progress (%)'!Y275</f>
        <v>0</v>
      </c>
      <c r="H266" s="20">
        <f>'Work Progress (%)'!AD275</f>
        <v>0</v>
      </c>
      <c r="I266" s="20">
        <f>'Work Progress (%)'!AI275</f>
        <v>0</v>
      </c>
      <c r="J266" s="20">
        <f>'Work Progress (%)'!AQ275</f>
        <v>0</v>
      </c>
      <c r="K266" s="20">
        <f>'Work Progress (%)'!AV275</f>
        <v>0</v>
      </c>
      <c r="L266" s="20">
        <f>'Work Progress (%)'!BD275</f>
        <v>0</v>
      </c>
      <c r="M266" s="20">
        <v>1</v>
      </c>
      <c r="N266" s="20">
        <v>1</v>
      </c>
      <c r="O266" s="20">
        <v>0.2</v>
      </c>
      <c r="P266" s="20">
        <v>0.7</v>
      </c>
      <c r="Q266" s="21">
        <f t="shared" si="28"/>
        <v>0.125</v>
      </c>
    </row>
    <row r="267" spans="2:17" ht="74.25" customHeight="1" x14ac:dyDescent="0.45">
      <c r="B267" s="22" t="s">
        <v>144</v>
      </c>
      <c r="C267" s="22" t="s">
        <v>35</v>
      </c>
      <c r="D267" s="151">
        <v>506</v>
      </c>
      <c r="E267" s="20">
        <v>0.8</v>
      </c>
      <c r="F267" s="20">
        <f>'Work Progress (%)'!L276</f>
        <v>0</v>
      </c>
      <c r="G267" s="20">
        <f>'Work Progress (%)'!Y276</f>
        <v>0</v>
      </c>
      <c r="H267" s="20">
        <f>'Work Progress (%)'!AD276</f>
        <v>0</v>
      </c>
      <c r="I267" s="20">
        <f>'Work Progress (%)'!AI276</f>
        <v>0</v>
      </c>
      <c r="J267" s="20">
        <f>'Work Progress (%)'!AQ276</f>
        <v>0</v>
      </c>
      <c r="K267" s="20">
        <f>'Work Progress (%)'!AV276</f>
        <v>0</v>
      </c>
      <c r="L267" s="20">
        <f>'Work Progress (%)'!BD276</f>
        <v>0</v>
      </c>
      <c r="M267" s="20">
        <v>1</v>
      </c>
      <c r="N267" s="20">
        <v>1</v>
      </c>
      <c r="O267" s="20">
        <v>0.2</v>
      </c>
      <c r="P267" s="20">
        <v>0.7</v>
      </c>
      <c r="Q267" s="21">
        <f t="shared" si="28"/>
        <v>0.125</v>
      </c>
    </row>
    <row r="268" spans="2:17" ht="74.25" customHeight="1" x14ac:dyDescent="0.45">
      <c r="B268" s="22" t="s">
        <v>144</v>
      </c>
      <c r="C268" s="22" t="s">
        <v>35</v>
      </c>
      <c r="D268" s="151">
        <v>507</v>
      </c>
      <c r="E268" s="20">
        <v>0.8</v>
      </c>
      <c r="F268" s="20">
        <f>'Work Progress (%)'!L277</f>
        <v>0</v>
      </c>
      <c r="G268" s="20">
        <f>'Work Progress (%)'!Y277</f>
        <v>0</v>
      </c>
      <c r="H268" s="20">
        <f>'Work Progress (%)'!AD277</f>
        <v>0</v>
      </c>
      <c r="I268" s="20">
        <f>'Work Progress (%)'!AI277</f>
        <v>0</v>
      </c>
      <c r="J268" s="20">
        <f>'Work Progress (%)'!AQ277</f>
        <v>0</v>
      </c>
      <c r="K268" s="20">
        <f>'Work Progress (%)'!AV277</f>
        <v>0</v>
      </c>
      <c r="L268" s="20">
        <f>'Work Progress (%)'!BD277</f>
        <v>0</v>
      </c>
      <c r="M268" s="20">
        <v>1</v>
      </c>
      <c r="N268" s="20">
        <v>1</v>
      </c>
      <c r="O268" s="20">
        <v>0.2</v>
      </c>
      <c r="P268" s="20">
        <v>0.7</v>
      </c>
      <c r="Q268" s="21">
        <f t="shared" si="28"/>
        <v>0.125</v>
      </c>
    </row>
    <row r="269" spans="2:17" ht="74.25" customHeight="1" x14ac:dyDescent="0.45">
      <c r="B269" s="22" t="s">
        <v>144</v>
      </c>
      <c r="C269" s="22" t="s">
        <v>35</v>
      </c>
      <c r="D269" s="151">
        <v>508</v>
      </c>
      <c r="E269" s="20">
        <v>0.8</v>
      </c>
      <c r="F269" s="20">
        <f>'Work Progress (%)'!L278</f>
        <v>0</v>
      </c>
      <c r="G269" s="20">
        <f>'Work Progress (%)'!Y278</f>
        <v>0</v>
      </c>
      <c r="H269" s="20">
        <f>'Work Progress (%)'!AD278</f>
        <v>0</v>
      </c>
      <c r="I269" s="20">
        <f>'Work Progress (%)'!AI278</f>
        <v>0</v>
      </c>
      <c r="J269" s="20">
        <f>'Work Progress (%)'!AQ278</f>
        <v>0</v>
      </c>
      <c r="K269" s="20">
        <f>'Work Progress (%)'!AV278</f>
        <v>0</v>
      </c>
      <c r="L269" s="20">
        <f>'Work Progress (%)'!BD278</f>
        <v>0</v>
      </c>
      <c r="M269" s="20">
        <v>1</v>
      </c>
      <c r="N269" s="20">
        <v>1</v>
      </c>
      <c r="O269" s="20">
        <v>0.2</v>
      </c>
      <c r="P269" s="20">
        <v>0.7</v>
      </c>
      <c r="Q269" s="21">
        <f t="shared" si="28"/>
        <v>0.125</v>
      </c>
    </row>
    <row r="270" spans="2:17" ht="74.25" customHeight="1" x14ac:dyDescent="0.45">
      <c r="B270" s="22" t="s">
        <v>144</v>
      </c>
      <c r="C270" s="22" t="s">
        <v>35</v>
      </c>
      <c r="D270" s="151">
        <v>509</v>
      </c>
      <c r="E270" s="20">
        <v>0.8</v>
      </c>
      <c r="F270" s="20">
        <f>'Work Progress (%)'!L279</f>
        <v>0</v>
      </c>
      <c r="G270" s="20">
        <f>'Work Progress (%)'!Y279</f>
        <v>0</v>
      </c>
      <c r="H270" s="20">
        <f>'Work Progress (%)'!AD279</f>
        <v>0</v>
      </c>
      <c r="I270" s="20">
        <f>'Work Progress (%)'!AI279</f>
        <v>0</v>
      </c>
      <c r="J270" s="20">
        <f>'Work Progress (%)'!AQ279</f>
        <v>0</v>
      </c>
      <c r="K270" s="20">
        <f>'Work Progress (%)'!AV279</f>
        <v>0</v>
      </c>
      <c r="L270" s="20">
        <f>'Work Progress (%)'!BD279</f>
        <v>0</v>
      </c>
      <c r="M270" s="20">
        <v>1</v>
      </c>
      <c r="N270" s="20">
        <v>1</v>
      </c>
      <c r="O270" s="20">
        <v>0.2</v>
      </c>
      <c r="P270" s="20">
        <v>0.7</v>
      </c>
      <c r="Q270" s="21">
        <f t="shared" si="28"/>
        <v>0.125</v>
      </c>
    </row>
    <row r="271" spans="2:17" ht="74.25" customHeight="1" x14ac:dyDescent="0.45">
      <c r="B271" s="22" t="s">
        <v>144</v>
      </c>
      <c r="C271" s="22" t="s">
        <v>35</v>
      </c>
      <c r="D271" s="151">
        <v>510</v>
      </c>
      <c r="E271" s="20">
        <v>0.8</v>
      </c>
      <c r="F271" s="20">
        <f>'Work Progress (%)'!L280</f>
        <v>0</v>
      </c>
      <c r="G271" s="20">
        <f>'Work Progress (%)'!Y280</f>
        <v>0</v>
      </c>
      <c r="H271" s="20">
        <f>'Work Progress (%)'!AD280</f>
        <v>0</v>
      </c>
      <c r="I271" s="20">
        <f>'Work Progress (%)'!AI280</f>
        <v>0</v>
      </c>
      <c r="J271" s="20">
        <f>'Work Progress (%)'!AQ280</f>
        <v>0</v>
      </c>
      <c r="K271" s="20">
        <f>'Work Progress (%)'!AV280</f>
        <v>0</v>
      </c>
      <c r="L271" s="20">
        <f>'Work Progress (%)'!BD280</f>
        <v>0</v>
      </c>
      <c r="M271" s="20">
        <v>1</v>
      </c>
      <c r="N271" s="20">
        <v>1</v>
      </c>
      <c r="O271" s="20">
        <v>0.2</v>
      </c>
      <c r="P271" s="20">
        <v>0.7</v>
      </c>
      <c r="Q271" s="21">
        <f t="shared" si="28"/>
        <v>0.125</v>
      </c>
    </row>
    <row r="272" spans="2:17" ht="74.25" customHeight="1" x14ac:dyDescent="0.45">
      <c r="B272" s="22" t="s">
        <v>144</v>
      </c>
      <c r="C272" s="22" t="s">
        <v>35</v>
      </c>
      <c r="D272" s="151">
        <v>511</v>
      </c>
      <c r="E272" s="20">
        <v>0.8</v>
      </c>
      <c r="F272" s="20">
        <f>'Work Progress (%)'!L281</f>
        <v>0</v>
      </c>
      <c r="G272" s="20">
        <f>'Work Progress (%)'!Y281</f>
        <v>0</v>
      </c>
      <c r="H272" s="20">
        <f>'Work Progress (%)'!AD281</f>
        <v>0</v>
      </c>
      <c r="I272" s="20">
        <f>'Work Progress (%)'!AI281</f>
        <v>0</v>
      </c>
      <c r="J272" s="20">
        <f>'Work Progress (%)'!AQ281</f>
        <v>0</v>
      </c>
      <c r="K272" s="20">
        <f>'Work Progress (%)'!AV281</f>
        <v>0</v>
      </c>
      <c r="L272" s="20">
        <f>'Work Progress (%)'!BD281</f>
        <v>0</v>
      </c>
      <c r="M272" s="20">
        <v>1</v>
      </c>
      <c r="N272" s="20">
        <v>1</v>
      </c>
      <c r="O272" s="20">
        <v>0.2</v>
      </c>
      <c r="P272" s="20">
        <v>0.7</v>
      </c>
      <c r="Q272" s="21">
        <f t="shared" si="28"/>
        <v>0.125</v>
      </c>
    </row>
    <row r="273" spans="2:17" ht="74.25" customHeight="1" x14ac:dyDescent="0.45">
      <c r="B273" s="22" t="s">
        <v>144</v>
      </c>
      <c r="C273" s="22" t="s">
        <v>35</v>
      </c>
      <c r="D273" s="151">
        <v>512</v>
      </c>
      <c r="E273" s="20">
        <v>0.8</v>
      </c>
      <c r="F273" s="20">
        <f>'Work Progress (%)'!L282</f>
        <v>0</v>
      </c>
      <c r="G273" s="20">
        <f>'Work Progress (%)'!Y282</f>
        <v>0</v>
      </c>
      <c r="H273" s="20">
        <f>'Work Progress (%)'!AD282</f>
        <v>0</v>
      </c>
      <c r="I273" s="20">
        <f>'Work Progress (%)'!AI282</f>
        <v>0</v>
      </c>
      <c r="J273" s="20">
        <f>'Work Progress (%)'!AQ282</f>
        <v>0</v>
      </c>
      <c r="K273" s="20">
        <f>'Work Progress (%)'!AV282</f>
        <v>0</v>
      </c>
      <c r="L273" s="20">
        <f>'Work Progress (%)'!BD282</f>
        <v>0</v>
      </c>
      <c r="M273" s="20">
        <v>1</v>
      </c>
      <c r="N273" s="20">
        <v>1</v>
      </c>
      <c r="O273" s="20">
        <v>0.2</v>
      </c>
      <c r="P273" s="20">
        <v>0.7</v>
      </c>
      <c r="Q273" s="21">
        <f t="shared" si="28"/>
        <v>0.125</v>
      </c>
    </row>
    <row r="274" spans="2:17" ht="74.25" customHeight="1" x14ac:dyDescent="0.45">
      <c r="B274" s="22" t="s">
        <v>144</v>
      </c>
      <c r="C274" s="22" t="s">
        <v>35</v>
      </c>
      <c r="D274" s="151">
        <v>513</v>
      </c>
      <c r="E274" s="20">
        <v>0.8</v>
      </c>
      <c r="F274" s="20">
        <f>'Work Progress (%)'!L283</f>
        <v>0</v>
      </c>
      <c r="G274" s="20">
        <f>'Work Progress (%)'!Y283</f>
        <v>0</v>
      </c>
      <c r="H274" s="20">
        <f>'Work Progress (%)'!AD283</f>
        <v>0</v>
      </c>
      <c r="I274" s="20">
        <f>'Work Progress (%)'!AI283</f>
        <v>0</v>
      </c>
      <c r="J274" s="20">
        <f>'Work Progress (%)'!AQ283</f>
        <v>0</v>
      </c>
      <c r="K274" s="20">
        <f>'Work Progress (%)'!AV283</f>
        <v>0</v>
      </c>
      <c r="L274" s="20">
        <f>'Work Progress (%)'!BD283</f>
        <v>0</v>
      </c>
      <c r="M274" s="20">
        <v>1</v>
      </c>
      <c r="N274" s="20">
        <v>1</v>
      </c>
      <c r="O274" s="20">
        <v>0.2</v>
      </c>
      <c r="P274" s="20">
        <v>0.7</v>
      </c>
      <c r="Q274" s="21">
        <f t="shared" si="28"/>
        <v>0.125</v>
      </c>
    </row>
    <row r="275" spans="2:17" ht="74.25" customHeight="1" x14ac:dyDescent="0.45">
      <c r="B275" s="22" t="s">
        <v>144</v>
      </c>
      <c r="C275" s="22" t="s">
        <v>35</v>
      </c>
      <c r="D275" s="151">
        <v>514</v>
      </c>
      <c r="E275" s="20">
        <v>0.8</v>
      </c>
      <c r="F275" s="20">
        <f>'Work Progress (%)'!L284</f>
        <v>0</v>
      </c>
      <c r="G275" s="20">
        <f>'Work Progress (%)'!Y284</f>
        <v>0</v>
      </c>
      <c r="H275" s="20">
        <f>'Work Progress (%)'!AD284</f>
        <v>0</v>
      </c>
      <c r="I275" s="20">
        <f>'Work Progress (%)'!AI284</f>
        <v>0</v>
      </c>
      <c r="J275" s="20">
        <f>'Work Progress (%)'!AQ284</f>
        <v>0</v>
      </c>
      <c r="K275" s="20">
        <f>'Work Progress (%)'!AV284</f>
        <v>0</v>
      </c>
      <c r="L275" s="20">
        <f>'Work Progress (%)'!BD284</f>
        <v>0</v>
      </c>
      <c r="M275" s="20">
        <v>1</v>
      </c>
      <c r="N275" s="20">
        <v>1</v>
      </c>
      <c r="O275" s="20">
        <v>0.2</v>
      </c>
      <c r="P275" s="20">
        <v>0.7</v>
      </c>
      <c r="Q275" s="21">
        <f t="shared" si="28"/>
        <v>0.125</v>
      </c>
    </row>
    <row r="276" spans="2:17" ht="74.25" customHeight="1" x14ac:dyDescent="0.45">
      <c r="B276" s="22" t="s">
        <v>144</v>
      </c>
      <c r="C276" s="22" t="s">
        <v>35</v>
      </c>
      <c r="D276" s="151">
        <v>515</v>
      </c>
      <c r="E276" s="20">
        <v>0.8</v>
      </c>
      <c r="F276" s="20">
        <f>'Work Progress (%)'!L285</f>
        <v>0</v>
      </c>
      <c r="G276" s="20">
        <f>'Work Progress (%)'!Y285</f>
        <v>0</v>
      </c>
      <c r="H276" s="20">
        <f>'Work Progress (%)'!AD285</f>
        <v>0</v>
      </c>
      <c r="I276" s="20">
        <f>'Work Progress (%)'!AI285</f>
        <v>0</v>
      </c>
      <c r="J276" s="20">
        <f>'Work Progress (%)'!AQ285</f>
        <v>0</v>
      </c>
      <c r="K276" s="20">
        <f>'Work Progress (%)'!AV285</f>
        <v>0</v>
      </c>
      <c r="L276" s="20">
        <f>'Work Progress (%)'!BD285</f>
        <v>0</v>
      </c>
      <c r="M276" s="20">
        <v>1</v>
      </c>
      <c r="N276" s="20">
        <v>1</v>
      </c>
      <c r="O276" s="20">
        <v>0.2</v>
      </c>
      <c r="P276" s="20">
        <v>0.7</v>
      </c>
      <c r="Q276" s="21">
        <f t="shared" si="28"/>
        <v>0.125</v>
      </c>
    </row>
    <row r="277" spans="2:17" ht="74.25" customHeight="1" x14ac:dyDescent="0.45">
      <c r="B277" s="22" t="s">
        <v>144</v>
      </c>
      <c r="C277" s="22" t="s">
        <v>35</v>
      </c>
      <c r="D277" s="151">
        <v>516</v>
      </c>
      <c r="E277" s="20">
        <v>0.8</v>
      </c>
      <c r="F277" s="20">
        <f>'Work Progress (%)'!L286</f>
        <v>0</v>
      </c>
      <c r="G277" s="20">
        <f>'Work Progress (%)'!Y286</f>
        <v>0</v>
      </c>
      <c r="H277" s="20">
        <f>'Work Progress (%)'!AD286</f>
        <v>0</v>
      </c>
      <c r="I277" s="20">
        <f>'Work Progress (%)'!AI286</f>
        <v>0</v>
      </c>
      <c r="J277" s="20">
        <f>'Work Progress (%)'!AQ286</f>
        <v>0</v>
      </c>
      <c r="K277" s="20">
        <f>'Work Progress (%)'!AV286</f>
        <v>0</v>
      </c>
      <c r="L277" s="20">
        <f>'Work Progress (%)'!BD286</f>
        <v>0</v>
      </c>
      <c r="M277" s="20">
        <v>1</v>
      </c>
      <c r="N277" s="20">
        <v>1</v>
      </c>
      <c r="O277" s="20">
        <v>0.2</v>
      </c>
      <c r="P277" s="20">
        <v>0.7</v>
      </c>
      <c r="Q277" s="21">
        <f t="shared" si="28"/>
        <v>0.125</v>
      </c>
    </row>
    <row r="278" spans="2:17" ht="74.25" customHeight="1" x14ac:dyDescent="0.45">
      <c r="B278" s="22" t="s">
        <v>144</v>
      </c>
      <c r="C278" s="22"/>
      <c r="D278" s="154" t="s">
        <v>36</v>
      </c>
      <c r="E278" s="141">
        <f>AVERAGE(E280:E294)</f>
        <v>0.80000000000000016</v>
      </c>
      <c r="F278" s="141">
        <f t="shared" ref="F278:P278" si="29">AVERAGE(F280:F294)</f>
        <v>0</v>
      </c>
      <c r="G278" s="20">
        <f t="shared" si="29"/>
        <v>0</v>
      </c>
      <c r="H278" s="141">
        <f t="shared" si="29"/>
        <v>0</v>
      </c>
      <c r="I278" s="141">
        <f t="shared" si="29"/>
        <v>0</v>
      </c>
      <c r="J278" s="141">
        <f t="shared" si="29"/>
        <v>0</v>
      </c>
      <c r="K278" s="141">
        <f t="shared" si="29"/>
        <v>0</v>
      </c>
      <c r="L278" s="141">
        <f t="shared" si="29"/>
        <v>0</v>
      </c>
      <c r="M278" s="141">
        <f t="shared" si="29"/>
        <v>1</v>
      </c>
      <c r="N278" s="141">
        <f t="shared" si="29"/>
        <v>1</v>
      </c>
      <c r="O278" s="141">
        <f t="shared" si="29"/>
        <v>0.20000000000000004</v>
      </c>
      <c r="P278" s="141">
        <f t="shared" si="29"/>
        <v>0.69999999999999984</v>
      </c>
      <c r="Q278" s="14">
        <f>AVERAGE(Q279:Q294)</f>
        <v>0.125</v>
      </c>
    </row>
    <row r="279" spans="2:17" ht="74.25" customHeight="1" x14ac:dyDescent="0.45">
      <c r="B279" s="22" t="s">
        <v>144</v>
      </c>
      <c r="C279" s="22" t="s">
        <v>37</v>
      </c>
      <c r="D279" s="151">
        <v>601</v>
      </c>
      <c r="E279" s="20">
        <v>0.8</v>
      </c>
      <c r="F279" s="20">
        <f>'Work Progress (%)'!L288</f>
        <v>0</v>
      </c>
      <c r="G279" s="20">
        <f>'Work Progress (%)'!Y288</f>
        <v>0</v>
      </c>
      <c r="H279" s="20">
        <f>'Work Progress (%)'!AD288</f>
        <v>0</v>
      </c>
      <c r="I279" s="20">
        <f>'Work Progress (%)'!AI288</f>
        <v>0</v>
      </c>
      <c r="J279" s="20">
        <f>'Work Progress (%)'!AQ288</f>
        <v>0</v>
      </c>
      <c r="K279" s="20">
        <f>'Work Progress (%)'!AV288</f>
        <v>0</v>
      </c>
      <c r="L279" s="20">
        <f>'Work Progress (%)'!BD288</f>
        <v>0</v>
      </c>
      <c r="M279" s="20">
        <v>1</v>
      </c>
      <c r="N279" s="20">
        <v>1</v>
      </c>
      <c r="O279" s="20">
        <v>0.2</v>
      </c>
      <c r="P279" s="20">
        <v>0.7</v>
      </c>
      <c r="Q279" s="21">
        <f t="shared" ref="Q279:Q294" si="30">SUMPRODUCT(E279:P279, E$2:P$2)</f>
        <v>0.125</v>
      </c>
    </row>
    <row r="280" spans="2:17" ht="74.25" customHeight="1" x14ac:dyDescent="0.45">
      <c r="B280" s="22" t="s">
        <v>144</v>
      </c>
      <c r="C280" s="22" t="s">
        <v>37</v>
      </c>
      <c r="D280" s="151">
        <v>602</v>
      </c>
      <c r="E280" s="20">
        <v>0.8</v>
      </c>
      <c r="F280" s="20">
        <f>'Work Progress (%)'!L289</f>
        <v>0</v>
      </c>
      <c r="G280" s="20">
        <f>'Work Progress (%)'!Y289</f>
        <v>0</v>
      </c>
      <c r="H280" s="20">
        <f>'Work Progress (%)'!AD289</f>
        <v>0</v>
      </c>
      <c r="I280" s="20">
        <f>'Work Progress (%)'!AI289</f>
        <v>0</v>
      </c>
      <c r="J280" s="20">
        <f>'Work Progress (%)'!AQ289</f>
        <v>0</v>
      </c>
      <c r="K280" s="20">
        <f>'Work Progress (%)'!AV289</f>
        <v>0</v>
      </c>
      <c r="L280" s="20">
        <f>'Work Progress (%)'!BD289</f>
        <v>0</v>
      </c>
      <c r="M280" s="20">
        <v>1</v>
      </c>
      <c r="N280" s="20">
        <v>1</v>
      </c>
      <c r="O280" s="20">
        <v>0.2</v>
      </c>
      <c r="P280" s="20">
        <v>0.7</v>
      </c>
      <c r="Q280" s="21">
        <f t="shared" si="30"/>
        <v>0.125</v>
      </c>
    </row>
    <row r="281" spans="2:17" ht="74.25" customHeight="1" x14ac:dyDescent="0.45">
      <c r="B281" s="22" t="s">
        <v>144</v>
      </c>
      <c r="C281" s="22" t="s">
        <v>37</v>
      </c>
      <c r="D281" s="151">
        <v>603</v>
      </c>
      <c r="E281" s="20">
        <v>0.8</v>
      </c>
      <c r="F281" s="20">
        <f>'Work Progress (%)'!L290</f>
        <v>0</v>
      </c>
      <c r="G281" s="20">
        <f>'Work Progress (%)'!Y290</f>
        <v>0</v>
      </c>
      <c r="H281" s="20">
        <f>'Work Progress (%)'!AD290</f>
        <v>0</v>
      </c>
      <c r="I281" s="20">
        <f>'Work Progress (%)'!AI290</f>
        <v>0</v>
      </c>
      <c r="J281" s="20">
        <f>'Work Progress (%)'!AQ290</f>
        <v>0</v>
      </c>
      <c r="K281" s="20">
        <f>'Work Progress (%)'!AV290</f>
        <v>0</v>
      </c>
      <c r="L281" s="20">
        <f>'Work Progress (%)'!BD290</f>
        <v>0</v>
      </c>
      <c r="M281" s="20">
        <v>1</v>
      </c>
      <c r="N281" s="20">
        <v>1</v>
      </c>
      <c r="O281" s="20">
        <v>0.2</v>
      </c>
      <c r="P281" s="20">
        <v>0.7</v>
      </c>
      <c r="Q281" s="21">
        <f t="shared" si="30"/>
        <v>0.125</v>
      </c>
    </row>
    <row r="282" spans="2:17" ht="74.25" customHeight="1" x14ac:dyDescent="0.45">
      <c r="B282" s="22" t="s">
        <v>144</v>
      </c>
      <c r="C282" s="22" t="s">
        <v>37</v>
      </c>
      <c r="D282" s="151">
        <v>604</v>
      </c>
      <c r="E282" s="20">
        <v>0.8</v>
      </c>
      <c r="F282" s="20">
        <f>'Work Progress (%)'!L291</f>
        <v>0</v>
      </c>
      <c r="G282" s="20">
        <f>'Work Progress (%)'!Y291</f>
        <v>0</v>
      </c>
      <c r="H282" s="20">
        <f>'Work Progress (%)'!AD291</f>
        <v>0</v>
      </c>
      <c r="I282" s="20">
        <f>'Work Progress (%)'!AI291</f>
        <v>0</v>
      </c>
      <c r="J282" s="20">
        <f>'Work Progress (%)'!AQ291</f>
        <v>0</v>
      </c>
      <c r="K282" s="20">
        <f>'Work Progress (%)'!AV291</f>
        <v>0</v>
      </c>
      <c r="L282" s="20">
        <f>'Work Progress (%)'!BD291</f>
        <v>0</v>
      </c>
      <c r="M282" s="20">
        <v>1</v>
      </c>
      <c r="N282" s="20">
        <v>1</v>
      </c>
      <c r="O282" s="20">
        <v>0.2</v>
      </c>
      <c r="P282" s="20">
        <v>0.7</v>
      </c>
      <c r="Q282" s="21">
        <f t="shared" si="30"/>
        <v>0.125</v>
      </c>
    </row>
    <row r="283" spans="2:17" ht="74.25" customHeight="1" x14ac:dyDescent="0.45">
      <c r="B283" s="22" t="s">
        <v>144</v>
      </c>
      <c r="C283" s="22" t="s">
        <v>37</v>
      </c>
      <c r="D283" s="151">
        <v>605</v>
      </c>
      <c r="E283" s="20">
        <v>0.8</v>
      </c>
      <c r="F283" s="20">
        <f>'Work Progress (%)'!L292</f>
        <v>0</v>
      </c>
      <c r="G283" s="20">
        <f>'Work Progress (%)'!Y292</f>
        <v>0</v>
      </c>
      <c r="H283" s="20">
        <f>'Work Progress (%)'!AD292</f>
        <v>0</v>
      </c>
      <c r="I283" s="20">
        <f>'Work Progress (%)'!AI292</f>
        <v>0</v>
      </c>
      <c r="J283" s="20">
        <f>'Work Progress (%)'!AQ292</f>
        <v>0</v>
      </c>
      <c r="K283" s="20">
        <f>'Work Progress (%)'!AV292</f>
        <v>0</v>
      </c>
      <c r="L283" s="20">
        <f>'Work Progress (%)'!BD292</f>
        <v>0</v>
      </c>
      <c r="M283" s="20">
        <v>1</v>
      </c>
      <c r="N283" s="20">
        <v>1</v>
      </c>
      <c r="O283" s="20">
        <v>0.2</v>
      </c>
      <c r="P283" s="20">
        <v>0.7</v>
      </c>
      <c r="Q283" s="21">
        <f t="shared" si="30"/>
        <v>0.125</v>
      </c>
    </row>
    <row r="284" spans="2:17" ht="74.25" customHeight="1" x14ac:dyDescent="0.45">
      <c r="B284" s="22" t="s">
        <v>144</v>
      </c>
      <c r="C284" s="22" t="s">
        <v>37</v>
      </c>
      <c r="D284" s="151">
        <v>606</v>
      </c>
      <c r="E284" s="20">
        <v>0.8</v>
      </c>
      <c r="F284" s="20">
        <f>'Work Progress (%)'!L293</f>
        <v>0</v>
      </c>
      <c r="G284" s="20">
        <f>'Work Progress (%)'!Y293</f>
        <v>0</v>
      </c>
      <c r="H284" s="20">
        <f>'Work Progress (%)'!AD293</f>
        <v>0</v>
      </c>
      <c r="I284" s="20">
        <f>'Work Progress (%)'!AI293</f>
        <v>0</v>
      </c>
      <c r="J284" s="20">
        <f>'Work Progress (%)'!AQ293</f>
        <v>0</v>
      </c>
      <c r="K284" s="20">
        <f>'Work Progress (%)'!AV293</f>
        <v>0</v>
      </c>
      <c r="L284" s="20">
        <f>'Work Progress (%)'!BD293</f>
        <v>0</v>
      </c>
      <c r="M284" s="20">
        <v>1</v>
      </c>
      <c r="N284" s="20">
        <v>1</v>
      </c>
      <c r="O284" s="20">
        <v>0.2</v>
      </c>
      <c r="P284" s="20">
        <v>0.7</v>
      </c>
      <c r="Q284" s="21">
        <f t="shared" si="30"/>
        <v>0.125</v>
      </c>
    </row>
    <row r="285" spans="2:17" ht="74.25" customHeight="1" x14ac:dyDescent="0.45">
      <c r="B285" s="22" t="s">
        <v>144</v>
      </c>
      <c r="C285" s="22" t="s">
        <v>37</v>
      </c>
      <c r="D285" s="151">
        <v>607</v>
      </c>
      <c r="E285" s="20">
        <v>0.8</v>
      </c>
      <c r="F285" s="20">
        <f>'Work Progress (%)'!L294</f>
        <v>0</v>
      </c>
      <c r="G285" s="20">
        <f>'Work Progress (%)'!Y294</f>
        <v>0</v>
      </c>
      <c r="H285" s="20">
        <f>'Work Progress (%)'!AD294</f>
        <v>0</v>
      </c>
      <c r="I285" s="20">
        <f>'Work Progress (%)'!AI294</f>
        <v>0</v>
      </c>
      <c r="J285" s="20">
        <f>'Work Progress (%)'!AQ294</f>
        <v>0</v>
      </c>
      <c r="K285" s="20">
        <f>'Work Progress (%)'!AV294</f>
        <v>0</v>
      </c>
      <c r="L285" s="20">
        <f>'Work Progress (%)'!BD294</f>
        <v>0</v>
      </c>
      <c r="M285" s="20">
        <v>1</v>
      </c>
      <c r="N285" s="20">
        <v>1</v>
      </c>
      <c r="O285" s="20">
        <v>0.2</v>
      </c>
      <c r="P285" s="20">
        <v>0.7</v>
      </c>
      <c r="Q285" s="21">
        <f t="shared" si="30"/>
        <v>0.125</v>
      </c>
    </row>
    <row r="286" spans="2:17" ht="74.25" customHeight="1" x14ac:dyDescent="0.45">
      <c r="B286" s="22" t="s">
        <v>144</v>
      </c>
      <c r="C286" s="22" t="s">
        <v>37</v>
      </c>
      <c r="D286" s="151">
        <v>608</v>
      </c>
      <c r="E286" s="20">
        <v>0.8</v>
      </c>
      <c r="F286" s="20">
        <f>'Work Progress (%)'!L295</f>
        <v>0</v>
      </c>
      <c r="G286" s="20">
        <f>'Work Progress (%)'!Y295</f>
        <v>0</v>
      </c>
      <c r="H286" s="20">
        <f>'Work Progress (%)'!AD295</f>
        <v>0</v>
      </c>
      <c r="I286" s="20">
        <f>'Work Progress (%)'!AI295</f>
        <v>0</v>
      </c>
      <c r="J286" s="20">
        <f>'Work Progress (%)'!AQ295</f>
        <v>0</v>
      </c>
      <c r="K286" s="20">
        <f>'Work Progress (%)'!AV295</f>
        <v>0</v>
      </c>
      <c r="L286" s="20">
        <f>'Work Progress (%)'!BD295</f>
        <v>0</v>
      </c>
      <c r="M286" s="20">
        <v>1</v>
      </c>
      <c r="N286" s="20">
        <v>1</v>
      </c>
      <c r="O286" s="20">
        <v>0.2</v>
      </c>
      <c r="P286" s="20">
        <v>0.7</v>
      </c>
      <c r="Q286" s="21">
        <f t="shared" si="30"/>
        <v>0.125</v>
      </c>
    </row>
    <row r="287" spans="2:17" ht="74.25" customHeight="1" x14ac:dyDescent="0.45">
      <c r="B287" s="22" t="s">
        <v>144</v>
      </c>
      <c r="C287" s="22" t="s">
        <v>37</v>
      </c>
      <c r="D287" s="151">
        <v>609</v>
      </c>
      <c r="E287" s="20">
        <v>0.8</v>
      </c>
      <c r="F287" s="20">
        <f>'Work Progress (%)'!L296</f>
        <v>0</v>
      </c>
      <c r="G287" s="20">
        <f>'Work Progress (%)'!Y296</f>
        <v>0</v>
      </c>
      <c r="H287" s="20">
        <f>'Work Progress (%)'!AD296</f>
        <v>0</v>
      </c>
      <c r="I287" s="20">
        <f>'Work Progress (%)'!AI296</f>
        <v>0</v>
      </c>
      <c r="J287" s="20">
        <f>'Work Progress (%)'!AQ296</f>
        <v>0</v>
      </c>
      <c r="K287" s="20">
        <f>'Work Progress (%)'!AV296</f>
        <v>0</v>
      </c>
      <c r="L287" s="20">
        <f>'Work Progress (%)'!BD296</f>
        <v>0</v>
      </c>
      <c r="M287" s="20">
        <v>1</v>
      </c>
      <c r="N287" s="20">
        <v>1</v>
      </c>
      <c r="O287" s="20">
        <v>0.2</v>
      </c>
      <c r="P287" s="20">
        <v>0.7</v>
      </c>
      <c r="Q287" s="21">
        <f t="shared" si="30"/>
        <v>0.125</v>
      </c>
    </row>
    <row r="288" spans="2:17" ht="74.25" customHeight="1" x14ac:dyDescent="0.45">
      <c r="B288" s="22" t="s">
        <v>144</v>
      </c>
      <c r="C288" s="22" t="s">
        <v>37</v>
      </c>
      <c r="D288" s="151">
        <v>610</v>
      </c>
      <c r="E288" s="20">
        <v>0.8</v>
      </c>
      <c r="F288" s="20">
        <f>'Work Progress (%)'!L297</f>
        <v>0</v>
      </c>
      <c r="G288" s="20">
        <f>'Work Progress (%)'!Y297</f>
        <v>0</v>
      </c>
      <c r="H288" s="20">
        <f>'Work Progress (%)'!AD297</f>
        <v>0</v>
      </c>
      <c r="I288" s="20">
        <f>'Work Progress (%)'!AI297</f>
        <v>0</v>
      </c>
      <c r="J288" s="20">
        <f>'Work Progress (%)'!AQ297</f>
        <v>0</v>
      </c>
      <c r="K288" s="20">
        <f>'Work Progress (%)'!AV297</f>
        <v>0</v>
      </c>
      <c r="L288" s="20">
        <f>'Work Progress (%)'!BD297</f>
        <v>0</v>
      </c>
      <c r="M288" s="20">
        <v>1</v>
      </c>
      <c r="N288" s="20">
        <v>1</v>
      </c>
      <c r="O288" s="20">
        <v>0.2</v>
      </c>
      <c r="P288" s="20">
        <v>0.7</v>
      </c>
      <c r="Q288" s="21">
        <f t="shared" si="30"/>
        <v>0.125</v>
      </c>
    </row>
    <row r="289" spans="2:17" ht="74.25" customHeight="1" x14ac:dyDescent="0.45">
      <c r="B289" s="22" t="s">
        <v>144</v>
      </c>
      <c r="C289" s="22" t="s">
        <v>37</v>
      </c>
      <c r="D289" s="151">
        <v>611</v>
      </c>
      <c r="E289" s="20">
        <v>0.8</v>
      </c>
      <c r="F289" s="20">
        <f>'Work Progress (%)'!L298</f>
        <v>0</v>
      </c>
      <c r="G289" s="20">
        <f>'Work Progress (%)'!Y298</f>
        <v>0</v>
      </c>
      <c r="H289" s="20">
        <f>'Work Progress (%)'!AD298</f>
        <v>0</v>
      </c>
      <c r="I289" s="20">
        <f>'Work Progress (%)'!AI298</f>
        <v>0</v>
      </c>
      <c r="J289" s="20">
        <f>'Work Progress (%)'!AQ298</f>
        <v>0</v>
      </c>
      <c r="K289" s="20">
        <f>'Work Progress (%)'!AV298</f>
        <v>0</v>
      </c>
      <c r="L289" s="20">
        <f>'Work Progress (%)'!BD298</f>
        <v>0</v>
      </c>
      <c r="M289" s="20">
        <v>1</v>
      </c>
      <c r="N289" s="20">
        <v>1</v>
      </c>
      <c r="O289" s="20">
        <v>0.2</v>
      </c>
      <c r="P289" s="20">
        <v>0.7</v>
      </c>
      <c r="Q289" s="21">
        <f t="shared" si="30"/>
        <v>0.125</v>
      </c>
    </row>
    <row r="290" spans="2:17" ht="74.25" customHeight="1" x14ac:dyDescent="0.45">
      <c r="B290" s="22" t="s">
        <v>144</v>
      </c>
      <c r="C290" s="22" t="s">
        <v>37</v>
      </c>
      <c r="D290" s="151">
        <v>612</v>
      </c>
      <c r="E290" s="20">
        <v>0.8</v>
      </c>
      <c r="F290" s="20">
        <f>'Work Progress (%)'!L299</f>
        <v>0</v>
      </c>
      <c r="G290" s="20">
        <f>'Work Progress (%)'!Y299</f>
        <v>0</v>
      </c>
      <c r="H290" s="20">
        <f>'Work Progress (%)'!AD299</f>
        <v>0</v>
      </c>
      <c r="I290" s="20">
        <f>'Work Progress (%)'!AI299</f>
        <v>0</v>
      </c>
      <c r="J290" s="20">
        <f>'Work Progress (%)'!AQ299</f>
        <v>0</v>
      </c>
      <c r="K290" s="20">
        <f>'Work Progress (%)'!AV299</f>
        <v>0</v>
      </c>
      <c r="L290" s="20">
        <f>'Work Progress (%)'!BD299</f>
        <v>0</v>
      </c>
      <c r="M290" s="20">
        <v>1</v>
      </c>
      <c r="N290" s="20">
        <v>1</v>
      </c>
      <c r="O290" s="20">
        <v>0.2</v>
      </c>
      <c r="P290" s="20">
        <v>0.7</v>
      </c>
      <c r="Q290" s="21">
        <f t="shared" si="30"/>
        <v>0.125</v>
      </c>
    </row>
    <row r="291" spans="2:17" ht="74.25" customHeight="1" x14ac:dyDescent="0.45">
      <c r="B291" s="22" t="s">
        <v>144</v>
      </c>
      <c r="C291" s="22" t="s">
        <v>37</v>
      </c>
      <c r="D291" s="151">
        <v>613</v>
      </c>
      <c r="E291" s="20">
        <v>0.8</v>
      </c>
      <c r="F291" s="20">
        <f>'Work Progress (%)'!L300</f>
        <v>0</v>
      </c>
      <c r="G291" s="20">
        <f>'Work Progress (%)'!Y300</f>
        <v>0</v>
      </c>
      <c r="H291" s="20">
        <f>'Work Progress (%)'!AD300</f>
        <v>0</v>
      </c>
      <c r="I291" s="20">
        <f>'Work Progress (%)'!AI300</f>
        <v>0</v>
      </c>
      <c r="J291" s="20">
        <f>'Work Progress (%)'!AQ300</f>
        <v>0</v>
      </c>
      <c r="K291" s="20">
        <f>'Work Progress (%)'!AV300</f>
        <v>0</v>
      </c>
      <c r="L291" s="20">
        <f>'Work Progress (%)'!BD300</f>
        <v>0</v>
      </c>
      <c r="M291" s="20">
        <v>1</v>
      </c>
      <c r="N291" s="20">
        <v>1</v>
      </c>
      <c r="O291" s="20">
        <v>0.2</v>
      </c>
      <c r="P291" s="20">
        <v>0.7</v>
      </c>
      <c r="Q291" s="21">
        <f t="shared" si="30"/>
        <v>0.125</v>
      </c>
    </row>
    <row r="292" spans="2:17" ht="74.25" customHeight="1" x14ac:dyDescent="0.45">
      <c r="B292" s="22" t="s">
        <v>144</v>
      </c>
      <c r="C292" s="22" t="s">
        <v>37</v>
      </c>
      <c r="D292" s="151">
        <v>614</v>
      </c>
      <c r="E292" s="20">
        <v>0.8</v>
      </c>
      <c r="F292" s="20">
        <f>'Work Progress (%)'!L301</f>
        <v>0</v>
      </c>
      <c r="G292" s="20">
        <f>'Work Progress (%)'!Y301</f>
        <v>0</v>
      </c>
      <c r="H292" s="20">
        <f>'Work Progress (%)'!AD301</f>
        <v>0</v>
      </c>
      <c r="I292" s="20">
        <f>'Work Progress (%)'!AI301</f>
        <v>0</v>
      </c>
      <c r="J292" s="20">
        <f>'Work Progress (%)'!AQ301</f>
        <v>0</v>
      </c>
      <c r="K292" s="20">
        <f>'Work Progress (%)'!AV301</f>
        <v>0</v>
      </c>
      <c r="L292" s="20">
        <f>'Work Progress (%)'!BD301</f>
        <v>0</v>
      </c>
      <c r="M292" s="20">
        <v>1</v>
      </c>
      <c r="N292" s="20">
        <v>1</v>
      </c>
      <c r="O292" s="20">
        <v>0.2</v>
      </c>
      <c r="P292" s="20">
        <v>0.7</v>
      </c>
      <c r="Q292" s="21">
        <f t="shared" si="30"/>
        <v>0.125</v>
      </c>
    </row>
    <row r="293" spans="2:17" ht="74.25" customHeight="1" x14ac:dyDescent="0.45">
      <c r="B293" s="22" t="s">
        <v>144</v>
      </c>
      <c r="C293" s="22" t="s">
        <v>37</v>
      </c>
      <c r="D293" s="151">
        <v>615</v>
      </c>
      <c r="E293" s="20">
        <v>0.8</v>
      </c>
      <c r="F293" s="20">
        <f>'Work Progress (%)'!L302</f>
        <v>0</v>
      </c>
      <c r="G293" s="20">
        <f>'Work Progress (%)'!Y302</f>
        <v>0</v>
      </c>
      <c r="H293" s="20">
        <f>'Work Progress (%)'!AD302</f>
        <v>0</v>
      </c>
      <c r="I293" s="20">
        <f>'Work Progress (%)'!AI302</f>
        <v>0</v>
      </c>
      <c r="J293" s="20">
        <f>'Work Progress (%)'!AQ302</f>
        <v>0</v>
      </c>
      <c r="K293" s="20">
        <f>'Work Progress (%)'!AV302</f>
        <v>0</v>
      </c>
      <c r="L293" s="20">
        <f>'Work Progress (%)'!BD302</f>
        <v>0</v>
      </c>
      <c r="M293" s="20">
        <v>1</v>
      </c>
      <c r="N293" s="20">
        <v>1</v>
      </c>
      <c r="O293" s="20">
        <v>0.2</v>
      </c>
      <c r="P293" s="20">
        <v>0.7</v>
      </c>
      <c r="Q293" s="21">
        <f t="shared" si="30"/>
        <v>0.125</v>
      </c>
    </row>
    <row r="294" spans="2:17" ht="74.25" customHeight="1" x14ac:dyDescent="0.45">
      <c r="B294" s="22" t="s">
        <v>144</v>
      </c>
      <c r="C294" s="22" t="s">
        <v>37</v>
      </c>
      <c r="D294" s="151">
        <v>616</v>
      </c>
      <c r="E294" s="20">
        <v>0.8</v>
      </c>
      <c r="F294" s="20">
        <f>'Work Progress (%)'!L303</f>
        <v>0</v>
      </c>
      <c r="G294" s="20">
        <f>'Work Progress (%)'!Y303</f>
        <v>0</v>
      </c>
      <c r="H294" s="20">
        <f>'Work Progress (%)'!AD303</f>
        <v>0</v>
      </c>
      <c r="I294" s="20">
        <f>'Work Progress (%)'!AI303</f>
        <v>0</v>
      </c>
      <c r="J294" s="20">
        <f>'Work Progress (%)'!AQ303</f>
        <v>0</v>
      </c>
      <c r="K294" s="20">
        <f>'Work Progress (%)'!AV303</f>
        <v>0</v>
      </c>
      <c r="L294" s="20">
        <f>'Work Progress (%)'!BD303</f>
        <v>0</v>
      </c>
      <c r="M294" s="20">
        <v>1</v>
      </c>
      <c r="N294" s="20">
        <v>1</v>
      </c>
      <c r="O294" s="20">
        <v>0.2</v>
      </c>
      <c r="P294" s="20">
        <v>0.7</v>
      </c>
      <c r="Q294" s="21">
        <f t="shared" si="30"/>
        <v>0.125</v>
      </c>
    </row>
    <row r="295" spans="2:17" ht="74.25" customHeight="1" x14ac:dyDescent="0.45">
      <c r="B295" s="22" t="s">
        <v>144</v>
      </c>
      <c r="C295" s="22"/>
      <c r="D295" s="154" t="s">
        <v>38</v>
      </c>
      <c r="E295" s="141">
        <f>AVERAGE(E297:E311)</f>
        <v>0.80000000000000016</v>
      </c>
      <c r="F295" s="141">
        <f t="shared" ref="F295:P295" si="31">AVERAGE(F297:F311)</f>
        <v>0</v>
      </c>
      <c r="G295" s="20">
        <f t="shared" si="31"/>
        <v>0</v>
      </c>
      <c r="H295" s="141">
        <f t="shared" si="31"/>
        <v>0</v>
      </c>
      <c r="I295" s="141">
        <f t="shared" si="31"/>
        <v>0</v>
      </c>
      <c r="J295" s="141">
        <f t="shared" si="31"/>
        <v>0</v>
      </c>
      <c r="K295" s="141">
        <f t="shared" si="31"/>
        <v>0</v>
      </c>
      <c r="L295" s="141">
        <f t="shared" si="31"/>
        <v>0</v>
      </c>
      <c r="M295" s="141">
        <f t="shared" si="31"/>
        <v>1</v>
      </c>
      <c r="N295" s="141">
        <f t="shared" si="31"/>
        <v>1</v>
      </c>
      <c r="O295" s="141">
        <f t="shared" si="31"/>
        <v>0.20000000000000004</v>
      </c>
      <c r="P295" s="141">
        <f t="shared" si="31"/>
        <v>0.69999999999999984</v>
      </c>
      <c r="Q295" s="14">
        <f>AVERAGE(Q296:Q311)</f>
        <v>0.125</v>
      </c>
    </row>
    <row r="296" spans="2:17" ht="74.25" customHeight="1" x14ac:dyDescent="0.45">
      <c r="B296" s="22" t="s">
        <v>144</v>
      </c>
      <c r="C296" s="22" t="s">
        <v>39</v>
      </c>
      <c r="D296" s="151">
        <v>701</v>
      </c>
      <c r="E296" s="20">
        <v>0.8</v>
      </c>
      <c r="F296" s="20">
        <f>'Work Progress (%)'!L305</f>
        <v>0</v>
      </c>
      <c r="G296" s="20">
        <f>'Work Progress (%)'!Y305</f>
        <v>0</v>
      </c>
      <c r="H296" s="20">
        <f>'Work Progress (%)'!AD305</f>
        <v>0</v>
      </c>
      <c r="I296" s="20">
        <f>'Work Progress (%)'!AI305</f>
        <v>0</v>
      </c>
      <c r="J296" s="20">
        <f>'Work Progress (%)'!AQ305</f>
        <v>0</v>
      </c>
      <c r="K296" s="20">
        <f>'Work Progress (%)'!AV305</f>
        <v>0</v>
      </c>
      <c r="L296" s="20">
        <f>'Work Progress (%)'!BD305</f>
        <v>0</v>
      </c>
      <c r="M296" s="20">
        <v>1</v>
      </c>
      <c r="N296" s="20">
        <v>1</v>
      </c>
      <c r="O296" s="20">
        <v>0.2</v>
      </c>
      <c r="P296" s="20">
        <v>0.7</v>
      </c>
      <c r="Q296" s="21">
        <f t="shared" ref="Q296:Q311" si="32">SUMPRODUCT(E296:P296, E$2:P$2)</f>
        <v>0.125</v>
      </c>
    </row>
    <row r="297" spans="2:17" ht="74.25" customHeight="1" x14ac:dyDescent="0.45">
      <c r="B297" s="22" t="s">
        <v>144</v>
      </c>
      <c r="C297" s="22" t="s">
        <v>39</v>
      </c>
      <c r="D297" s="151">
        <v>702</v>
      </c>
      <c r="E297" s="20">
        <v>0.8</v>
      </c>
      <c r="F297" s="20">
        <f>'Work Progress (%)'!L306</f>
        <v>0</v>
      </c>
      <c r="G297" s="20">
        <f>'Work Progress (%)'!Y306</f>
        <v>0</v>
      </c>
      <c r="H297" s="20">
        <f>'Work Progress (%)'!AD306</f>
        <v>0</v>
      </c>
      <c r="I297" s="20">
        <f>'Work Progress (%)'!AI306</f>
        <v>0</v>
      </c>
      <c r="J297" s="20">
        <f>'Work Progress (%)'!AQ306</f>
        <v>0</v>
      </c>
      <c r="K297" s="20">
        <f>'Work Progress (%)'!AV306</f>
        <v>0</v>
      </c>
      <c r="L297" s="20">
        <f>'Work Progress (%)'!BD306</f>
        <v>0</v>
      </c>
      <c r="M297" s="20">
        <v>1</v>
      </c>
      <c r="N297" s="20">
        <v>1</v>
      </c>
      <c r="O297" s="20">
        <v>0.2</v>
      </c>
      <c r="P297" s="20">
        <v>0.7</v>
      </c>
      <c r="Q297" s="21">
        <f t="shared" si="32"/>
        <v>0.125</v>
      </c>
    </row>
    <row r="298" spans="2:17" ht="74.25" customHeight="1" x14ac:dyDescent="0.45">
      <c r="B298" s="22" t="s">
        <v>144</v>
      </c>
      <c r="C298" s="22" t="s">
        <v>39</v>
      </c>
      <c r="D298" s="151">
        <v>703</v>
      </c>
      <c r="E298" s="20">
        <v>0.8</v>
      </c>
      <c r="F298" s="20">
        <f>'Work Progress (%)'!L307</f>
        <v>0</v>
      </c>
      <c r="G298" s="20">
        <f>'Work Progress (%)'!Y307</f>
        <v>0</v>
      </c>
      <c r="H298" s="20">
        <f>'Work Progress (%)'!AD307</f>
        <v>0</v>
      </c>
      <c r="I298" s="20">
        <f>'Work Progress (%)'!AI307</f>
        <v>0</v>
      </c>
      <c r="J298" s="20">
        <f>'Work Progress (%)'!AQ307</f>
        <v>0</v>
      </c>
      <c r="K298" s="20">
        <f>'Work Progress (%)'!AV307</f>
        <v>0</v>
      </c>
      <c r="L298" s="20">
        <f>'Work Progress (%)'!BD307</f>
        <v>0</v>
      </c>
      <c r="M298" s="20">
        <v>1</v>
      </c>
      <c r="N298" s="20">
        <v>1</v>
      </c>
      <c r="O298" s="20">
        <v>0.2</v>
      </c>
      <c r="P298" s="20">
        <v>0.7</v>
      </c>
      <c r="Q298" s="21">
        <f t="shared" si="32"/>
        <v>0.125</v>
      </c>
    </row>
    <row r="299" spans="2:17" ht="74.25" customHeight="1" x14ac:dyDescent="0.45">
      <c r="B299" s="22" t="s">
        <v>144</v>
      </c>
      <c r="C299" s="22" t="s">
        <v>39</v>
      </c>
      <c r="D299" s="151">
        <v>704</v>
      </c>
      <c r="E299" s="20">
        <v>0.8</v>
      </c>
      <c r="F299" s="20">
        <f>'Work Progress (%)'!L308</f>
        <v>0</v>
      </c>
      <c r="G299" s="20">
        <f>'Work Progress (%)'!Y308</f>
        <v>0</v>
      </c>
      <c r="H299" s="20">
        <f>'Work Progress (%)'!AD308</f>
        <v>0</v>
      </c>
      <c r="I299" s="20">
        <f>'Work Progress (%)'!AI308</f>
        <v>0</v>
      </c>
      <c r="J299" s="20">
        <f>'Work Progress (%)'!AQ308</f>
        <v>0</v>
      </c>
      <c r="K299" s="20">
        <f>'Work Progress (%)'!AV308</f>
        <v>0</v>
      </c>
      <c r="L299" s="20">
        <f>'Work Progress (%)'!BD308</f>
        <v>0</v>
      </c>
      <c r="M299" s="20">
        <v>1</v>
      </c>
      <c r="N299" s="20">
        <v>1</v>
      </c>
      <c r="O299" s="20">
        <v>0.2</v>
      </c>
      <c r="P299" s="20">
        <v>0.7</v>
      </c>
      <c r="Q299" s="21">
        <f t="shared" si="32"/>
        <v>0.125</v>
      </c>
    </row>
    <row r="300" spans="2:17" ht="74.25" customHeight="1" x14ac:dyDescent="0.45">
      <c r="B300" s="22" t="s">
        <v>144</v>
      </c>
      <c r="C300" s="22" t="s">
        <v>39</v>
      </c>
      <c r="D300" s="151">
        <v>705</v>
      </c>
      <c r="E300" s="20">
        <v>0.8</v>
      </c>
      <c r="F300" s="20">
        <f>'Work Progress (%)'!L309</f>
        <v>0</v>
      </c>
      <c r="G300" s="20">
        <f>'Work Progress (%)'!Y309</f>
        <v>0</v>
      </c>
      <c r="H300" s="20">
        <f>'Work Progress (%)'!AD309</f>
        <v>0</v>
      </c>
      <c r="I300" s="20">
        <f>'Work Progress (%)'!AI309</f>
        <v>0</v>
      </c>
      <c r="J300" s="20">
        <f>'Work Progress (%)'!AQ309</f>
        <v>0</v>
      </c>
      <c r="K300" s="20">
        <f>'Work Progress (%)'!AV309</f>
        <v>0</v>
      </c>
      <c r="L300" s="20">
        <f>'Work Progress (%)'!BD309</f>
        <v>0</v>
      </c>
      <c r="M300" s="20">
        <v>1</v>
      </c>
      <c r="N300" s="20">
        <v>1</v>
      </c>
      <c r="O300" s="20">
        <v>0.2</v>
      </c>
      <c r="P300" s="20">
        <v>0.7</v>
      </c>
      <c r="Q300" s="21">
        <f t="shared" si="32"/>
        <v>0.125</v>
      </c>
    </row>
    <row r="301" spans="2:17" ht="74.25" customHeight="1" x14ac:dyDescent="0.45">
      <c r="B301" s="22" t="s">
        <v>144</v>
      </c>
      <c r="C301" s="22" t="s">
        <v>39</v>
      </c>
      <c r="D301" s="151">
        <v>706</v>
      </c>
      <c r="E301" s="20">
        <v>0.8</v>
      </c>
      <c r="F301" s="20">
        <f>'Work Progress (%)'!L310</f>
        <v>0</v>
      </c>
      <c r="G301" s="20">
        <f>'Work Progress (%)'!Y310</f>
        <v>0</v>
      </c>
      <c r="H301" s="20">
        <f>'Work Progress (%)'!AD310</f>
        <v>0</v>
      </c>
      <c r="I301" s="20">
        <f>'Work Progress (%)'!AI310</f>
        <v>0</v>
      </c>
      <c r="J301" s="20">
        <f>'Work Progress (%)'!AQ310</f>
        <v>0</v>
      </c>
      <c r="K301" s="20">
        <f>'Work Progress (%)'!AV310</f>
        <v>0</v>
      </c>
      <c r="L301" s="20">
        <f>'Work Progress (%)'!BD310</f>
        <v>0</v>
      </c>
      <c r="M301" s="20">
        <v>1</v>
      </c>
      <c r="N301" s="20">
        <v>1</v>
      </c>
      <c r="O301" s="20">
        <v>0.2</v>
      </c>
      <c r="P301" s="20">
        <v>0.7</v>
      </c>
      <c r="Q301" s="21">
        <f t="shared" si="32"/>
        <v>0.125</v>
      </c>
    </row>
    <row r="302" spans="2:17" ht="74.25" customHeight="1" x14ac:dyDescent="0.45">
      <c r="B302" s="22" t="s">
        <v>144</v>
      </c>
      <c r="C302" s="22" t="s">
        <v>39</v>
      </c>
      <c r="D302" s="151">
        <v>707</v>
      </c>
      <c r="E302" s="20">
        <v>0.8</v>
      </c>
      <c r="F302" s="20">
        <f>'Work Progress (%)'!L311</f>
        <v>0</v>
      </c>
      <c r="G302" s="20">
        <f>'Work Progress (%)'!Y311</f>
        <v>0</v>
      </c>
      <c r="H302" s="20">
        <f>'Work Progress (%)'!AD311</f>
        <v>0</v>
      </c>
      <c r="I302" s="20">
        <f>'Work Progress (%)'!AI311</f>
        <v>0</v>
      </c>
      <c r="J302" s="20">
        <f>'Work Progress (%)'!AQ311</f>
        <v>0</v>
      </c>
      <c r="K302" s="20">
        <f>'Work Progress (%)'!AV311</f>
        <v>0</v>
      </c>
      <c r="L302" s="20">
        <f>'Work Progress (%)'!BD311</f>
        <v>0</v>
      </c>
      <c r="M302" s="20">
        <v>1</v>
      </c>
      <c r="N302" s="20">
        <v>1</v>
      </c>
      <c r="O302" s="20">
        <v>0.2</v>
      </c>
      <c r="P302" s="20">
        <v>0.7</v>
      </c>
      <c r="Q302" s="21">
        <f t="shared" si="32"/>
        <v>0.125</v>
      </c>
    </row>
    <row r="303" spans="2:17" ht="74.25" customHeight="1" x14ac:dyDescent="0.45">
      <c r="B303" s="22" t="s">
        <v>144</v>
      </c>
      <c r="C303" s="22" t="s">
        <v>39</v>
      </c>
      <c r="D303" s="151">
        <v>708</v>
      </c>
      <c r="E303" s="20">
        <v>0.8</v>
      </c>
      <c r="F303" s="20">
        <f>'Work Progress (%)'!L312</f>
        <v>0</v>
      </c>
      <c r="G303" s="20">
        <f>'Work Progress (%)'!Y312</f>
        <v>0</v>
      </c>
      <c r="H303" s="20">
        <f>'Work Progress (%)'!AD312</f>
        <v>0</v>
      </c>
      <c r="I303" s="20">
        <f>'Work Progress (%)'!AI312</f>
        <v>0</v>
      </c>
      <c r="J303" s="20">
        <f>'Work Progress (%)'!AQ312</f>
        <v>0</v>
      </c>
      <c r="K303" s="20">
        <f>'Work Progress (%)'!AV312</f>
        <v>0</v>
      </c>
      <c r="L303" s="20">
        <f>'Work Progress (%)'!BD312</f>
        <v>0</v>
      </c>
      <c r="M303" s="20">
        <v>1</v>
      </c>
      <c r="N303" s="20">
        <v>1</v>
      </c>
      <c r="O303" s="20">
        <v>0.2</v>
      </c>
      <c r="P303" s="20">
        <v>0.7</v>
      </c>
      <c r="Q303" s="21">
        <f t="shared" si="32"/>
        <v>0.125</v>
      </c>
    </row>
    <row r="304" spans="2:17" ht="74.25" customHeight="1" x14ac:dyDescent="0.45">
      <c r="B304" s="22" t="s">
        <v>144</v>
      </c>
      <c r="C304" s="22" t="s">
        <v>39</v>
      </c>
      <c r="D304" s="151">
        <v>709</v>
      </c>
      <c r="E304" s="20">
        <v>0.8</v>
      </c>
      <c r="F304" s="20">
        <f>'Work Progress (%)'!L313</f>
        <v>0</v>
      </c>
      <c r="G304" s="20">
        <f>'Work Progress (%)'!Y313</f>
        <v>0</v>
      </c>
      <c r="H304" s="20">
        <f>'Work Progress (%)'!AD313</f>
        <v>0</v>
      </c>
      <c r="I304" s="20">
        <f>'Work Progress (%)'!AI313</f>
        <v>0</v>
      </c>
      <c r="J304" s="20">
        <f>'Work Progress (%)'!AQ313</f>
        <v>0</v>
      </c>
      <c r="K304" s="20">
        <f>'Work Progress (%)'!AV313</f>
        <v>0</v>
      </c>
      <c r="L304" s="20">
        <f>'Work Progress (%)'!BD313</f>
        <v>0</v>
      </c>
      <c r="M304" s="20">
        <v>1</v>
      </c>
      <c r="N304" s="20">
        <v>1</v>
      </c>
      <c r="O304" s="20">
        <v>0.2</v>
      </c>
      <c r="P304" s="20">
        <v>0.7</v>
      </c>
      <c r="Q304" s="21">
        <f t="shared" si="32"/>
        <v>0.125</v>
      </c>
    </row>
    <row r="305" spans="2:17" ht="74.25" customHeight="1" x14ac:dyDescent="0.45">
      <c r="B305" s="22" t="s">
        <v>144</v>
      </c>
      <c r="C305" s="22" t="s">
        <v>39</v>
      </c>
      <c r="D305" s="151">
        <v>710</v>
      </c>
      <c r="E305" s="20">
        <v>0.8</v>
      </c>
      <c r="F305" s="20">
        <f>'Work Progress (%)'!L314</f>
        <v>0</v>
      </c>
      <c r="G305" s="20">
        <f>'Work Progress (%)'!Y314</f>
        <v>0</v>
      </c>
      <c r="H305" s="20">
        <f>'Work Progress (%)'!AD314</f>
        <v>0</v>
      </c>
      <c r="I305" s="20">
        <f>'Work Progress (%)'!AI314</f>
        <v>0</v>
      </c>
      <c r="J305" s="20">
        <f>'Work Progress (%)'!AQ314</f>
        <v>0</v>
      </c>
      <c r="K305" s="20">
        <f>'Work Progress (%)'!AV314</f>
        <v>0</v>
      </c>
      <c r="L305" s="20">
        <f>'Work Progress (%)'!BD314</f>
        <v>0</v>
      </c>
      <c r="M305" s="20">
        <v>1</v>
      </c>
      <c r="N305" s="20">
        <v>1</v>
      </c>
      <c r="O305" s="20">
        <v>0.2</v>
      </c>
      <c r="P305" s="20">
        <v>0.7</v>
      </c>
      <c r="Q305" s="21">
        <f t="shared" si="32"/>
        <v>0.125</v>
      </c>
    </row>
    <row r="306" spans="2:17" ht="74.25" customHeight="1" x14ac:dyDescent="0.45">
      <c r="B306" s="22" t="s">
        <v>144</v>
      </c>
      <c r="C306" s="22" t="s">
        <v>39</v>
      </c>
      <c r="D306" s="151">
        <v>711</v>
      </c>
      <c r="E306" s="20">
        <v>0.8</v>
      </c>
      <c r="F306" s="20">
        <f>'Work Progress (%)'!L315</f>
        <v>0</v>
      </c>
      <c r="G306" s="20">
        <f>'Work Progress (%)'!Y315</f>
        <v>0</v>
      </c>
      <c r="H306" s="20">
        <f>'Work Progress (%)'!AD315</f>
        <v>0</v>
      </c>
      <c r="I306" s="20">
        <f>'Work Progress (%)'!AI315</f>
        <v>0</v>
      </c>
      <c r="J306" s="20">
        <f>'Work Progress (%)'!AQ315</f>
        <v>0</v>
      </c>
      <c r="K306" s="20">
        <f>'Work Progress (%)'!AV315</f>
        <v>0</v>
      </c>
      <c r="L306" s="20">
        <f>'Work Progress (%)'!BD315</f>
        <v>0</v>
      </c>
      <c r="M306" s="20">
        <v>1</v>
      </c>
      <c r="N306" s="20">
        <v>1</v>
      </c>
      <c r="O306" s="20">
        <v>0.2</v>
      </c>
      <c r="P306" s="20">
        <v>0.7</v>
      </c>
      <c r="Q306" s="21">
        <f t="shared" si="32"/>
        <v>0.125</v>
      </c>
    </row>
    <row r="307" spans="2:17" ht="74.25" customHeight="1" x14ac:dyDescent="0.45">
      <c r="B307" s="22" t="s">
        <v>144</v>
      </c>
      <c r="C307" s="22" t="s">
        <v>39</v>
      </c>
      <c r="D307" s="151">
        <v>712</v>
      </c>
      <c r="E307" s="20">
        <v>0.8</v>
      </c>
      <c r="F307" s="20">
        <f>'Work Progress (%)'!L316</f>
        <v>0</v>
      </c>
      <c r="G307" s="20">
        <f>'Work Progress (%)'!Y316</f>
        <v>0</v>
      </c>
      <c r="H307" s="20">
        <f>'Work Progress (%)'!AD316</f>
        <v>0</v>
      </c>
      <c r="I307" s="20">
        <f>'Work Progress (%)'!AI316</f>
        <v>0</v>
      </c>
      <c r="J307" s="20">
        <f>'Work Progress (%)'!AQ316</f>
        <v>0</v>
      </c>
      <c r="K307" s="20">
        <f>'Work Progress (%)'!AV316</f>
        <v>0</v>
      </c>
      <c r="L307" s="20">
        <f>'Work Progress (%)'!BD316</f>
        <v>0</v>
      </c>
      <c r="M307" s="20">
        <v>1</v>
      </c>
      <c r="N307" s="20">
        <v>1</v>
      </c>
      <c r="O307" s="20">
        <v>0.2</v>
      </c>
      <c r="P307" s="20">
        <v>0.7</v>
      </c>
      <c r="Q307" s="21">
        <f t="shared" si="32"/>
        <v>0.125</v>
      </c>
    </row>
    <row r="308" spans="2:17" ht="74.25" customHeight="1" x14ac:dyDescent="0.45">
      <c r="B308" s="22" t="s">
        <v>144</v>
      </c>
      <c r="C308" s="22" t="s">
        <v>39</v>
      </c>
      <c r="D308" s="151">
        <v>713</v>
      </c>
      <c r="E308" s="20">
        <v>0.8</v>
      </c>
      <c r="F308" s="20">
        <f>'Work Progress (%)'!L317</f>
        <v>0</v>
      </c>
      <c r="G308" s="20">
        <f>'Work Progress (%)'!Y317</f>
        <v>0</v>
      </c>
      <c r="H308" s="20">
        <f>'Work Progress (%)'!AD317</f>
        <v>0</v>
      </c>
      <c r="I308" s="20">
        <f>'Work Progress (%)'!AI317</f>
        <v>0</v>
      </c>
      <c r="J308" s="20">
        <f>'Work Progress (%)'!AQ317</f>
        <v>0</v>
      </c>
      <c r="K308" s="20">
        <f>'Work Progress (%)'!AV317</f>
        <v>0</v>
      </c>
      <c r="L308" s="20">
        <f>'Work Progress (%)'!BD317</f>
        <v>0</v>
      </c>
      <c r="M308" s="20">
        <v>1</v>
      </c>
      <c r="N308" s="20">
        <v>1</v>
      </c>
      <c r="O308" s="20">
        <v>0.2</v>
      </c>
      <c r="P308" s="20">
        <v>0.7</v>
      </c>
      <c r="Q308" s="21">
        <f t="shared" si="32"/>
        <v>0.125</v>
      </c>
    </row>
    <row r="309" spans="2:17" ht="74.25" customHeight="1" x14ac:dyDescent="0.45">
      <c r="B309" s="22" t="s">
        <v>144</v>
      </c>
      <c r="C309" s="22" t="s">
        <v>39</v>
      </c>
      <c r="D309" s="151">
        <v>714</v>
      </c>
      <c r="E309" s="20">
        <v>0.8</v>
      </c>
      <c r="F309" s="20">
        <f>'Work Progress (%)'!L318</f>
        <v>0</v>
      </c>
      <c r="G309" s="20">
        <f>'Work Progress (%)'!Y318</f>
        <v>0</v>
      </c>
      <c r="H309" s="20">
        <f>'Work Progress (%)'!AD318</f>
        <v>0</v>
      </c>
      <c r="I309" s="20">
        <f>'Work Progress (%)'!AI318</f>
        <v>0</v>
      </c>
      <c r="J309" s="20">
        <f>'Work Progress (%)'!AQ318</f>
        <v>0</v>
      </c>
      <c r="K309" s="20">
        <f>'Work Progress (%)'!AV318</f>
        <v>0</v>
      </c>
      <c r="L309" s="20">
        <f>'Work Progress (%)'!BD318</f>
        <v>0</v>
      </c>
      <c r="M309" s="20">
        <v>1</v>
      </c>
      <c r="N309" s="20">
        <v>1</v>
      </c>
      <c r="O309" s="20">
        <v>0.2</v>
      </c>
      <c r="P309" s="20">
        <v>0.7</v>
      </c>
      <c r="Q309" s="21">
        <f t="shared" si="32"/>
        <v>0.125</v>
      </c>
    </row>
    <row r="310" spans="2:17" ht="74.25" customHeight="1" x14ac:dyDescent="0.45">
      <c r="B310" s="22" t="s">
        <v>144</v>
      </c>
      <c r="C310" s="22" t="s">
        <v>39</v>
      </c>
      <c r="D310" s="151">
        <v>715</v>
      </c>
      <c r="E310" s="20">
        <v>0.8</v>
      </c>
      <c r="F310" s="20">
        <f>'Work Progress (%)'!L319</f>
        <v>0</v>
      </c>
      <c r="G310" s="20">
        <f>'Work Progress (%)'!Y319</f>
        <v>0</v>
      </c>
      <c r="H310" s="20">
        <f>'Work Progress (%)'!AD319</f>
        <v>0</v>
      </c>
      <c r="I310" s="20">
        <f>'Work Progress (%)'!AI319</f>
        <v>0</v>
      </c>
      <c r="J310" s="20">
        <f>'Work Progress (%)'!AQ319</f>
        <v>0</v>
      </c>
      <c r="K310" s="20">
        <f>'Work Progress (%)'!AV319</f>
        <v>0</v>
      </c>
      <c r="L310" s="20">
        <f>'Work Progress (%)'!BD319</f>
        <v>0</v>
      </c>
      <c r="M310" s="20">
        <v>1</v>
      </c>
      <c r="N310" s="20">
        <v>1</v>
      </c>
      <c r="O310" s="20">
        <v>0.2</v>
      </c>
      <c r="P310" s="20">
        <v>0.7</v>
      </c>
      <c r="Q310" s="21">
        <f t="shared" si="32"/>
        <v>0.125</v>
      </c>
    </row>
    <row r="311" spans="2:17" ht="74.25" customHeight="1" x14ac:dyDescent="0.45">
      <c r="B311" s="22" t="s">
        <v>144</v>
      </c>
      <c r="C311" s="22" t="s">
        <v>39</v>
      </c>
      <c r="D311" s="151">
        <v>716</v>
      </c>
      <c r="E311" s="20">
        <v>0.8</v>
      </c>
      <c r="F311" s="20">
        <f>'Work Progress (%)'!L320</f>
        <v>0</v>
      </c>
      <c r="G311" s="20">
        <f>'Work Progress (%)'!Y320</f>
        <v>0</v>
      </c>
      <c r="H311" s="20">
        <f>'Work Progress (%)'!AD320</f>
        <v>0</v>
      </c>
      <c r="I311" s="20">
        <f>'Work Progress (%)'!AI320</f>
        <v>0</v>
      </c>
      <c r="J311" s="20">
        <f>'Work Progress (%)'!AQ320</f>
        <v>0</v>
      </c>
      <c r="K311" s="20">
        <f>'Work Progress (%)'!AV320</f>
        <v>0</v>
      </c>
      <c r="L311" s="20">
        <f>'Work Progress (%)'!BD320</f>
        <v>0</v>
      </c>
      <c r="M311" s="20">
        <v>1</v>
      </c>
      <c r="N311" s="20">
        <v>1</v>
      </c>
      <c r="O311" s="20">
        <v>0.2</v>
      </c>
      <c r="P311" s="20">
        <v>0.7</v>
      </c>
      <c r="Q311" s="21">
        <f t="shared" si="32"/>
        <v>0.125</v>
      </c>
    </row>
    <row r="312" spans="2:17" ht="74.25" customHeight="1" x14ac:dyDescent="0.45">
      <c r="B312" s="22" t="s">
        <v>144</v>
      </c>
      <c r="C312" s="22"/>
      <c r="D312" s="154" t="s">
        <v>40</v>
      </c>
      <c r="E312" s="141">
        <f>AVERAGE(E314:E328)</f>
        <v>0.80000000000000016</v>
      </c>
      <c r="F312" s="141">
        <f t="shared" ref="F312:P312" si="33">AVERAGE(F314:F328)</f>
        <v>0</v>
      </c>
      <c r="G312" s="20">
        <f t="shared" si="33"/>
        <v>0</v>
      </c>
      <c r="H312" s="141">
        <f t="shared" si="33"/>
        <v>0</v>
      </c>
      <c r="I312" s="141">
        <f t="shared" si="33"/>
        <v>0</v>
      </c>
      <c r="J312" s="141">
        <f t="shared" si="33"/>
        <v>0</v>
      </c>
      <c r="K312" s="141">
        <f t="shared" si="33"/>
        <v>0</v>
      </c>
      <c r="L312" s="141">
        <f t="shared" si="33"/>
        <v>0</v>
      </c>
      <c r="M312" s="141">
        <f t="shared" si="33"/>
        <v>1</v>
      </c>
      <c r="N312" s="141">
        <f t="shared" si="33"/>
        <v>1</v>
      </c>
      <c r="O312" s="141">
        <f t="shared" si="33"/>
        <v>0.20000000000000004</v>
      </c>
      <c r="P312" s="141">
        <f t="shared" si="33"/>
        <v>0.69999999999999984</v>
      </c>
      <c r="Q312" s="13">
        <f>AVERAGE(Q313:Q328)</f>
        <v>0.125</v>
      </c>
    </row>
    <row r="313" spans="2:17" ht="74.25" customHeight="1" x14ac:dyDescent="0.45">
      <c r="B313" s="22" t="s">
        <v>144</v>
      </c>
      <c r="C313" s="22" t="s">
        <v>41</v>
      </c>
      <c r="D313" s="151">
        <v>801</v>
      </c>
      <c r="E313" s="20">
        <v>0.8</v>
      </c>
      <c r="F313" s="20">
        <f>'Work Progress (%)'!L322</f>
        <v>0</v>
      </c>
      <c r="G313" s="20">
        <f>'Work Progress (%)'!Y322</f>
        <v>0</v>
      </c>
      <c r="H313" s="20">
        <f>'Work Progress (%)'!AD322</f>
        <v>0</v>
      </c>
      <c r="I313" s="20">
        <f>'Work Progress (%)'!AI322</f>
        <v>0</v>
      </c>
      <c r="J313" s="20">
        <f>'Work Progress (%)'!AQ322</f>
        <v>0</v>
      </c>
      <c r="K313" s="20">
        <f>'Work Progress (%)'!AV322</f>
        <v>0</v>
      </c>
      <c r="L313" s="20">
        <f>'Work Progress (%)'!BD322</f>
        <v>0</v>
      </c>
      <c r="M313" s="20">
        <v>1</v>
      </c>
      <c r="N313" s="20">
        <v>1</v>
      </c>
      <c r="O313" s="20">
        <v>0.2</v>
      </c>
      <c r="P313" s="20">
        <v>0.7</v>
      </c>
      <c r="Q313" s="21">
        <f t="shared" ref="Q313:Q328" si="34">SUMPRODUCT(E313:P313, E$2:P$2)</f>
        <v>0.125</v>
      </c>
    </row>
    <row r="314" spans="2:17" ht="74.25" customHeight="1" x14ac:dyDescent="0.45">
      <c r="B314" s="22" t="s">
        <v>144</v>
      </c>
      <c r="C314" s="22" t="s">
        <v>41</v>
      </c>
      <c r="D314" s="151">
        <v>802</v>
      </c>
      <c r="E314" s="20">
        <v>0.8</v>
      </c>
      <c r="F314" s="20">
        <f>'Work Progress (%)'!L323</f>
        <v>0</v>
      </c>
      <c r="G314" s="20">
        <f>'Work Progress (%)'!Y323</f>
        <v>0</v>
      </c>
      <c r="H314" s="20">
        <f>'Work Progress (%)'!AD323</f>
        <v>0</v>
      </c>
      <c r="I314" s="20">
        <f>'Work Progress (%)'!AI323</f>
        <v>0</v>
      </c>
      <c r="J314" s="20">
        <f>'Work Progress (%)'!AQ323</f>
        <v>0</v>
      </c>
      <c r="K314" s="20">
        <f>'Work Progress (%)'!AV323</f>
        <v>0</v>
      </c>
      <c r="L314" s="20">
        <f>'Work Progress (%)'!BD323</f>
        <v>0</v>
      </c>
      <c r="M314" s="20">
        <v>1</v>
      </c>
      <c r="N314" s="20">
        <v>1</v>
      </c>
      <c r="O314" s="20">
        <v>0.2</v>
      </c>
      <c r="P314" s="20">
        <v>0.7</v>
      </c>
      <c r="Q314" s="21">
        <f t="shared" si="34"/>
        <v>0.125</v>
      </c>
    </row>
    <row r="315" spans="2:17" ht="74.25" customHeight="1" x14ac:dyDescent="0.45">
      <c r="B315" s="22" t="s">
        <v>144</v>
      </c>
      <c r="C315" s="22" t="s">
        <v>41</v>
      </c>
      <c r="D315" s="151">
        <v>803</v>
      </c>
      <c r="E315" s="20">
        <v>0.8</v>
      </c>
      <c r="F315" s="20">
        <f>'Work Progress (%)'!L324</f>
        <v>0</v>
      </c>
      <c r="G315" s="20">
        <f>'Work Progress (%)'!Y324</f>
        <v>0</v>
      </c>
      <c r="H315" s="20">
        <f>'Work Progress (%)'!AD324</f>
        <v>0</v>
      </c>
      <c r="I315" s="20">
        <f>'Work Progress (%)'!AI324</f>
        <v>0</v>
      </c>
      <c r="J315" s="20">
        <f>'Work Progress (%)'!AQ324</f>
        <v>0</v>
      </c>
      <c r="K315" s="20">
        <f>'Work Progress (%)'!AV324</f>
        <v>0</v>
      </c>
      <c r="L315" s="20">
        <f>'Work Progress (%)'!BD324</f>
        <v>0</v>
      </c>
      <c r="M315" s="20">
        <v>1</v>
      </c>
      <c r="N315" s="20">
        <v>1</v>
      </c>
      <c r="O315" s="20">
        <v>0.2</v>
      </c>
      <c r="P315" s="20">
        <v>0.7</v>
      </c>
      <c r="Q315" s="21">
        <f t="shared" si="34"/>
        <v>0.125</v>
      </c>
    </row>
    <row r="316" spans="2:17" ht="74.25" customHeight="1" x14ac:dyDescent="0.45">
      <c r="B316" s="22" t="s">
        <v>144</v>
      </c>
      <c r="C316" s="22" t="s">
        <v>41</v>
      </c>
      <c r="D316" s="151">
        <v>804</v>
      </c>
      <c r="E316" s="20">
        <v>0.8</v>
      </c>
      <c r="F316" s="20">
        <f>'Work Progress (%)'!L325</f>
        <v>0</v>
      </c>
      <c r="G316" s="20">
        <f>'Work Progress (%)'!Y325</f>
        <v>0</v>
      </c>
      <c r="H316" s="20">
        <f>'Work Progress (%)'!AD325</f>
        <v>0</v>
      </c>
      <c r="I316" s="20">
        <f>'Work Progress (%)'!AI325</f>
        <v>0</v>
      </c>
      <c r="J316" s="20">
        <f>'Work Progress (%)'!AQ325</f>
        <v>0</v>
      </c>
      <c r="K316" s="20">
        <f>'Work Progress (%)'!AV325</f>
        <v>0</v>
      </c>
      <c r="L316" s="20">
        <f>'Work Progress (%)'!BD325</f>
        <v>0</v>
      </c>
      <c r="M316" s="20">
        <v>1</v>
      </c>
      <c r="N316" s="20">
        <v>1</v>
      </c>
      <c r="O316" s="20">
        <v>0.2</v>
      </c>
      <c r="P316" s="20">
        <v>0.7</v>
      </c>
      <c r="Q316" s="21">
        <f t="shared" si="34"/>
        <v>0.125</v>
      </c>
    </row>
    <row r="317" spans="2:17" ht="74.25" customHeight="1" x14ac:dyDescent="0.45">
      <c r="B317" s="22" t="s">
        <v>144</v>
      </c>
      <c r="C317" s="22" t="s">
        <v>41</v>
      </c>
      <c r="D317" s="151">
        <v>805</v>
      </c>
      <c r="E317" s="20">
        <v>0.8</v>
      </c>
      <c r="F317" s="20">
        <f>'Work Progress (%)'!L326</f>
        <v>0</v>
      </c>
      <c r="G317" s="20">
        <f>'Work Progress (%)'!Y326</f>
        <v>0</v>
      </c>
      <c r="H317" s="20">
        <f>'Work Progress (%)'!AD326</f>
        <v>0</v>
      </c>
      <c r="I317" s="20">
        <f>'Work Progress (%)'!AI326</f>
        <v>0</v>
      </c>
      <c r="J317" s="20">
        <f>'Work Progress (%)'!AQ326</f>
        <v>0</v>
      </c>
      <c r="K317" s="20">
        <f>'Work Progress (%)'!AV326</f>
        <v>0</v>
      </c>
      <c r="L317" s="20">
        <f>'Work Progress (%)'!BD326</f>
        <v>0</v>
      </c>
      <c r="M317" s="20">
        <v>1</v>
      </c>
      <c r="N317" s="20">
        <v>1</v>
      </c>
      <c r="O317" s="20">
        <v>0.2</v>
      </c>
      <c r="P317" s="20">
        <v>0.7</v>
      </c>
      <c r="Q317" s="21">
        <f t="shared" si="34"/>
        <v>0.125</v>
      </c>
    </row>
    <row r="318" spans="2:17" ht="74.25" customHeight="1" x14ac:dyDescent="0.45">
      <c r="B318" s="22" t="s">
        <v>144</v>
      </c>
      <c r="C318" s="22" t="s">
        <v>41</v>
      </c>
      <c r="D318" s="151">
        <v>806</v>
      </c>
      <c r="E318" s="20">
        <v>0.8</v>
      </c>
      <c r="F318" s="20">
        <f>'Work Progress (%)'!L327</f>
        <v>0</v>
      </c>
      <c r="G318" s="20">
        <f>'Work Progress (%)'!Y327</f>
        <v>0</v>
      </c>
      <c r="H318" s="20">
        <f>'Work Progress (%)'!AD327</f>
        <v>0</v>
      </c>
      <c r="I318" s="20">
        <f>'Work Progress (%)'!AI327</f>
        <v>0</v>
      </c>
      <c r="J318" s="20">
        <f>'Work Progress (%)'!AQ327</f>
        <v>0</v>
      </c>
      <c r="K318" s="20">
        <f>'Work Progress (%)'!AV327</f>
        <v>0</v>
      </c>
      <c r="L318" s="20">
        <f>'Work Progress (%)'!BD327</f>
        <v>0</v>
      </c>
      <c r="M318" s="20">
        <v>1</v>
      </c>
      <c r="N318" s="20">
        <v>1</v>
      </c>
      <c r="O318" s="20">
        <v>0.2</v>
      </c>
      <c r="P318" s="20">
        <v>0.7</v>
      </c>
      <c r="Q318" s="21">
        <f t="shared" si="34"/>
        <v>0.125</v>
      </c>
    </row>
    <row r="319" spans="2:17" ht="74.25" customHeight="1" x14ac:dyDescent="0.45">
      <c r="B319" s="22" t="s">
        <v>144</v>
      </c>
      <c r="C319" s="22" t="s">
        <v>41</v>
      </c>
      <c r="D319" s="151">
        <v>807</v>
      </c>
      <c r="E319" s="20">
        <v>0.8</v>
      </c>
      <c r="F319" s="20">
        <f>'Work Progress (%)'!L328</f>
        <v>0</v>
      </c>
      <c r="G319" s="20">
        <f>'Work Progress (%)'!Y328</f>
        <v>0</v>
      </c>
      <c r="H319" s="20">
        <f>'Work Progress (%)'!AD328</f>
        <v>0</v>
      </c>
      <c r="I319" s="20">
        <f>'Work Progress (%)'!AI328</f>
        <v>0</v>
      </c>
      <c r="J319" s="20">
        <f>'Work Progress (%)'!AQ328</f>
        <v>0</v>
      </c>
      <c r="K319" s="20">
        <f>'Work Progress (%)'!AV328</f>
        <v>0</v>
      </c>
      <c r="L319" s="20">
        <f>'Work Progress (%)'!BD328</f>
        <v>0</v>
      </c>
      <c r="M319" s="20">
        <v>1</v>
      </c>
      <c r="N319" s="20">
        <v>1</v>
      </c>
      <c r="O319" s="20">
        <v>0.2</v>
      </c>
      <c r="P319" s="20">
        <v>0.7</v>
      </c>
      <c r="Q319" s="21">
        <f t="shared" si="34"/>
        <v>0.125</v>
      </c>
    </row>
    <row r="320" spans="2:17" ht="74.25" customHeight="1" x14ac:dyDescent="0.45">
      <c r="B320" s="22" t="s">
        <v>144</v>
      </c>
      <c r="C320" s="22" t="s">
        <v>41</v>
      </c>
      <c r="D320" s="151">
        <v>808</v>
      </c>
      <c r="E320" s="20">
        <v>0.8</v>
      </c>
      <c r="F320" s="20">
        <f>'Work Progress (%)'!L329</f>
        <v>0</v>
      </c>
      <c r="G320" s="20">
        <f>'Work Progress (%)'!Y329</f>
        <v>0</v>
      </c>
      <c r="H320" s="20">
        <f>'Work Progress (%)'!AD329</f>
        <v>0</v>
      </c>
      <c r="I320" s="20">
        <f>'Work Progress (%)'!AI329</f>
        <v>0</v>
      </c>
      <c r="J320" s="20">
        <f>'Work Progress (%)'!AQ329</f>
        <v>0</v>
      </c>
      <c r="K320" s="20">
        <f>'Work Progress (%)'!AV329</f>
        <v>0</v>
      </c>
      <c r="L320" s="20">
        <f>'Work Progress (%)'!BD329</f>
        <v>0</v>
      </c>
      <c r="M320" s="20">
        <v>1</v>
      </c>
      <c r="N320" s="20">
        <v>1</v>
      </c>
      <c r="O320" s="20">
        <v>0.2</v>
      </c>
      <c r="P320" s="20">
        <v>0.7</v>
      </c>
      <c r="Q320" s="21">
        <f t="shared" si="34"/>
        <v>0.125</v>
      </c>
    </row>
    <row r="321" spans="2:17" ht="74.25" customHeight="1" x14ac:dyDescent="0.45">
      <c r="B321" s="22" t="s">
        <v>144</v>
      </c>
      <c r="C321" s="22" t="s">
        <v>41</v>
      </c>
      <c r="D321" s="151">
        <v>809</v>
      </c>
      <c r="E321" s="20">
        <v>0.8</v>
      </c>
      <c r="F321" s="20">
        <f>'Work Progress (%)'!L330</f>
        <v>0</v>
      </c>
      <c r="G321" s="20">
        <f>'Work Progress (%)'!Y330</f>
        <v>0</v>
      </c>
      <c r="H321" s="20">
        <f>'Work Progress (%)'!AD330</f>
        <v>0</v>
      </c>
      <c r="I321" s="20">
        <f>'Work Progress (%)'!AI330</f>
        <v>0</v>
      </c>
      <c r="J321" s="20">
        <f>'Work Progress (%)'!AQ330</f>
        <v>0</v>
      </c>
      <c r="K321" s="20">
        <f>'Work Progress (%)'!AV330</f>
        <v>0</v>
      </c>
      <c r="L321" s="20">
        <f>'Work Progress (%)'!BD330</f>
        <v>0</v>
      </c>
      <c r="M321" s="20">
        <v>1</v>
      </c>
      <c r="N321" s="20">
        <v>1</v>
      </c>
      <c r="O321" s="20">
        <v>0.2</v>
      </c>
      <c r="P321" s="20">
        <v>0.7</v>
      </c>
      <c r="Q321" s="21">
        <f t="shared" si="34"/>
        <v>0.125</v>
      </c>
    </row>
    <row r="322" spans="2:17" ht="74.25" customHeight="1" x14ac:dyDescent="0.45">
      <c r="B322" s="22" t="s">
        <v>144</v>
      </c>
      <c r="C322" s="22" t="s">
        <v>41</v>
      </c>
      <c r="D322" s="151">
        <v>810</v>
      </c>
      <c r="E322" s="20">
        <v>0.8</v>
      </c>
      <c r="F322" s="20">
        <f>'Work Progress (%)'!L331</f>
        <v>0</v>
      </c>
      <c r="G322" s="20">
        <f>'Work Progress (%)'!Y331</f>
        <v>0</v>
      </c>
      <c r="H322" s="20">
        <f>'Work Progress (%)'!AD331</f>
        <v>0</v>
      </c>
      <c r="I322" s="20">
        <f>'Work Progress (%)'!AI331</f>
        <v>0</v>
      </c>
      <c r="J322" s="20">
        <f>'Work Progress (%)'!AQ331</f>
        <v>0</v>
      </c>
      <c r="K322" s="20">
        <f>'Work Progress (%)'!AV331</f>
        <v>0</v>
      </c>
      <c r="L322" s="20">
        <f>'Work Progress (%)'!BD331</f>
        <v>0</v>
      </c>
      <c r="M322" s="20">
        <v>1</v>
      </c>
      <c r="N322" s="20">
        <v>1</v>
      </c>
      <c r="O322" s="20">
        <v>0.2</v>
      </c>
      <c r="P322" s="20">
        <v>0.7</v>
      </c>
      <c r="Q322" s="21">
        <f t="shared" si="34"/>
        <v>0.125</v>
      </c>
    </row>
    <row r="323" spans="2:17" ht="74.25" customHeight="1" x14ac:dyDescent="0.45">
      <c r="B323" s="22" t="s">
        <v>144</v>
      </c>
      <c r="C323" s="22" t="s">
        <v>41</v>
      </c>
      <c r="D323" s="151">
        <v>811</v>
      </c>
      <c r="E323" s="20">
        <v>0.8</v>
      </c>
      <c r="F323" s="20">
        <f>'Work Progress (%)'!L332</f>
        <v>0</v>
      </c>
      <c r="G323" s="20">
        <f>'Work Progress (%)'!Y332</f>
        <v>0</v>
      </c>
      <c r="H323" s="20">
        <f>'Work Progress (%)'!AD332</f>
        <v>0</v>
      </c>
      <c r="I323" s="20">
        <f>'Work Progress (%)'!AI332</f>
        <v>0</v>
      </c>
      <c r="J323" s="20">
        <f>'Work Progress (%)'!AQ332</f>
        <v>0</v>
      </c>
      <c r="K323" s="20">
        <f>'Work Progress (%)'!AV332</f>
        <v>0</v>
      </c>
      <c r="L323" s="20">
        <f>'Work Progress (%)'!BD332</f>
        <v>0</v>
      </c>
      <c r="M323" s="20">
        <v>1</v>
      </c>
      <c r="N323" s="20">
        <v>1</v>
      </c>
      <c r="O323" s="20">
        <v>0.2</v>
      </c>
      <c r="P323" s="20">
        <v>0.7</v>
      </c>
      <c r="Q323" s="21">
        <f t="shared" si="34"/>
        <v>0.125</v>
      </c>
    </row>
    <row r="324" spans="2:17" ht="74.25" customHeight="1" x14ac:dyDescent="0.45">
      <c r="B324" s="22" t="s">
        <v>144</v>
      </c>
      <c r="C324" s="22" t="s">
        <v>41</v>
      </c>
      <c r="D324" s="151">
        <v>812</v>
      </c>
      <c r="E324" s="20">
        <v>0.8</v>
      </c>
      <c r="F324" s="20">
        <f>'Work Progress (%)'!L333</f>
        <v>0</v>
      </c>
      <c r="G324" s="20">
        <f>'Work Progress (%)'!Y333</f>
        <v>0</v>
      </c>
      <c r="H324" s="20">
        <f>'Work Progress (%)'!AD333</f>
        <v>0</v>
      </c>
      <c r="I324" s="20">
        <f>'Work Progress (%)'!AI333</f>
        <v>0</v>
      </c>
      <c r="J324" s="20">
        <f>'Work Progress (%)'!AQ333</f>
        <v>0</v>
      </c>
      <c r="K324" s="20">
        <f>'Work Progress (%)'!AV333</f>
        <v>0</v>
      </c>
      <c r="L324" s="20">
        <f>'Work Progress (%)'!BD333</f>
        <v>0</v>
      </c>
      <c r="M324" s="20">
        <v>1</v>
      </c>
      <c r="N324" s="20">
        <v>1</v>
      </c>
      <c r="O324" s="20">
        <v>0.2</v>
      </c>
      <c r="P324" s="20">
        <v>0.7</v>
      </c>
      <c r="Q324" s="21">
        <f t="shared" si="34"/>
        <v>0.125</v>
      </c>
    </row>
    <row r="325" spans="2:17" ht="74.25" customHeight="1" x14ac:dyDescent="0.45">
      <c r="B325" s="22" t="s">
        <v>144</v>
      </c>
      <c r="C325" s="22" t="s">
        <v>41</v>
      </c>
      <c r="D325" s="151">
        <v>813</v>
      </c>
      <c r="E325" s="20">
        <v>0.8</v>
      </c>
      <c r="F325" s="20">
        <f>'Work Progress (%)'!L334</f>
        <v>0</v>
      </c>
      <c r="G325" s="20">
        <f>'Work Progress (%)'!Y334</f>
        <v>0</v>
      </c>
      <c r="H325" s="20">
        <f>'Work Progress (%)'!AD334</f>
        <v>0</v>
      </c>
      <c r="I325" s="20">
        <f>'Work Progress (%)'!AI334</f>
        <v>0</v>
      </c>
      <c r="J325" s="20">
        <f>'Work Progress (%)'!AQ334</f>
        <v>0</v>
      </c>
      <c r="K325" s="20">
        <f>'Work Progress (%)'!AV334</f>
        <v>0</v>
      </c>
      <c r="L325" s="20">
        <f>'Work Progress (%)'!BD334</f>
        <v>0</v>
      </c>
      <c r="M325" s="20">
        <v>1</v>
      </c>
      <c r="N325" s="20">
        <v>1</v>
      </c>
      <c r="O325" s="20">
        <v>0.2</v>
      </c>
      <c r="P325" s="20">
        <v>0.7</v>
      </c>
      <c r="Q325" s="21">
        <f t="shared" si="34"/>
        <v>0.125</v>
      </c>
    </row>
    <row r="326" spans="2:17" ht="74.25" customHeight="1" x14ac:dyDescent="0.45">
      <c r="B326" s="22" t="s">
        <v>144</v>
      </c>
      <c r="C326" s="22" t="s">
        <v>41</v>
      </c>
      <c r="D326" s="151">
        <v>814</v>
      </c>
      <c r="E326" s="20">
        <v>0.8</v>
      </c>
      <c r="F326" s="20">
        <f>'Work Progress (%)'!L335</f>
        <v>0</v>
      </c>
      <c r="G326" s="20">
        <f>'Work Progress (%)'!Y335</f>
        <v>0</v>
      </c>
      <c r="H326" s="20">
        <f>'Work Progress (%)'!AD335</f>
        <v>0</v>
      </c>
      <c r="I326" s="20">
        <f>'Work Progress (%)'!AI335</f>
        <v>0</v>
      </c>
      <c r="J326" s="20">
        <f>'Work Progress (%)'!AQ335</f>
        <v>0</v>
      </c>
      <c r="K326" s="20">
        <f>'Work Progress (%)'!AV335</f>
        <v>0</v>
      </c>
      <c r="L326" s="20">
        <f>'Work Progress (%)'!BD335</f>
        <v>0</v>
      </c>
      <c r="M326" s="20">
        <v>1</v>
      </c>
      <c r="N326" s="20">
        <v>1</v>
      </c>
      <c r="O326" s="20">
        <v>0.2</v>
      </c>
      <c r="P326" s="20">
        <v>0.7</v>
      </c>
      <c r="Q326" s="21">
        <f t="shared" si="34"/>
        <v>0.125</v>
      </c>
    </row>
    <row r="327" spans="2:17" ht="74.25" customHeight="1" x14ac:dyDescent="0.45">
      <c r="B327" s="22" t="s">
        <v>144</v>
      </c>
      <c r="C327" s="22" t="s">
        <v>41</v>
      </c>
      <c r="D327" s="151">
        <v>815</v>
      </c>
      <c r="E327" s="20">
        <v>0.8</v>
      </c>
      <c r="F327" s="20">
        <f>'Work Progress (%)'!L336</f>
        <v>0</v>
      </c>
      <c r="G327" s="20">
        <f>'Work Progress (%)'!Y336</f>
        <v>0</v>
      </c>
      <c r="H327" s="20">
        <f>'Work Progress (%)'!AD336</f>
        <v>0</v>
      </c>
      <c r="I327" s="20">
        <f>'Work Progress (%)'!AI336</f>
        <v>0</v>
      </c>
      <c r="J327" s="20">
        <f>'Work Progress (%)'!AQ336</f>
        <v>0</v>
      </c>
      <c r="K327" s="20">
        <f>'Work Progress (%)'!AV336</f>
        <v>0</v>
      </c>
      <c r="L327" s="20">
        <f>'Work Progress (%)'!BD336</f>
        <v>0</v>
      </c>
      <c r="M327" s="20">
        <v>1</v>
      </c>
      <c r="N327" s="20">
        <v>1</v>
      </c>
      <c r="O327" s="20">
        <v>0.2</v>
      </c>
      <c r="P327" s="20">
        <v>0.7</v>
      </c>
      <c r="Q327" s="21">
        <f t="shared" si="34"/>
        <v>0.125</v>
      </c>
    </row>
    <row r="328" spans="2:17" ht="74.25" customHeight="1" x14ac:dyDescent="0.45">
      <c r="B328" s="22" t="s">
        <v>144</v>
      </c>
      <c r="C328" s="22" t="s">
        <v>41</v>
      </c>
      <c r="D328" s="151">
        <v>816</v>
      </c>
      <c r="E328" s="20">
        <v>0.8</v>
      </c>
      <c r="F328" s="20">
        <f>'Work Progress (%)'!L337</f>
        <v>0</v>
      </c>
      <c r="G328" s="20">
        <f>'Work Progress (%)'!Y337</f>
        <v>0</v>
      </c>
      <c r="H328" s="20">
        <f>'Work Progress (%)'!AD337</f>
        <v>0</v>
      </c>
      <c r="I328" s="20">
        <f>'Work Progress (%)'!AI337</f>
        <v>0</v>
      </c>
      <c r="J328" s="20">
        <f>'Work Progress (%)'!AQ337</f>
        <v>0</v>
      </c>
      <c r="K328" s="20">
        <f>'Work Progress (%)'!AV337</f>
        <v>0</v>
      </c>
      <c r="L328" s="20">
        <f>'Work Progress (%)'!BD337</f>
        <v>0</v>
      </c>
      <c r="M328" s="20">
        <v>1</v>
      </c>
      <c r="N328" s="20">
        <v>1</v>
      </c>
      <c r="O328" s="20">
        <v>0.2</v>
      </c>
      <c r="P328" s="20">
        <v>0.7</v>
      </c>
      <c r="Q328" s="21">
        <f t="shared" si="34"/>
        <v>0.125</v>
      </c>
    </row>
    <row r="329" spans="2:17" ht="74.25" customHeight="1" x14ac:dyDescent="0.45">
      <c r="B329" s="22" t="s">
        <v>144</v>
      </c>
      <c r="C329" s="22"/>
      <c r="D329" s="154" t="s">
        <v>42</v>
      </c>
      <c r="E329" s="141">
        <f>AVERAGE(E331:E345)</f>
        <v>0.80000000000000016</v>
      </c>
      <c r="F329" s="141">
        <f t="shared" ref="F329:P329" si="35">AVERAGE(F331:F345)</f>
        <v>0</v>
      </c>
      <c r="G329" s="20">
        <f t="shared" si="35"/>
        <v>0</v>
      </c>
      <c r="H329" s="141">
        <f t="shared" si="35"/>
        <v>0</v>
      </c>
      <c r="I329" s="141">
        <f t="shared" si="35"/>
        <v>0</v>
      </c>
      <c r="J329" s="141">
        <f t="shared" si="35"/>
        <v>0</v>
      </c>
      <c r="K329" s="141">
        <f t="shared" si="35"/>
        <v>0</v>
      </c>
      <c r="L329" s="141">
        <f t="shared" si="35"/>
        <v>0</v>
      </c>
      <c r="M329" s="141">
        <f t="shared" si="35"/>
        <v>1</v>
      </c>
      <c r="N329" s="141">
        <f t="shared" si="35"/>
        <v>1</v>
      </c>
      <c r="O329" s="141">
        <f t="shared" si="35"/>
        <v>0.20000000000000004</v>
      </c>
      <c r="P329" s="141">
        <f t="shared" si="35"/>
        <v>0.69999999999999984</v>
      </c>
      <c r="Q329" s="14">
        <f>AVERAGE(Q330:Q345)</f>
        <v>0.125</v>
      </c>
    </row>
    <row r="330" spans="2:17" ht="74.25" customHeight="1" x14ac:dyDescent="0.45">
      <c r="B330" s="22" t="s">
        <v>144</v>
      </c>
      <c r="C330" s="22" t="s">
        <v>43</v>
      </c>
      <c r="D330" s="151">
        <v>901</v>
      </c>
      <c r="E330" s="20">
        <v>0.8</v>
      </c>
      <c r="F330" s="20">
        <f>'Work Progress (%)'!L339</f>
        <v>0</v>
      </c>
      <c r="G330" s="20">
        <f>'Work Progress (%)'!Y339</f>
        <v>0</v>
      </c>
      <c r="H330" s="20">
        <f>'Work Progress (%)'!AD339</f>
        <v>0</v>
      </c>
      <c r="I330" s="20">
        <f>'Work Progress (%)'!AI339</f>
        <v>0</v>
      </c>
      <c r="J330" s="20">
        <f>'Work Progress (%)'!AQ339</f>
        <v>0</v>
      </c>
      <c r="K330" s="20">
        <f>'Work Progress (%)'!AV339</f>
        <v>0</v>
      </c>
      <c r="L330" s="20">
        <f>'Work Progress (%)'!BD339</f>
        <v>0</v>
      </c>
      <c r="M330" s="20">
        <v>1</v>
      </c>
      <c r="N330" s="20">
        <v>1</v>
      </c>
      <c r="O330" s="20">
        <v>0.2</v>
      </c>
      <c r="P330" s="20">
        <v>0.7</v>
      </c>
      <c r="Q330" s="21">
        <f t="shared" ref="Q330:Q345" si="36">SUMPRODUCT(E330:P330, E$2:P$2)</f>
        <v>0.125</v>
      </c>
    </row>
    <row r="331" spans="2:17" ht="74.25" customHeight="1" x14ac:dyDescent="0.45">
      <c r="B331" s="22" t="s">
        <v>144</v>
      </c>
      <c r="C331" s="22" t="s">
        <v>43</v>
      </c>
      <c r="D331" s="151">
        <v>902</v>
      </c>
      <c r="E331" s="20">
        <v>0.8</v>
      </c>
      <c r="F331" s="20">
        <f>'Work Progress (%)'!L340</f>
        <v>0</v>
      </c>
      <c r="G331" s="20">
        <f>'Work Progress (%)'!Y340</f>
        <v>0</v>
      </c>
      <c r="H331" s="20">
        <f>'Work Progress (%)'!AD340</f>
        <v>0</v>
      </c>
      <c r="I331" s="20">
        <f>'Work Progress (%)'!AI340</f>
        <v>0</v>
      </c>
      <c r="J331" s="20">
        <f>'Work Progress (%)'!AQ340</f>
        <v>0</v>
      </c>
      <c r="K331" s="20">
        <f>'Work Progress (%)'!AV340</f>
        <v>0</v>
      </c>
      <c r="L331" s="20">
        <f>'Work Progress (%)'!BD340</f>
        <v>0</v>
      </c>
      <c r="M331" s="20">
        <v>1</v>
      </c>
      <c r="N331" s="20">
        <v>1</v>
      </c>
      <c r="O331" s="20">
        <v>0.2</v>
      </c>
      <c r="P331" s="20">
        <v>0.7</v>
      </c>
      <c r="Q331" s="21">
        <f t="shared" si="36"/>
        <v>0.125</v>
      </c>
    </row>
    <row r="332" spans="2:17" ht="74.25" customHeight="1" x14ac:dyDescent="0.45">
      <c r="B332" s="22" t="s">
        <v>144</v>
      </c>
      <c r="C332" s="22" t="s">
        <v>43</v>
      </c>
      <c r="D332" s="151">
        <v>903</v>
      </c>
      <c r="E332" s="20">
        <v>0.8</v>
      </c>
      <c r="F332" s="20">
        <f>'Work Progress (%)'!L341</f>
        <v>0</v>
      </c>
      <c r="G332" s="20">
        <f>'Work Progress (%)'!Y341</f>
        <v>0</v>
      </c>
      <c r="H332" s="20">
        <f>'Work Progress (%)'!AD341</f>
        <v>0</v>
      </c>
      <c r="I332" s="20">
        <f>'Work Progress (%)'!AI341</f>
        <v>0</v>
      </c>
      <c r="J332" s="20">
        <f>'Work Progress (%)'!AQ341</f>
        <v>0</v>
      </c>
      <c r="K332" s="20">
        <f>'Work Progress (%)'!AV341</f>
        <v>0</v>
      </c>
      <c r="L332" s="20">
        <f>'Work Progress (%)'!BD341</f>
        <v>0</v>
      </c>
      <c r="M332" s="20">
        <v>1</v>
      </c>
      <c r="N332" s="20">
        <v>1</v>
      </c>
      <c r="O332" s="20">
        <v>0.2</v>
      </c>
      <c r="P332" s="20">
        <v>0.7</v>
      </c>
      <c r="Q332" s="21">
        <f t="shared" si="36"/>
        <v>0.125</v>
      </c>
    </row>
    <row r="333" spans="2:17" ht="74.25" customHeight="1" x14ac:dyDescent="0.45">
      <c r="B333" s="22" t="s">
        <v>144</v>
      </c>
      <c r="C333" s="22" t="s">
        <v>43</v>
      </c>
      <c r="D333" s="151">
        <v>904</v>
      </c>
      <c r="E333" s="20">
        <v>0.8</v>
      </c>
      <c r="F333" s="20">
        <f>'Work Progress (%)'!L342</f>
        <v>0</v>
      </c>
      <c r="G333" s="20">
        <f>'Work Progress (%)'!Y342</f>
        <v>0</v>
      </c>
      <c r="H333" s="20">
        <f>'Work Progress (%)'!AD342</f>
        <v>0</v>
      </c>
      <c r="I333" s="20">
        <f>'Work Progress (%)'!AI342</f>
        <v>0</v>
      </c>
      <c r="J333" s="20">
        <f>'Work Progress (%)'!AQ342</f>
        <v>0</v>
      </c>
      <c r="K333" s="20">
        <f>'Work Progress (%)'!AV342</f>
        <v>0</v>
      </c>
      <c r="L333" s="20">
        <f>'Work Progress (%)'!BD342</f>
        <v>0</v>
      </c>
      <c r="M333" s="20">
        <v>1</v>
      </c>
      <c r="N333" s="20">
        <v>1</v>
      </c>
      <c r="O333" s="20">
        <v>0.2</v>
      </c>
      <c r="P333" s="20">
        <v>0.7</v>
      </c>
      <c r="Q333" s="21">
        <f t="shared" si="36"/>
        <v>0.125</v>
      </c>
    </row>
    <row r="334" spans="2:17" ht="74.25" customHeight="1" x14ac:dyDescent="0.45">
      <c r="B334" s="22" t="s">
        <v>144</v>
      </c>
      <c r="C334" s="22" t="s">
        <v>43</v>
      </c>
      <c r="D334" s="151">
        <v>905</v>
      </c>
      <c r="E334" s="20">
        <v>0.8</v>
      </c>
      <c r="F334" s="20">
        <f>'Work Progress (%)'!L343</f>
        <v>0</v>
      </c>
      <c r="G334" s="20">
        <f>'Work Progress (%)'!Y343</f>
        <v>0</v>
      </c>
      <c r="H334" s="20">
        <f>'Work Progress (%)'!AD343</f>
        <v>0</v>
      </c>
      <c r="I334" s="20">
        <f>'Work Progress (%)'!AI343</f>
        <v>0</v>
      </c>
      <c r="J334" s="20">
        <f>'Work Progress (%)'!AQ343</f>
        <v>0</v>
      </c>
      <c r="K334" s="20">
        <f>'Work Progress (%)'!AV343</f>
        <v>0</v>
      </c>
      <c r="L334" s="20">
        <f>'Work Progress (%)'!BD343</f>
        <v>0</v>
      </c>
      <c r="M334" s="20">
        <v>1</v>
      </c>
      <c r="N334" s="20">
        <v>1</v>
      </c>
      <c r="O334" s="20">
        <v>0.2</v>
      </c>
      <c r="P334" s="20">
        <v>0.7</v>
      </c>
      <c r="Q334" s="21">
        <f t="shared" si="36"/>
        <v>0.125</v>
      </c>
    </row>
    <row r="335" spans="2:17" ht="74.25" customHeight="1" x14ac:dyDescent="0.45">
      <c r="B335" s="22" t="s">
        <v>144</v>
      </c>
      <c r="C335" s="22" t="s">
        <v>43</v>
      </c>
      <c r="D335" s="151">
        <v>906</v>
      </c>
      <c r="E335" s="20">
        <v>0.8</v>
      </c>
      <c r="F335" s="20">
        <f>'Work Progress (%)'!L344</f>
        <v>0</v>
      </c>
      <c r="G335" s="20">
        <f>'Work Progress (%)'!Y344</f>
        <v>0</v>
      </c>
      <c r="H335" s="20">
        <f>'Work Progress (%)'!AD344</f>
        <v>0</v>
      </c>
      <c r="I335" s="20">
        <f>'Work Progress (%)'!AI344</f>
        <v>0</v>
      </c>
      <c r="J335" s="20">
        <f>'Work Progress (%)'!AQ344</f>
        <v>0</v>
      </c>
      <c r="K335" s="20">
        <f>'Work Progress (%)'!AV344</f>
        <v>0</v>
      </c>
      <c r="L335" s="20">
        <f>'Work Progress (%)'!BD344</f>
        <v>0</v>
      </c>
      <c r="M335" s="20">
        <v>1</v>
      </c>
      <c r="N335" s="20">
        <v>1</v>
      </c>
      <c r="O335" s="20">
        <v>0.2</v>
      </c>
      <c r="P335" s="20">
        <v>0.7</v>
      </c>
      <c r="Q335" s="21">
        <f t="shared" si="36"/>
        <v>0.125</v>
      </c>
    </row>
    <row r="336" spans="2:17" ht="74.25" customHeight="1" x14ac:dyDescent="0.45">
      <c r="B336" s="22" t="s">
        <v>144</v>
      </c>
      <c r="C336" s="22" t="s">
        <v>43</v>
      </c>
      <c r="D336" s="151">
        <v>907</v>
      </c>
      <c r="E336" s="20">
        <v>0.8</v>
      </c>
      <c r="F336" s="20">
        <f>'Work Progress (%)'!L345</f>
        <v>0</v>
      </c>
      <c r="G336" s="20">
        <f>'Work Progress (%)'!Y345</f>
        <v>0</v>
      </c>
      <c r="H336" s="20">
        <f>'Work Progress (%)'!AD345</f>
        <v>0</v>
      </c>
      <c r="I336" s="20">
        <f>'Work Progress (%)'!AI345</f>
        <v>0</v>
      </c>
      <c r="J336" s="20">
        <f>'Work Progress (%)'!AQ345</f>
        <v>0</v>
      </c>
      <c r="K336" s="20">
        <f>'Work Progress (%)'!AV345</f>
        <v>0</v>
      </c>
      <c r="L336" s="20">
        <f>'Work Progress (%)'!BD345</f>
        <v>0</v>
      </c>
      <c r="M336" s="20">
        <v>1</v>
      </c>
      <c r="N336" s="20">
        <v>1</v>
      </c>
      <c r="O336" s="20">
        <v>0.2</v>
      </c>
      <c r="P336" s="20">
        <v>0.7</v>
      </c>
      <c r="Q336" s="21">
        <f t="shared" si="36"/>
        <v>0.125</v>
      </c>
    </row>
    <row r="337" spans="2:17" ht="74.25" customHeight="1" x14ac:dyDescent="0.45">
      <c r="B337" s="22" t="s">
        <v>144</v>
      </c>
      <c r="C337" s="22" t="s">
        <v>43</v>
      </c>
      <c r="D337" s="151">
        <v>908</v>
      </c>
      <c r="E337" s="20">
        <v>0.8</v>
      </c>
      <c r="F337" s="20">
        <f>'Work Progress (%)'!L346</f>
        <v>0</v>
      </c>
      <c r="G337" s="20">
        <f>'Work Progress (%)'!Y346</f>
        <v>0</v>
      </c>
      <c r="H337" s="20">
        <f>'Work Progress (%)'!AD346</f>
        <v>0</v>
      </c>
      <c r="I337" s="20">
        <f>'Work Progress (%)'!AI346</f>
        <v>0</v>
      </c>
      <c r="J337" s="20">
        <f>'Work Progress (%)'!AQ346</f>
        <v>0</v>
      </c>
      <c r="K337" s="20">
        <f>'Work Progress (%)'!AV346</f>
        <v>0</v>
      </c>
      <c r="L337" s="20">
        <f>'Work Progress (%)'!BD346</f>
        <v>0</v>
      </c>
      <c r="M337" s="20">
        <v>1</v>
      </c>
      <c r="N337" s="20">
        <v>1</v>
      </c>
      <c r="O337" s="20">
        <v>0.2</v>
      </c>
      <c r="P337" s="20">
        <v>0.7</v>
      </c>
      <c r="Q337" s="21">
        <f t="shared" si="36"/>
        <v>0.125</v>
      </c>
    </row>
    <row r="338" spans="2:17" ht="74.25" customHeight="1" x14ac:dyDescent="0.45">
      <c r="B338" s="22" t="s">
        <v>144</v>
      </c>
      <c r="C338" s="22" t="s">
        <v>43</v>
      </c>
      <c r="D338" s="151">
        <v>909</v>
      </c>
      <c r="E338" s="20">
        <v>0.8</v>
      </c>
      <c r="F338" s="20">
        <f>'Work Progress (%)'!L347</f>
        <v>0</v>
      </c>
      <c r="G338" s="20">
        <f>'Work Progress (%)'!Y347</f>
        <v>0</v>
      </c>
      <c r="H338" s="20">
        <f>'Work Progress (%)'!AD347</f>
        <v>0</v>
      </c>
      <c r="I338" s="20">
        <f>'Work Progress (%)'!AI347</f>
        <v>0</v>
      </c>
      <c r="J338" s="20">
        <f>'Work Progress (%)'!AQ347</f>
        <v>0</v>
      </c>
      <c r="K338" s="20">
        <f>'Work Progress (%)'!AV347</f>
        <v>0</v>
      </c>
      <c r="L338" s="20">
        <f>'Work Progress (%)'!BD347</f>
        <v>0</v>
      </c>
      <c r="M338" s="20">
        <v>1</v>
      </c>
      <c r="N338" s="20">
        <v>1</v>
      </c>
      <c r="O338" s="20">
        <v>0.2</v>
      </c>
      <c r="P338" s="20">
        <v>0.7</v>
      </c>
      <c r="Q338" s="21">
        <f t="shared" si="36"/>
        <v>0.125</v>
      </c>
    </row>
    <row r="339" spans="2:17" ht="74.25" customHeight="1" x14ac:dyDescent="0.45">
      <c r="B339" s="22" t="s">
        <v>144</v>
      </c>
      <c r="C339" s="22" t="s">
        <v>43</v>
      </c>
      <c r="D339" s="151">
        <v>910</v>
      </c>
      <c r="E339" s="20">
        <v>0.8</v>
      </c>
      <c r="F339" s="20">
        <f>'Work Progress (%)'!L348</f>
        <v>0</v>
      </c>
      <c r="G339" s="20">
        <f>'Work Progress (%)'!Y348</f>
        <v>0</v>
      </c>
      <c r="H339" s="20">
        <f>'Work Progress (%)'!AD348</f>
        <v>0</v>
      </c>
      <c r="I339" s="20">
        <f>'Work Progress (%)'!AI348</f>
        <v>0</v>
      </c>
      <c r="J339" s="20">
        <f>'Work Progress (%)'!AQ348</f>
        <v>0</v>
      </c>
      <c r="K339" s="20">
        <f>'Work Progress (%)'!AV348</f>
        <v>0</v>
      </c>
      <c r="L339" s="20">
        <f>'Work Progress (%)'!BD348</f>
        <v>0</v>
      </c>
      <c r="M339" s="20">
        <v>1</v>
      </c>
      <c r="N339" s="20">
        <v>1</v>
      </c>
      <c r="O339" s="20">
        <v>0.2</v>
      </c>
      <c r="P339" s="20">
        <v>0.7</v>
      </c>
      <c r="Q339" s="21">
        <f t="shared" si="36"/>
        <v>0.125</v>
      </c>
    </row>
    <row r="340" spans="2:17" ht="74.25" customHeight="1" x14ac:dyDescent="0.45">
      <c r="B340" s="22" t="s">
        <v>144</v>
      </c>
      <c r="C340" s="22" t="s">
        <v>43</v>
      </c>
      <c r="D340" s="151">
        <v>911</v>
      </c>
      <c r="E340" s="20">
        <v>0.8</v>
      </c>
      <c r="F340" s="20">
        <f>'Work Progress (%)'!L349</f>
        <v>0</v>
      </c>
      <c r="G340" s="20">
        <f>'Work Progress (%)'!Y349</f>
        <v>0</v>
      </c>
      <c r="H340" s="20">
        <f>'Work Progress (%)'!AD349</f>
        <v>0</v>
      </c>
      <c r="I340" s="20">
        <f>'Work Progress (%)'!AI349</f>
        <v>0</v>
      </c>
      <c r="J340" s="20">
        <f>'Work Progress (%)'!AQ349</f>
        <v>0</v>
      </c>
      <c r="K340" s="20">
        <f>'Work Progress (%)'!AV349</f>
        <v>0</v>
      </c>
      <c r="L340" s="20">
        <f>'Work Progress (%)'!BD349</f>
        <v>0</v>
      </c>
      <c r="M340" s="20">
        <v>1</v>
      </c>
      <c r="N340" s="20">
        <v>1</v>
      </c>
      <c r="O340" s="20">
        <v>0.2</v>
      </c>
      <c r="P340" s="20">
        <v>0.7</v>
      </c>
      <c r="Q340" s="21">
        <f t="shared" si="36"/>
        <v>0.125</v>
      </c>
    </row>
    <row r="341" spans="2:17" ht="74.25" customHeight="1" x14ac:dyDescent="0.45">
      <c r="B341" s="22" t="s">
        <v>144</v>
      </c>
      <c r="C341" s="22" t="s">
        <v>43</v>
      </c>
      <c r="D341" s="151">
        <v>912</v>
      </c>
      <c r="E341" s="20">
        <v>0.8</v>
      </c>
      <c r="F341" s="20">
        <f>'Work Progress (%)'!L350</f>
        <v>0</v>
      </c>
      <c r="G341" s="20">
        <f>'Work Progress (%)'!Y350</f>
        <v>0</v>
      </c>
      <c r="H341" s="20">
        <f>'Work Progress (%)'!AD350</f>
        <v>0</v>
      </c>
      <c r="I341" s="20">
        <f>'Work Progress (%)'!AI350</f>
        <v>0</v>
      </c>
      <c r="J341" s="20">
        <f>'Work Progress (%)'!AQ350</f>
        <v>0</v>
      </c>
      <c r="K341" s="20">
        <f>'Work Progress (%)'!AV350</f>
        <v>0</v>
      </c>
      <c r="L341" s="20">
        <f>'Work Progress (%)'!BD350</f>
        <v>0</v>
      </c>
      <c r="M341" s="20">
        <v>1</v>
      </c>
      <c r="N341" s="20">
        <v>1</v>
      </c>
      <c r="O341" s="20">
        <v>0.2</v>
      </c>
      <c r="P341" s="20">
        <v>0.7</v>
      </c>
      <c r="Q341" s="21">
        <f t="shared" si="36"/>
        <v>0.125</v>
      </c>
    </row>
    <row r="342" spans="2:17" ht="74.25" customHeight="1" x14ac:dyDescent="0.45">
      <c r="B342" s="22" t="s">
        <v>144</v>
      </c>
      <c r="C342" s="22" t="s">
        <v>43</v>
      </c>
      <c r="D342" s="151">
        <v>913</v>
      </c>
      <c r="E342" s="20">
        <v>0.8</v>
      </c>
      <c r="F342" s="20">
        <f>'Work Progress (%)'!L351</f>
        <v>0</v>
      </c>
      <c r="G342" s="20">
        <f>'Work Progress (%)'!Y351</f>
        <v>0</v>
      </c>
      <c r="H342" s="20">
        <f>'Work Progress (%)'!AD351</f>
        <v>0</v>
      </c>
      <c r="I342" s="20">
        <f>'Work Progress (%)'!AI351</f>
        <v>0</v>
      </c>
      <c r="J342" s="20">
        <f>'Work Progress (%)'!AQ351</f>
        <v>0</v>
      </c>
      <c r="K342" s="20">
        <f>'Work Progress (%)'!AV351</f>
        <v>0</v>
      </c>
      <c r="L342" s="20">
        <f>'Work Progress (%)'!BD351</f>
        <v>0</v>
      </c>
      <c r="M342" s="20">
        <v>1</v>
      </c>
      <c r="N342" s="20">
        <v>1</v>
      </c>
      <c r="O342" s="20">
        <v>0.2</v>
      </c>
      <c r="P342" s="20">
        <v>0.7</v>
      </c>
      <c r="Q342" s="21">
        <f t="shared" si="36"/>
        <v>0.125</v>
      </c>
    </row>
    <row r="343" spans="2:17" ht="74.25" customHeight="1" x14ac:dyDescent="0.45">
      <c r="B343" s="22" t="s">
        <v>144</v>
      </c>
      <c r="C343" s="22" t="s">
        <v>43</v>
      </c>
      <c r="D343" s="151">
        <v>914</v>
      </c>
      <c r="E343" s="20">
        <v>0.8</v>
      </c>
      <c r="F343" s="20">
        <f>'Work Progress (%)'!L352</f>
        <v>0</v>
      </c>
      <c r="G343" s="20">
        <f>'Work Progress (%)'!Y352</f>
        <v>0</v>
      </c>
      <c r="H343" s="20">
        <f>'Work Progress (%)'!AD352</f>
        <v>0</v>
      </c>
      <c r="I343" s="20">
        <f>'Work Progress (%)'!AI352</f>
        <v>0</v>
      </c>
      <c r="J343" s="20">
        <f>'Work Progress (%)'!AQ352</f>
        <v>0</v>
      </c>
      <c r="K343" s="20">
        <f>'Work Progress (%)'!AV352</f>
        <v>0</v>
      </c>
      <c r="L343" s="20">
        <f>'Work Progress (%)'!BD352</f>
        <v>0</v>
      </c>
      <c r="M343" s="20">
        <v>1</v>
      </c>
      <c r="N343" s="20">
        <v>1</v>
      </c>
      <c r="O343" s="20">
        <v>0.2</v>
      </c>
      <c r="P343" s="20">
        <v>0.7</v>
      </c>
      <c r="Q343" s="21">
        <f t="shared" si="36"/>
        <v>0.125</v>
      </c>
    </row>
    <row r="344" spans="2:17" ht="74.25" customHeight="1" x14ac:dyDescent="0.45">
      <c r="B344" s="22" t="s">
        <v>144</v>
      </c>
      <c r="C344" s="22" t="s">
        <v>43</v>
      </c>
      <c r="D344" s="151">
        <v>915</v>
      </c>
      <c r="E344" s="20">
        <v>0.8</v>
      </c>
      <c r="F344" s="20">
        <f>'Work Progress (%)'!L353</f>
        <v>0</v>
      </c>
      <c r="G344" s="20">
        <f>'Work Progress (%)'!Y353</f>
        <v>0</v>
      </c>
      <c r="H344" s="20">
        <f>'Work Progress (%)'!AD353</f>
        <v>0</v>
      </c>
      <c r="I344" s="20">
        <f>'Work Progress (%)'!AI353</f>
        <v>0</v>
      </c>
      <c r="J344" s="20">
        <f>'Work Progress (%)'!AQ353</f>
        <v>0</v>
      </c>
      <c r="K344" s="20">
        <f>'Work Progress (%)'!AV353</f>
        <v>0</v>
      </c>
      <c r="L344" s="20">
        <f>'Work Progress (%)'!BD353</f>
        <v>0</v>
      </c>
      <c r="M344" s="20">
        <v>1</v>
      </c>
      <c r="N344" s="20">
        <v>1</v>
      </c>
      <c r="O344" s="20">
        <v>0.2</v>
      </c>
      <c r="P344" s="20">
        <v>0.7</v>
      </c>
      <c r="Q344" s="21">
        <f t="shared" si="36"/>
        <v>0.125</v>
      </c>
    </row>
    <row r="345" spans="2:17" ht="74.25" customHeight="1" x14ac:dyDescent="0.45">
      <c r="B345" s="22" t="s">
        <v>144</v>
      </c>
      <c r="C345" s="22" t="s">
        <v>43</v>
      </c>
      <c r="D345" s="151">
        <v>916</v>
      </c>
      <c r="E345" s="20">
        <v>0.8</v>
      </c>
      <c r="F345" s="20">
        <f>'Work Progress (%)'!L354</f>
        <v>0</v>
      </c>
      <c r="G345" s="20">
        <f>'Work Progress (%)'!Y354</f>
        <v>0</v>
      </c>
      <c r="H345" s="20">
        <f>'Work Progress (%)'!AD354</f>
        <v>0</v>
      </c>
      <c r="I345" s="20">
        <f>'Work Progress (%)'!AI354</f>
        <v>0</v>
      </c>
      <c r="J345" s="20">
        <f>'Work Progress (%)'!AQ354</f>
        <v>0</v>
      </c>
      <c r="K345" s="20">
        <f>'Work Progress (%)'!AV354</f>
        <v>0</v>
      </c>
      <c r="L345" s="20">
        <f>'Work Progress (%)'!BD354</f>
        <v>0</v>
      </c>
      <c r="M345" s="20">
        <v>1</v>
      </c>
      <c r="N345" s="20">
        <v>1</v>
      </c>
      <c r="O345" s="20">
        <v>0.2</v>
      </c>
      <c r="P345" s="20">
        <v>0.7</v>
      </c>
      <c r="Q345" s="21">
        <f t="shared" si="36"/>
        <v>0.125</v>
      </c>
    </row>
    <row r="346" spans="2:17" ht="74.25" customHeight="1" x14ac:dyDescent="0.45">
      <c r="B346" s="22" t="s">
        <v>144</v>
      </c>
      <c r="C346" s="22"/>
      <c r="D346" s="154" t="s">
        <v>44</v>
      </c>
      <c r="E346" s="141">
        <f>AVERAGE(E348:E362)</f>
        <v>0.80000000000000016</v>
      </c>
      <c r="F346" s="141">
        <f t="shared" ref="F346:P346" si="37">AVERAGE(F348:F362)</f>
        <v>0</v>
      </c>
      <c r="G346" s="20">
        <f t="shared" si="37"/>
        <v>0</v>
      </c>
      <c r="H346" s="141">
        <f t="shared" si="37"/>
        <v>0</v>
      </c>
      <c r="I346" s="141">
        <f t="shared" si="37"/>
        <v>0</v>
      </c>
      <c r="J346" s="141">
        <f t="shared" si="37"/>
        <v>0</v>
      </c>
      <c r="K346" s="141">
        <f t="shared" si="37"/>
        <v>0</v>
      </c>
      <c r="L346" s="141">
        <f t="shared" si="37"/>
        <v>0</v>
      </c>
      <c r="M346" s="141">
        <f t="shared" si="37"/>
        <v>1</v>
      </c>
      <c r="N346" s="141">
        <f t="shared" si="37"/>
        <v>1</v>
      </c>
      <c r="O346" s="141">
        <f t="shared" si="37"/>
        <v>0.20000000000000004</v>
      </c>
      <c r="P346" s="141">
        <f t="shared" si="37"/>
        <v>0.69999999999999984</v>
      </c>
      <c r="Q346" s="13">
        <f>AVERAGE(Q347:Q362)</f>
        <v>0.125</v>
      </c>
    </row>
    <row r="347" spans="2:17" ht="74.25" customHeight="1" x14ac:dyDescent="0.45">
      <c r="B347" s="22" t="s">
        <v>144</v>
      </c>
      <c r="C347" s="22" t="s">
        <v>45</v>
      </c>
      <c r="D347" s="151">
        <v>1001</v>
      </c>
      <c r="E347" s="20">
        <v>0.8</v>
      </c>
      <c r="F347" s="20">
        <f>'Work Progress (%)'!L356</f>
        <v>0</v>
      </c>
      <c r="G347" s="20">
        <f>'Work Progress (%)'!Y356</f>
        <v>0</v>
      </c>
      <c r="H347" s="20">
        <f>'Work Progress (%)'!AD356</f>
        <v>0</v>
      </c>
      <c r="I347" s="20">
        <f>'Work Progress (%)'!AI356</f>
        <v>0</v>
      </c>
      <c r="J347" s="20">
        <f>'Work Progress (%)'!AQ356</f>
        <v>0</v>
      </c>
      <c r="K347" s="20">
        <f>'Work Progress (%)'!AV356</f>
        <v>0</v>
      </c>
      <c r="L347" s="20">
        <f>'Work Progress (%)'!BD356</f>
        <v>0</v>
      </c>
      <c r="M347" s="20">
        <v>1</v>
      </c>
      <c r="N347" s="20">
        <v>1</v>
      </c>
      <c r="O347" s="20">
        <v>0.2</v>
      </c>
      <c r="P347" s="20">
        <v>0.7</v>
      </c>
      <c r="Q347" s="21">
        <f t="shared" ref="Q347:Q362" si="38">SUMPRODUCT(E347:P347, E$2:P$2)</f>
        <v>0.125</v>
      </c>
    </row>
    <row r="348" spans="2:17" ht="74.25" customHeight="1" x14ac:dyDescent="0.45">
      <c r="B348" s="22" t="s">
        <v>144</v>
      </c>
      <c r="C348" s="22" t="s">
        <v>45</v>
      </c>
      <c r="D348" s="151">
        <v>1002</v>
      </c>
      <c r="E348" s="20">
        <v>0.8</v>
      </c>
      <c r="F348" s="20">
        <f>'Work Progress (%)'!L357</f>
        <v>0</v>
      </c>
      <c r="G348" s="20">
        <f>'Work Progress (%)'!Y357</f>
        <v>0</v>
      </c>
      <c r="H348" s="20">
        <f>'Work Progress (%)'!AD357</f>
        <v>0</v>
      </c>
      <c r="I348" s="20">
        <f>'Work Progress (%)'!AI357</f>
        <v>0</v>
      </c>
      <c r="J348" s="20">
        <f>'Work Progress (%)'!AQ357</f>
        <v>0</v>
      </c>
      <c r="K348" s="20">
        <f>'Work Progress (%)'!AV357</f>
        <v>0</v>
      </c>
      <c r="L348" s="20">
        <f>'Work Progress (%)'!BD357</f>
        <v>0</v>
      </c>
      <c r="M348" s="20">
        <v>1</v>
      </c>
      <c r="N348" s="20">
        <v>1</v>
      </c>
      <c r="O348" s="20">
        <v>0.2</v>
      </c>
      <c r="P348" s="20">
        <v>0.7</v>
      </c>
      <c r="Q348" s="21">
        <f t="shared" si="38"/>
        <v>0.125</v>
      </c>
    </row>
    <row r="349" spans="2:17" ht="74.25" customHeight="1" x14ac:dyDescent="0.45">
      <c r="B349" s="22" t="s">
        <v>144</v>
      </c>
      <c r="C349" s="22" t="s">
        <v>45</v>
      </c>
      <c r="D349" s="151">
        <v>1003</v>
      </c>
      <c r="E349" s="20">
        <v>0.8</v>
      </c>
      <c r="F349" s="20">
        <f>'Work Progress (%)'!L358</f>
        <v>0</v>
      </c>
      <c r="G349" s="20">
        <f>'Work Progress (%)'!Y358</f>
        <v>0</v>
      </c>
      <c r="H349" s="20">
        <f>'Work Progress (%)'!AD358</f>
        <v>0</v>
      </c>
      <c r="I349" s="20">
        <f>'Work Progress (%)'!AI358</f>
        <v>0</v>
      </c>
      <c r="J349" s="20">
        <f>'Work Progress (%)'!AQ358</f>
        <v>0</v>
      </c>
      <c r="K349" s="20">
        <f>'Work Progress (%)'!AV358</f>
        <v>0</v>
      </c>
      <c r="L349" s="20">
        <f>'Work Progress (%)'!BD358</f>
        <v>0</v>
      </c>
      <c r="M349" s="20">
        <v>1</v>
      </c>
      <c r="N349" s="20">
        <v>1</v>
      </c>
      <c r="O349" s="20">
        <v>0.2</v>
      </c>
      <c r="P349" s="20">
        <v>0.7</v>
      </c>
      <c r="Q349" s="21">
        <f t="shared" si="38"/>
        <v>0.125</v>
      </c>
    </row>
    <row r="350" spans="2:17" ht="74.25" customHeight="1" x14ac:dyDescent="0.45">
      <c r="B350" s="22" t="s">
        <v>144</v>
      </c>
      <c r="C350" s="22" t="s">
        <v>45</v>
      </c>
      <c r="D350" s="151">
        <v>1004</v>
      </c>
      <c r="E350" s="20">
        <v>0.8</v>
      </c>
      <c r="F350" s="20">
        <f>'Work Progress (%)'!L359</f>
        <v>0</v>
      </c>
      <c r="G350" s="20">
        <f>'Work Progress (%)'!Y359</f>
        <v>0</v>
      </c>
      <c r="H350" s="20">
        <f>'Work Progress (%)'!AD359</f>
        <v>0</v>
      </c>
      <c r="I350" s="20">
        <f>'Work Progress (%)'!AI359</f>
        <v>0</v>
      </c>
      <c r="J350" s="20">
        <f>'Work Progress (%)'!AQ359</f>
        <v>0</v>
      </c>
      <c r="K350" s="20">
        <f>'Work Progress (%)'!AV359</f>
        <v>0</v>
      </c>
      <c r="L350" s="20">
        <f>'Work Progress (%)'!BD359</f>
        <v>0</v>
      </c>
      <c r="M350" s="20">
        <v>1</v>
      </c>
      <c r="N350" s="20">
        <v>1</v>
      </c>
      <c r="O350" s="20">
        <v>0.2</v>
      </c>
      <c r="P350" s="20">
        <v>0.7</v>
      </c>
      <c r="Q350" s="21">
        <f t="shared" si="38"/>
        <v>0.125</v>
      </c>
    </row>
    <row r="351" spans="2:17" ht="74.25" customHeight="1" x14ac:dyDescent="0.45">
      <c r="B351" s="22" t="s">
        <v>144</v>
      </c>
      <c r="C351" s="22" t="s">
        <v>45</v>
      </c>
      <c r="D351" s="151">
        <v>1005</v>
      </c>
      <c r="E351" s="20">
        <v>0.8</v>
      </c>
      <c r="F351" s="20">
        <f>'Work Progress (%)'!L360</f>
        <v>0</v>
      </c>
      <c r="G351" s="20">
        <f>'Work Progress (%)'!Y360</f>
        <v>0</v>
      </c>
      <c r="H351" s="20">
        <f>'Work Progress (%)'!AD360</f>
        <v>0</v>
      </c>
      <c r="I351" s="20">
        <f>'Work Progress (%)'!AI360</f>
        <v>0</v>
      </c>
      <c r="J351" s="20">
        <f>'Work Progress (%)'!AQ360</f>
        <v>0</v>
      </c>
      <c r="K351" s="20">
        <f>'Work Progress (%)'!AV360</f>
        <v>0</v>
      </c>
      <c r="L351" s="20">
        <f>'Work Progress (%)'!BD360</f>
        <v>0</v>
      </c>
      <c r="M351" s="20">
        <v>1</v>
      </c>
      <c r="N351" s="20">
        <v>1</v>
      </c>
      <c r="O351" s="20">
        <v>0.2</v>
      </c>
      <c r="P351" s="20">
        <v>0.7</v>
      </c>
      <c r="Q351" s="21">
        <f t="shared" si="38"/>
        <v>0.125</v>
      </c>
    </row>
    <row r="352" spans="2:17" ht="74.25" customHeight="1" x14ac:dyDescent="0.45">
      <c r="B352" s="22" t="s">
        <v>144</v>
      </c>
      <c r="C352" s="22" t="s">
        <v>45</v>
      </c>
      <c r="D352" s="151">
        <v>1006</v>
      </c>
      <c r="E352" s="20">
        <v>0.8</v>
      </c>
      <c r="F352" s="20">
        <f>'Work Progress (%)'!L361</f>
        <v>0</v>
      </c>
      <c r="G352" s="20">
        <f>'Work Progress (%)'!Y361</f>
        <v>0</v>
      </c>
      <c r="H352" s="20">
        <f>'Work Progress (%)'!AD361</f>
        <v>0</v>
      </c>
      <c r="I352" s="20">
        <f>'Work Progress (%)'!AI361</f>
        <v>0</v>
      </c>
      <c r="J352" s="20">
        <f>'Work Progress (%)'!AQ361</f>
        <v>0</v>
      </c>
      <c r="K352" s="20">
        <f>'Work Progress (%)'!AV361</f>
        <v>0</v>
      </c>
      <c r="L352" s="20">
        <f>'Work Progress (%)'!BD361</f>
        <v>0</v>
      </c>
      <c r="M352" s="20">
        <v>1</v>
      </c>
      <c r="N352" s="20">
        <v>1</v>
      </c>
      <c r="O352" s="20">
        <v>0.2</v>
      </c>
      <c r="P352" s="20">
        <v>0.7</v>
      </c>
      <c r="Q352" s="21">
        <f t="shared" si="38"/>
        <v>0.125</v>
      </c>
    </row>
    <row r="353" spans="2:17" ht="74.25" customHeight="1" x14ac:dyDescent="0.45">
      <c r="B353" s="22" t="s">
        <v>144</v>
      </c>
      <c r="C353" s="22" t="s">
        <v>45</v>
      </c>
      <c r="D353" s="151">
        <v>1007</v>
      </c>
      <c r="E353" s="20">
        <v>0.8</v>
      </c>
      <c r="F353" s="20">
        <f>'Work Progress (%)'!L362</f>
        <v>0</v>
      </c>
      <c r="G353" s="20">
        <f>'Work Progress (%)'!Y362</f>
        <v>0</v>
      </c>
      <c r="H353" s="20">
        <f>'Work Progress (%)'!AD362</f>
        <v>0</v>
      </c>
      <c r="I353" s="20">
        <f>'Work Progress (%)'!AI362</f>
        <v>0</v>
      </c>
      <c r="J353" s="20">
        <f>'Work Progress (%)'!AQ362</f>
        <v>0</v>
      </c>
      <c r="K353" s="20">
        <f>'Work Progress (%)'!AV362</f>
        <v>0</v>
      </c>
      <c r="L353" s="20">
        <f>'Work Progress (%)'!BD362</f>
        <v>0</v>
      </c>
      <c r="M353" s="20">
        <v>1</v>
      </c>
      <c r="N353" s="20">
        <v>1</v>
      </c>
      <c r="O353" s="20">
        <v>0.2</v>
      </c>
      <c r="P353" s="20">
        <v>0.7</v>
      </c>
      <c r="Q353" s="21">
        <f t="shared" si="38"/>
        <v>0.125</v>
      </c>
    </row>
    <row r="354" spans="2:17" ht="74.25" customHeight="1" x14ac:dyDescent="0.45">
      <c r="B354" s="22" t="s">
        <v>144</v>
      </c>
      <c r="C354" s="22" t="s">
        <v>45</v>
      </c>
      <c r="D354" s="151">
        <v>1008</v>
      </c>
      <c r="E354" s="20">
        <v>0.8</v>
      </c>
      <c r="F354" s="20">
        <f>'Work Progress (%)'!L363</f>
        <v>0</v>
      </c>
      <c r="G354" s="20">
        <f>'Work Progress (%)'!Y363</f>
        <v>0</v>
      </c>
      <c r="H354" s="20">
        <f>'Work Progress (%)'!AD363</f>
        <v>0</v>
      </c>
      <c r="I354" s="20">
        <f>'Work Progress (%)'!AI363</f>
        <v>0</v>
      </c>
      <c r="J354" s="20">
        <f>'Work Progress (%)'!AQ363</f>
        <v>0</v>
      </c>
      <c r="K354" s="20">
        <f>'Work Progress (%)'!AV363</f>
        <v>0</v>
      </c>
      <c r="L354" s="20">
        <f>'Work Progress (%)'!BD363</f>
        <v>0</v>
      </c>
      <c r="M354" s="20">
        <v>1</v>
      </c>
      <c r="N354" s="20">
        <v>1</v>
      </c>
      <c r="O354" s="20">
        <v>0.2</v>
      </c>
      <c r="P354" s="20">
        <v>0.7</v>
      </c>
      <c r="Q354" s="21">
        <f t="shared" si="38"/>
        <v>0.125</v>
      </c>
    </row>
    <row r="355" spans="2:17" ht="74.25" customHeight="1" x14ac:dyDescent="0.45">
      <c r="B355" s="22" t="s">
        <v>144</v>
      </c>
      <c r="C355" s="22" t="s">
        <v>45</v>
      </c>
      <c r="D355" s="151">
        <v>1009</v>
      </c>
      <c r="E355" s="20">
        <v>0.8</v>
      </c>
      <c r="F355" s="20">
        <f>'Work Progress (%)'!L364</f>
        <v>0</v>
      </c>
      <c r="G355" s="20">
        <f>'Work Progress (%)'!Y364</f>
        <v>0</v>
      </c>
      <c r="H355" s="20">
        <f>'Work Progress (%)'!AD364</f>
        <v>0</v>
      </c>
      <c r="I355" s="20">
        <f>'Work Progress (%)'!AI364</f>
        <v>0</v>
      </c>
      <c r="J355" s="20">
        <f>'Work Progress (%)'!AQ364</f>
        <v>0</v>
      </c>
      <c r="K355" s="20">
        <f>'Work Progress (%)'!AV364</f>
        <v>0</v>
      </c>
      <c r="L355" s="20">
        <f>'Work Progress (%)'!BD364</f>
        <v>0</v>
      </c>
      <c r="M355" s="20">
        <v>1</v>
      </c>
      <c r="N355" s="20">
        <v>1</v>
      </c>
      <c r="O355" s="20">
        <v>0.2</v>
      </c>
      <c r="P355" s="20">
        <v>0.7</v>
      </c>
      <c r="Q355" s="21">
        <f t="shared" si="38"/>
        <v>0.125</v>
      </c>
    </row>
    <row r="356" spans="2:17" ht="74.25" customHeight="1" x14ac:dyDescent="0.45">
      <c r="B356" s="22" t="s">
        <v>144</v>
      </c>
      <c r="C356" s="22" t="s">
        <v>45</v>
      </c>
      <c r="D356" s="151">
        <v>1010</v>
      </c>
      <c r="E356" s="20">
        <v>0.8</v>
      </c>
      <c r="F356" s="20">
        <f>'Work Progress (%)'!L365</f>
        <v>0</v>
      </c>
      <c r="G356" s="20">
        <f>'Work Progress (%)'!Y365</f>
        <v>0</v>
      </c>
      <c r="H356" s="20">
        <f>'Work Progress (%)'!AD365</f>
        <v>0</v>
      </c>
      <c r="I356" s="20">
        <f>'Work Progress (%)'!AI365</f>
        <v>0</v>
      </c>
      <c r="J356" s="20">
        <f>'Work Progress (%)'!AQ365</f>
        <v>0</v>
      </c>
      <c r="K356" s="20">
        <f>'Work Progress (%)'!AV365</f>
        <v>0</v>
      </c>
      <c r="L356" s="20">
        <f>'Work Progress (%)'!BD365</f>
        <v>0</v>
      </c>
      <c r="M356" s="20">
        <v>1</v>
      </c>
      <c r="N356" s="20">
        <v>1</v>
      </c>
      <c r="O356" s="20">
        <v>0.2</v>
      </c>
      <c r="P356" s="20">
        <v>0.7</v>
      </c>
      <c r="Q356" s="21">
        <f t="shared" si="38"/>
        <v>0.125</v>
      </c>
    </row>
    <row r="357" spans="2:17" ht="74.25" customHeight="1" x14ac:dyDescent="0.45">
      <c r="B357" s="22" t="s">
        <v>144</v>
      </c>
      <c r="C357" s="22" t="s">
        <v>45</v>
      </c>
      <c r="D357" s="151">
        <v>1011</v>
      </c>
      <c r="E357" s="20">
        <v>0.8</v>
      </c>
      <c r="F357" s="20">
        <f>'Work Progress (%)'!L366</f>
        <v>0</v>
      </c>
      <c r="G357" s="20">
        <f>'Work Progress (%)'!Y366</f>
        <v>0</v>
      </c>
      <c r="H357" s="20">
        <f>'Work Progress (%)'!AD366</f>
        <v>0</v>
      </c>
      <c r="I357" s="20">
        <f>'Work Progress (%)'!AI366</f>
        <v>0</v>
      </c>
      <c r="J357" s="20">
        <f>'Work Progress (%)'!AQ366</f>
        <v>0</v>
      </c>
      <c r="K357" s="20">
        <f>'Work Progress (%)'!AV366</f>
        <v>0</v>
      </c>
      <c r="L357" s="20">
        <f>'Work Progress (%)'!BD366</f>
        <v>0</v>
      </c>
      <c r="M357" s="20">
        <v>1</v>
      </c>
      <c r="N357" s="20">
        <v>1</v>
      </c>
      <c r="O357" s="20">
        <v>0.2</v>
      </c>
      <c r="P357" s="20">
        <v>0.7</v>
      </c>
      <c r="Q357" s="21">
        <f t="shared" si="38"/>
        <v>0.125</v>
      </c>
    </row>
    <row r="358" spans="2:17" ht="74.25" customHeight="1" x14ac:dyDescent="0.45">
      <c r="B358" s="22" t="s">
        <v>144</v>
      </c>
      <c r="C358" s="22" t="s">
        <v>45</v>
      </c>
      <c r="D358" s="151">
        <v>1012</v>
      </c>
      <c r="E358" s="20">
        <v>0.8</v>
      </c>
      <c r="F358" s="20">
        <f>'Work Progress (%)'!L367</f>
        <v>0</v>
      </c>
      <c r="G358" s="20">
        <f>'Work Progress (%)'!Y367</f>
        <v>0</v>
      </c>
      <c r="H358" s="20">
        <f>'Work Progress (%)'!AD367</f>
        <v>0</v>
      </c>
      <c r="I358" s="20">
        <f>'Work Progress (%)'!AI367</f>
        <v>0</v>
      </c>
      <c r="J358" s="20">
        <f>'Work Progress (%)'!AQ367</f>
        <v>0</v>
      </c>
      <c r="K358" s="20">
        <f>'Work Progress (%)'!AV367</f>
        <v>0</v>
      </c>
      <c r="L358" s="20">
        <f>'Work Progress (%)'!BD367</f>
        <v>0</v>
      </c>
      <c r="M358" s="20">
        <v>1</v>
      </c>
      <c r="N358" s="20">
        <v>1</v>
      </c>
      <c r="O358" s="20">
        <v>0.2</v>
      </c>
      <c r="P358" s="20">
        <v>0.7</v>
      </c>
      <c r="Q358" s="21">
        <f t="shared" si="38"/>
        <v>0.125</v>
      </c>
    </row>
    <row r="359" spans="2:17" ht="74.25" customHeight="1" x14ac:dyDescent="0.45">
      <c r="B359" s="22" t="s">
        <v>144</v>
      </c>
      <c r="C359" s="22" t="s">
        <v>45</v>
      </c>
      <c r="D359" s="151">
        <v>1013</v>
      </c>
      <c r="E359" s="20">
        <v>0.8</v>
      </c>
      <c r="F359" s="20">
        <f>'Work Progress (%)'!L368</f>
        <v>0</v>
      </c>
      <c r="G359" s="20">
        <f>'Work Progress (%)'!Y368</f>
        <v>0</v>
      </c>
      <c r="H359" s="20">
        <f>'Work Progress (%)'!AD368</f>
        <v>0</v>
      </c>
      <c r="I359" s="20">
        <f>'Work Progress (%)'!AI368</f>
        <v>0</v>
      </c>
      <c r="J359" s="20">
        <f>'Work Progress (%)'!AQ368</f>
        <v>0</v>
      </c>
      <c r="K359" s="20">
        <f>'Work Progress (%)'!AV368</f>
        <v>0</v>
      </c>
      <c r="L359" s="20">
        <f>'Work Progress (%)'!BD368</f>
        <v>0</v>
      </c>
      <c r="M359" s="20">
        <v>1</v>
      </c>
      <c r="N359" s="20">
        <v>1</v>
      </c>
      <c r="O359" s="20">
        <v>0.2</v>
      </c>
      <c r="P359" s="20">
        <v>0.7</v>
      </c>
      <c r="Q359" s="21">
        <f t="shared" si="38"/>
        <v>0.125</v>
      </c>
    </row>
    <row r="360" spans="2:17" ht="74.25" customHeight="1" x14ac:dyDescent="0.45">
      <c r="B360" s="22" t="s">
        <v>144</v>
      </c>
      <c r="C360" s="22" t="s">
        <v>45</v>
      </c>
      <c r="D360" s="151">
        <v>1014</v>
      </c>
      <c r="E360" s="20">
        <v>0.8</v>
      </c>
      <c r="F360" s="20">
        <f>'Work Progress (%)'!L369</f>
        <v>0</v>
      </c>
      <c r="G360" s="20">
        <f>'Work Progress (%)'!Y369</f>
        <v>0</v>
      </c>
      <c r="H360" s="20">
        <f>'Work Progress (%)'!AD369</f>
        <v>0</v>
      </c>
      <c r="I360" s="20">
        <f>'Work Progress (%)'!AI369</f>
        <v>0</v>
      </c>
      <c r="J360" s="20">
        <f>'Work Progress (%)'!AQ369</f>
        <v>0</v>
      </c>
      <c r="K360" s="20">
        <f>'Work Progress (%)'!AV369</f>
        <v>0</v>
      </c>
      <c r="L360" s="20">
        <f>'Work Progress (%)'!BD369</f>
        <v>0</v>
      </c>
      <c r="M360" s="20">
        <v>1</v>
      </c>
      <c r="N360" s="20">
        <v>1</v>
      </c>
      <c r="O360" s="20">
        <v>0.2</v>
      </c>
      <c r="P360" s="20">
        <v>0.7</v>
      </c>
      <c r="Q360" s="21">
        <f t="shared" si="38"/>
        <v>0.125</v>
      </c>
    </row>
    <row r="361" spans="2:17" ht="74.25" customHeight="1" x14ac:dyDescent="0.45">
      <c r="B361" s="22" t="s">
        <v>144</v>
      </c>
      <c r="C361" s="22" t="s">
        <v>45</v>
      </c>
      <c r="D361" s="151">
        <v>1015</v>
      </c>
      <c r="E361" s="20">
        <v>0.8</v>
      </c>
      <c r="F361" s="20">
        <f>'Work Progress (%)'!L370</f>
        <v>0</v>
      </c>
      <c r="G361" s="20">
        <f>'Work Progress (%)'!Y370</f>
        <v>0</v>
      </c>
      <c r="H361" s="20">
        <f>'Work Progress (%)'!AD370</f>
        <v>0</v>
      </c>
      <c r="I361" s="20">
        <f>'Work Progress (%)'!AI370</f>
        <v>0</v>
      </c>
      <c r="J361" s="20">
        <f>'Work Progress (%)'!AQ370</f>
        <v>0</v>
      </c>
      <c r="K361" s="20">
        <f>'Work Progress (%)'!AV370</f>
        <v>0</v>
      </c>
      <c r="L361" s="20">
        <f>'Work Progress (%)'!BD370</f>
        <v>0</v>
      </c>
      <c r="M361" s="20">
        <v>1</v>
      </c>
      <c r="N361" s="20">
        <v>1</v>
      </c>
      <c r="O361" s="20">
        <v>0.2</v>
      </c>
      <c r="P361" s="20">
        <v>0.7</v>
      </c>
      <c r="Q361" s="21">
        <f t="shared" si="38"/>
        <v>0.125</v>
      </c>
    </row>
    <row r="362" spans="2:17" ht="74.25" customHeight="1" x14ac:dyDescent="0.45">
      <c r="B362" s="22" t="s">
        <v>144</v>
      </c>
      <c r="C362" s="22" t="s">
        <v>45</v>
      </c>
      <c r="D362" s="151">
        <v>1016</v>
      </c>
      <c r="E362" s="20">
        <v>0.8</v>
      </c>
      <c r="F362" s="20">
        <f>'Work Progress (%)'!L371</f>
        <v>0</v>
      </c>
      <c r="G362" s="20">
        <f>'Work Progress (%)'!Y371</f>
        <v>0</v>
      </c>
      <c r="H362" s="20">
        <f>'Work Progress (%)'!AD371</f>
        <v>0</v>
      </c>
      <c r="I362" s="20">
        <f>'Work Progress (%)'!AI371</f>
        <v>0</v>
      </c>
      <c r="J362" s="20">
        <f>'Work Progress (%)'!AQ371</f>
        <v>0</v>
      </c>
      <c r="K362" s="20">
        <f>'Work Progress (%)'!AV371</f>
        <v>0</v>
      </c>
      <c r="L362" s="20">
        <f>'Work Progress (%)'!BD371</f>
        <v>0</v>
      </c>
      <c r="M362" s="20">
        <v>1</v>
      </c>
      <c r="N362" s="20">
        <v>1</v>
      </c>
      <c r="O362" s="20">
        <v>0.2</v>
      </c>
      <c r="P362" s="20">
        <v>0.7</v>
      </c>
      <c r="Q362" s="21">
        <f t="shared" si="38"/>
        <v>0.125</v>
      </c>
    </row>
    <row r="363" spans="2:17" ht="74.25" customHeight="1" x14ac:dyDescent="0.45">
      <c r="B363" s="22" t="s">
        <v>144</v>
      </c>
      <c r="C363" s="22"/>
      <c r="D363" s="154" t="s">
        <v>46</v>
      </c>
      <c r="E363" s="141">
        <f>AVERAGE(E365:E379)</f>
        <v>0.90000000000000024</v>
      </c>
      <c r="F363" s="141">
        <f t="shared" ref="F363:P363" si="39">AVERAGE(F365:F379)</f>
        <v>0</v>
      </c>
      <c r="G363" s="20">
        <f t="shared" si="39"/>
        <v>0</v>
      </c>
      <c r="H363" s="141">
        <f t="shared" si="39"/>
        <v>0</v>
      </c>
      <c r="I363" s="141">
        <f t="shared" si="39"/>
        <v>0</v>
      </c>
      <c r="J363" s="141">
        <f t="shared" si="39"/>
        <v>0</v>
      </c>
      <c r="K363" s="141">
        <f t="shared" si="39"/>
        <v>0</v>
      </c>
      <c r="L363" s="141">
        <f t="shared" si="39"/>
        <v>0</v>
      </c>
      <c r="M363" s="141">
        <f t="shared" si="39"/>
        <v>1</v>
      </c>
      <c r="N363" s="141">
        <f t="shared" si="39"/>
        <v>1</v>
      </c>
      <c r="O363" s="141">
        <f t="shared" si="39"/>
        <v>0.20000000000000004</v>
      </c>
      <c r="P363" s="141">
        <f t="shared" si="39"/>
        <v>0.69999999999999984</v>
      </c>
      <c r="Q363" s="14">
        <f>AVERAGE(Q364:Q379)</f>
        <v>0.13700000000000001</v>
      </c>
    </row>
    <row r="364" spans="2:17" ht="74.25" customHeight="1" x14ac:dyDescent="0.45">
      <c r="B364" s="22" t="s">
        <v>144</v>
      </c>
      <c r="C364" s="22" t="s">
        <v>47</v>
      </c>
      <c r="D364" s="151">
        <v>1101</v>
      </c>
      <c r="E364" s="20">
        <v>0.9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1</v>
      </c>
      <c r="N364" s="20">
        <v>1</v>
      </c>
      <c r="O364" s="20">
        <v>0.2</v>
      </c>
      <c r="P364" s="20">
        <v>0.7</v>
      </c>
      <c r="Q364" s="21">
        <f t="shared" ref="Q364:Q379" si="40">SUMPRODUCT(E364:P364, E$2:P$2)</f>
        <v>0.13700000000000001</v>
      </c>
    </row>
    <row r="365" spans="2:17" ht="74.25" customHeight="1" x14ac:dyDescent="0.45">
      <c r="B365" s="22" t="s">
        <v>144</v>
      </c>
      <c r="C365" s="22" t="s">
        <v>47</v>
      </c>
      <c r="D365" s="151">
        <v>1102</v>
      </c>
      <c r="E365" s="20">
        <v>0.9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1</v>
      </c>
      <c r="N365" s="20">
        <v>1</v>
      </c>
      <c r="O365" s="20">
        <v>0.2</v>
      </c>
      <c r="P365" s="20">
        <v>0.7</v>
      </c>
      <c r="Q365" s="21">
        <f t="shared" si="40"/>
        <v>0.13700000000000001</v>
      </c>
    </row>
    <row r="366" spans="2:17" ht="74.25" customHeight="1" x14ac:dyDescent="0.45">
      <c r="B366" s="22" t="s">
        <v>144</v>
      </c>
      <c r="C366" s="22" t="s">
        <v>47</v>
      </c>
      <c r="D366" s="151">
        <v>1103</v>
      </c>
      <c r="E366" s="20">
        <v>0.9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1</v>
      </c>
      <c r="N366" s="20">
        <v>1</v>
      </c>
      <c r="O366" s="20">
        <v>0.2</v>
      </c>
      <c r="P366" s="20">
        <v>0.7</v>
      </c>
      <c r="Q366" s="21">
        <f t="shared" si="40"/>
        <v>0.13700000000000001</v>
      </c>
    </row>
    <row r="367" spans="2:17" ht="74.25" customHeight="1" x14ac:dyDescent="0.45">
      <c r="B367" s="22" t="s">
        <v>144</v>
      </c>
      <c r="C367" s="22" t="s">
        <v>47</v>
      </c>
      <c r="D367" s="151">
        <v>1104</v>
      </c>
      <c r="E367" s="20">
        <v>0.9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1</v>
      </c>
      <c r="N367" s="20">
        <v>1</v>
      </c>
      <c r="O367" s="20">
        <v>0.2</v>
      </c>
      <c r="P367" s="20">
        <v>0.7</v>
      </c>
      <c r="Q367" s="21">
        <f t="shared" si="40"/>
        <v>0.13700000000000001</v>
      </c>
    </row>
    <row r="368" spans="2:17" ht="74.25" customHeight="1" x14ac:dyDescent="0.45">
      <c r="B368" s="22" t="s">
        <v>144</v>
      </c>
      <c r="C368" s="22" t="s">
        <v>47</v>
      </c>
      <c r="D368" s="151">
        <v>1105</v>
      </c>
      <c r="E368" s="20">
        <v>0.9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1</v>
      </c>
      <c r="N368" s="20">
        <v>1</v>
      </c>
      <c r="O368" s="20">
        <v>0.2</v>
      </c>
      <c r="P368" s="20">
        <v>0.7</v>
      </c>
      <c r="Q368" s="21">
        <f t="shared" si="40"/>
        <v>0.13700000000000001</v>
      </c>
    </row>
    <row r="369" spans="2:17" ht="74.25" customHeight="1" x14ac:dyDescent="0.45">
      <c r="B369" s="22" t="s">
        <v>144</v>
      </c>
      <c r="C369" s="22" t="s">
        <v>47</v>
      </c>
      <c r="D369" s="151">
        <v>1106</v>
      </c>
      <c r="E369" s="20">
        <v>0.9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1</v>
      </c>
      <c r="N369" s="20">
        <v>1</v>
      </c>
      <c r="O369" s="20">
        <v>0.2</v>
      </c>
      <c r="P369" s="20">
        <v>0.7</v>
      </c>
      <c r="Q369" s="21">
        <f t="shared" si="40"/>
        <v>0.13700000000000001</v>
      </c>
    </row>
    <row r="370" spans="2:17" ht="74.25" customHeight="1" x14ac:dyDescent="0.45">
      <c r="B370" s="22" t="s">
        <v>144</v>
      </c>
      <c r="C370" s="22" t="s">
        <v>47</v>
      </c>
      <c r="D370" s="151">
        <v>1107</v>
      </c>
      <c r="E370" s="20">
        <v>0.9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1</v>
      </c>
      <c r="N370" s="20">
        <v>1</v>
      </c>
      <c r="O370" s="20">
        <v>0.2</v>
      </c>
      <c r="P370" s="20">
        <v>0.7</v>
      </c>
      <c r="Q370" s="21">
        <f t="shared" si="40"/>
        <v>0.13700000000000001</v>
      </c>
    </row>
    <row r="371" spans="2:17" ht="74.25" customHeight="1" x14ac:dyDescent="0.45">
      <c r="B371" s="22" t="s">
        <v>144</v>
      </c>
      <c r="C371" s="22" t="s">
        <v>47</v>
      </c>
      <c r="D371" s="151">
        <v>1108</v>
      </c>
      <c r="E371" s="20">
        <v>0.9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1</v>
      </c>
      <c r="N371" s="20">
        <v>1</v>
      </c>
      <c r="O371" s="20">
        <v>0.2</v>
      </c>
      <c r="P371" s="20">
        <v>0.7</v>
      </c>
      <c r="Q371" s="21">
        <f t="shared" si="40"/>
        <v>0.13700000000000001</v>
      </c>
    </row>
    <row r="372" spans="2:17" ht="74.25" customHeight="1" x14ac:dyDescent="0.45">
      <c r="B372" s="22" t="s">
        <v>144</v>
      </c>
      <c r="C372" s="22" t="s">
        <v>47</v>
      </c>
      <c r="D372" s="151">
        <v>1109</v>
      </c>
      <c r="E372" s="20">
        <v>0.9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1</v>
      </c>
      <c r="N372" s="20">
        <v>1</v>
      </c>
      <c r="O372" s="20">
        <v>0.2</v>
      </c>
      <c r="P372" s="20">
        <v>0.7</v>
      </c>
      <c r="Q372" s="21">
        <f t="shared" si="40"/>
        <v>0.13700000000000001</v>
      </c>
    </row>
    <row r="373" spans="2:17" ht="74.25" customHeight="1" x14ac:dyDescent="0.45">
      <c r="B373" s="22" t="s">
        <v>144</v>
      </c>
      <c r="C373" s="22" t="s">
        <v>47</v>
      </c>
      <c r="D373" s="151">
        <v>1110</v>
      </c>
      <c r="E373" s="20">
        <v>0.9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1</v>
      </c>
      <c r="N373" s="20">
        <v>1</v>
      </c>
      <c r="O373" s="20">
        <v>0.2</v>
      </c>
      <c r="P373" s="20">
        <v>0.7</v>
      </c>
      <c r="Q373" s="21">
        <f t="shared" si="40"/>
        <v>0.13700000000000001</v>
      </c>
    </row>
    <row r="374" spans="2:17" ht="74.25" customHeight="1" x14ac:dyDescent="0.45">
      <c r="B374" s="22" t="s">
        <v>144</v>
      </c>
      <c r="C374" s="22" t="s">
        <v>47</v>
      </c>
      <c r="D374" s="151">
        <v>1111</v>
      </c>
      <c r="E374" s="20">
        <v>0.9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1</v>
      </c>
      <c r="N374" s="20">
        <v>1</v>
      </c>
      <c r="O374" s="20">
        <v>0.2</v>
      </c>
      <c r="P374" s="20">
        <v>0.7</v>
      </c>
      <c r="Q374" s="21">
        <f t="shared" si="40"/>
        <v>0.13700000000000001</v>
      </c>
    </row>
    <row r="375" spans="2:17" ht="74.25" customHeight="1" x14ac:dyDescent="0.45">
      <c r="B375" s="22" t="s">
        <v>144</v>
      </c>
      <c r="C375" s="22" t="s">
        <v>47</v>
      </c>
      <c r="D375" s="151">
        <v>1112</v>
      </c>
      <c r="E375" s="20">
        <v>0.9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1</v>
      </c>
      <c r="N375" s="20">
        <v>1</v>
      </c>
      <c r="O375" s="20">
        <v>0.2</v>
      </c>
      <c r="P375" s="20">
        <v>0.7</v>
      </c>
      <c r="Q375" s="21">
        <f t="shared" si="40"/>
        <v>0.13700000000000001</v>
      </c>
    </row>
    <row r="376" spans="2:17" ht="74.25" customHeight="1" x14ac:dyDescent="0.45">
      <c r="B376" s="22" t="s">
        <v>144</v>
      </c>
      <c r="C376" s="22" t="s">
        <v>47</v>
      </c>
      <c r="D376" s="151">
        <v>1113</v>
      </c>
      <c r="E376" s="20">
        <v>0.9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1</v>
      </c>
      <c r="N376" s="20">
        <v>1</v>
      </c>
      <c r="O376" s="20">
        <v>0.2</v>
      </c>
      <c r="P376" s="20">
        <v>0.7</v>
      </c>
      <c r="Q376" s="21">
        <f t="shared" si="40"/>
        <v>0.13700000000000001</v>
      </c>
    </row>
    <row r="377" spans="2:17" ht="74.25" customHeight="1" x14ac:dyDescent="0.45">
      <c r="B377" s="22" t="s">
        <v>144</v>
      </c>
      <c r="C377" s="22" t="s">
        <v>47</v>
      </c>
      <c r="D377" s="151">
        <v>1114</v>
      </c>
      <c r="E377" s="20">
        <v>0.9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1</v>
      </c>
      <c r="N377" s="20">
        <v>1</v>
      </c>
      <c r="O377" s="20">
        <v>0.2</v>
      </c>
      <c r="P377" s="20">
        <v>0.7</v>
      </c>
      <c r="Q377" s="21">
        <f t="shared" si="40"/>
        <v>0.13700000000000001</v>
      </c>
    </row>
    <row r="378" spans="2:17" ht="74.25" customHeight="1" x14ac:dyDescent="0.45">
      <c r="B378" s="22" t="s">
        <v>144</v>
      </c>
      <c r="C378" s="22" t="s">
        <v>47</v>
      </c>
      <c r="D378" s="151">
        <v>1115</v>
      </c>
      <c r="E378" s="20">
        <v>0.9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1</v>
      </c>
      <c r="N378" s="20">
        <v>1</v>
      </c>
      <c r="O378" s="20">
        <v>0.2</v>
      </c>
      <c r="P378" s="20">
        <v>0.7</v>
      </c>
      <c r="Q378" s="21">
        <f t="shared" si="40"/>
        <v>0.13700000000000001</v>
      </c>
    </row>
    <row r="379" spans="2:17" ht="74.25" customHeight="1" thickBot="1" x14ac:dyDescent="0.5">
      <c r="B379" s="22" t="s">
        <v>144</v>
      </c>
      <c r="C379" s="22" t="s">
        <v>47</v>
      </c>
      <c r="D379" s="152">
        <v>1116</v>
      </c>
      <c r="E379" s="20">
        <v>0.9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1</v>
      </c>
      <c r="N379" s="20">
        <v>1</v>
      </c>
      <c r="O379" s="20">
        <v>0.2</v>
      </c>
      <c r="P379" s="20">
        <v>0.7</v>
      </c>
      <c r="Q379" s="21">
        <f t="shared" si="40"/>
        <v>0.13700000000000001</v>
      </c>
    </row>
    <row r="380" spans="2:17" ht="74.25" customHeight="1" x14ac:dyDescent="0.5">
      <c r="B380" s="22"/>
      <c r="C380" s="22"/>
      <c r="D380" s="153" t="s">
        <v>105</v>
      </c>
      <c r="E380" s="141">
        <f>AVERAGE(E381,E398,E432,E466,E449,E415,E483,E500,E517,E534,E551)</f>
        <v>8.1818181818181845E-2</v>
      </c>
      <c r="F380" s="141">
        <f>AVERAGE(F381,F398,F432,F466,F449,F415,F483,F500,F517,F534,F551)*1.18</f>
        <v>0</v>
      </c>
      <c r="G380" s="141">
        <f>AVERAGE(G381,G398,G432,G466,G449,G415,G483,G500,G517,G534,G551)*1.05</f>
        <v>0</v>
      </c>
      <c r="H380" s="141">
        <f>AVERAGE(H381,H398,H432,H466,H449,H415,H483,H500,H517,H534,H551)*1.15</f>
        <v>0</v>
      </c>
      <c r="I380" s="141">
        <f>AVERAGE(I381,I398,I432,I466,I449,I415,I483,I500,I517,I534,I551)*1.1</f>
        <v>0</v>
      </c>
      <c r="J380" s="141">
        <f>AVERAGE(J381,J398,J432,J466,J449,J415,J483,J500,J517,J534,J551)*1.1</f>
        <v>0</v>
      </c>
      <c r="K380" s="141">
        <f>AVERAGE(K381,K398,K432,K466,K449,K415,K483,K500,K517,K534,K551)*1.15</f>
        <v>0</v>
      </c>
      <c r="L380" s="141">
        <f>AVERAGE(L381,L398,L432,L466,L449,L415,L483,L500,L517,L534,L551)</f>
        <v>0</v>
      </c>
      <c r="M380" s="141">
        <f>AVERAGE(M381,M398,M432,M466,M449,M415,M483,M500,M517,M534,M551)</f>
        <v>1</v>
      </c>
      <c r="N380" s="141">
        <f>AVERAGE(N381,N398,N432,N466,N449,N415,N483,N500,N517,N534,N551)</f>
        <v>1</v>
      </c>
      <c r="O380" s="141">
        <f>AVERAGE(O381,O398,O432,O466,O449,O415,O483,O500,O517,O534,O551)</f>
        <v>0.2</v>
      </c>
      <c r="P380" s="141">
        <f>AVERAGE(P381,P398,P432,P466,P449,P415,P483,P500,P517,P534,P551)</f>
        <v>0.71818181818181825</v>
      </c>
      <c r="Q380" s="14">
        <f t="shared" ref="Q380:Q431" si="41">SUMPRODUCT(E380:P380, E$2:P$2)</f>
        <v>3.9000000000000007E-2</v>
      </c>
    </row>
    <row r="381" spans="2:17" ht="74.25" customHeight="1" x14ac:dyDescent="0.4">
      <c r="B381" s="22" t="s">
        <v>145</v>
      </c>
      <c r="C381" s="22"/>
      <c r="D381" s="154" t="s">
        <v>26</v>
      </c>
      <c r="E381" s="141">
        <f>AVERAGE(E383:E397)</f>
        <v>0</v>
      </c>
      <c r="F381" s="141">
        <f t="shared" ref="F381:P381" si="42">AVERAGE(F383:F397)</f>
        <v>0</v>
      </c>
      <c r="G381" s="141">
        <f t="shared" si="42"/>
        <v>0</v>
      </c>
      <c r="H381" s="141">
        <f t="shared" si="42"/>
        <v>0</v>
      </c>
      <c r="I381" s="141">
        <f t="shared" si="42"/>
        <v>0</v>
      </c>
      <c r="J381" s="141">
        <f t="shared" si="42"/>
        <v>0</v>
      </c>
      <c r="K381" s="141">
        <f t="shared" si="42"/>
        <v>0</v>
      </c>
      <c r="L381" s="141">
        <f t="shared" si="42"/>
        <v>0</v>
      </c>
      <c r="M381" s="141">
        <f t="shared" si="42"/>
        <v>1</v>
      </c>
      <c r="N381" s="141">
        <f t="shared" si="42"/>
        <v>1</v>
      </c>
      <c r="O381" s="141">
        <f t="shared" si="42"/>
        <v>0.20000000000000004</v>
      </c>
      <c r="P381" s="141">
        <f t="shared" si="42"/>
        <v>0.90000000000000024</v>
      </c>
      <c r="Q381" s="14">
        <f t="shared" si="41"/>
        <v>3.1000000000000007E-2</v>
      </c>
    </row>
    <row r="382" spans="2:17" ht="74.25" customHeight="1" x14ac:dyDescent="0.45">
      <c r="B382" s="22" t="s">
        <v>145</v>
      </c>
      <c r="C382" s="22" t="s">
        <v>27</v>
      </c>
      <c r="D382" s="150">
        <v>101</v>
      </c>
      <c r="E382" s="20">
        <f>'Work Progress (%)'!G392</f>
        <v>0</v>
      </c>
      <c r="F382" s="20">
        <f>'Work Progress (%)'!L392</f>
        <v>0</v>
      </c>
      <c r="G382" s="20">
        <f>'Work Progress (%)'!Y392</f>
        <v>0</v>
      </c>
      <c r="H382" s="20">
        <f>'Work Progress (%)'!AD392</f>
        <v>0</v>
      </c>
      <c r="I382" s="20">
        <f>'Work Progress (%)'!AI392</f>
        <v>0</v>
      </c>
      <c r="J382" s="20">
        <f>'Work Progress (%)'!AQ392</f>
        <v>0</v>
      </c>
      <c r="K382" s="20">
        <f>'Work Progress (%)'!AV392</f>
        <v>0</v>
      </c>
      <c r="L382" s="20">
        <f>'Work Progress (%)'!BD392</f>
        <v>0</v>
      </c>
      <c r="M382" s="20">
        <v>1</v>
      </c>
      <c r="N382" s="20">
        <v>1</v>
      </c>
      <c r="O382" s="20">
        <v>0.2</v>
      </c>
      <c r="P382" s="20">
        <v>0.9</v>
      </c>
      <c r="Q382" s="21">
        <f t="shared" si="41"/>
        <v>3.1E-2</v>
      </c>
    </row>
    <row r="383" spans="2:17" ht="74.25" customHeight="1" x14ac:dyDescent="0.45">
      <c r="B383" s="22" t="s">
        <v>145</v>
      </c>
      <c r="C383" s="22" t="s">
        <v>27</v>
      </c>
      <c r="D383" s="151">
        <v>102</v>
      </c>
      <c r="E383" s="20">
        <f>'Work Progress (%)'!G393</f>
        <v>0</v>
      </c>
      <c r="F383" s="20">
        <f>'Work Progress (%)'!L393</f>
        <v>0</v>
      </c>
      <c r="G383" s="20">
        <f>'Work Progress (%)'!Y393</f>
        <v>0</v>
      </c>
      <c r="H383" s="20">
        <f>'Work Progress (%)'!AD393</f>
        <v>0</v>
      </c>
      <c r="I383" s="20">
        <f>'Work Progress (%)'!AI393</f>
        <v>0</v>
      </c>
      <c r="J383" s="20">
        <f>'Work Progress (%)'!AQ393</f>
        <v>0</v>
      </c>
      <c r="K383" s="20">
        <f>'Work Progress (%)'!AV393</f>
        <v>0</v>
      </c>
      <c r="L383" s="20">
        <f>'Work Progress (%)'!BD393</f>
        <v>0</v>
      </c>
      <c r="M383" s="20">
        <v>1</v>
      </c>
      <c r="N383" s="20">
        <v>1</v>
      </c>
      <c r="O383" s="20">
        <v>0.2</v>
      </c>
      <c r="P383" s="20">
        <v>0.9</v>
      </c>
      <c r="Q383" s="21">
        <f t="shared" si="41"/>
        <v>3.1E-2</v>
      </c>
    </row>
    <row r="384" spans="2:17" ht="74.25" customHeight="1" x14ac:dyDescent="0.45">
      <c r="B384" s="22" t="s">
        <v>145</v>
      </c>
      <c r="C384" s="22" t="s">
        <v>27</v>
      </c>
      <c r="D384" s="151">
        <v>103</v>
      </c>
      <c r="E384" s="20">
        <f>'Work Progress (%)'!G394</f>
        <v>0</v>
      </c>
      <c r="F384" s="20">
        <f>'Work Progress (%)'!L394</f>
        <v>0</v>
      </c>
      <c r="G384" s="20">
        <f>'Work Progress (%)'!Y394</f>
        <v>0</v>
      </c>
      <c r="H384" s="20">
        <f>'Work Progress (%)'!AD394</f>
        <v>0</v>
      </c>
      <c r="I384" s="20">
        <f>'Work Progress (%)'!AI394</f>
        <v>0</v>
      </c>
      <c r="J384" s="20">
        <f>'Work Progress (%)'!AQ394</f>
        <v>0</v>
      </c>
      <c r="K384" s="20">
        <f>'Work Progress (%)'!AV394</f>
        <v>0</v>
      </c>
      <c r="L384" s="20">
        <f>'Work Progress (%)'!BD394</f>
        <v>0</v>
      </c>
      <c r="M384" s="20">
        <v>1</v>
      </c>
      <c r="N384" s="20">
        <v>1</v>
      </c>
      <c r="O384" s="20">
        <v>0.2</v>
      </c>
      <c r="P384" s="20">
        <v>0.9</v>
      </c>
      <c r="Q384" s="21">
        <f t="shared" si="41"/>
        <v>3.1E-2</v>
      </c>
    </row>
    <row r="385" spans="2:17" ht="74.25" customHeight="1" x14ac:dyDescent="0.45">
      <c r="B385" s="22" t="s">
        <v>145</v>
      </c>
      <c r="C385" s="22" t="s">
        <v>27</v>
      </c>
      <c r="D385" s="151">
        <v>104</v>
      </c>
      <c r="E385" s="20">
        <f>'Work Progress (%)'!G395</f>
        <v>0</v>
      </c>
      <c r="F385" s="20">
        <f>'Work Progress (%)'!L395</f>
        <v>0</v>
      </c>
      <c r="G385" s="20">
        <f>'Work Progress (%)'!Y395</f>
        <v>0</v>
      </c>
      <c r="H385" s="20">
        <f>'Work Progress (%)'!AD395</f>
        <v>0</v>
      </c>
      <c r="I385" s="20">
        <f>'Work Progress (%)'!AI395</f>
        <v>0</v>
      </c>
      <c r="J385" s="20">
        <f>'Work Progress (%)'!AQ395</f>
        <v>0</v>
      </c>
      <c r="K385" s="20">
        <f>'Work Progress (%)'!AV395</f>
        <v>0</v>
      </c>
      <c r="L385" s="20">
        <f>'Work Progress (%)'!BD395</f>
        <v>0</v>
      </c>
      <c r="M385" s="20">
        <v>1</v>
      </c>
      <c r="N385" s="20">
        <v>1</v>
      </c>
      <c r="O385" s="20">
        <v>0.2</v>
      </c>
      <c r="P385" s="20">
        <v>0.9</v>
      </c>
      <c r="Q385" s="21">
        <f t="shared" si="41"/>
        <v>3.1E-2</v>
      </c>
    </row>
    <row r="386" spans="2:17" ht="74.25" customHeight="1" x14ac:dyDescent="0.45">
      <c r="B386" s="22" t="s">
        <v>145</v>
      </c>
      <c r="C386" s="22" t="s">
        <v>27</v>
      </c>
      <c r="D386" s="151">
        <v>105</v>
      </c>
      <c r="E386" s="20">
        <f>'Work Progress (%)'!G396</f>
        <v>0</v>
      </c>
      <c r="F386" s="20">
        <f>'Work Progress (%)'!L396</f>
        <v>0</v>
      </c>
      <c r="G386" s="20">
        <f>'Work Progress (%)'!Y396</f>
        <v>0</v>
      </c>
      <c r="H386" s="20">
        <f>'Work Progress (%)'!AD396</f>
        <v>0</v>
      </c>
      <c r="I386" s="20">
        <f>'Work Progress (%)'!AI396</f>
        <v>0</v>
      </c>
      <c r="J386" s="20">
        <f>'Work Progress (%)'!AQ396</f>
        <v>0</v>
      </c>
      <c r="K386" s="20">
        <f>'Work Progress (%)'!AV396</f>
        <v>0</v>
      </c>
      <c r="L386" s="20">
        <f>'Work Progress (%)'!BD396</f>
        <v>0</v>
      </c>
      <c r="M386" s="20">
        <v>1</v>
      </c>
      <c r="N386" s="20">
        <v>1</v>
      </c>
      <c r="O386" s="20">
        <v>0.2</v>
      </c>
      <c r="P386" s="20">
        <v>0.9</v>
      </c>
      <c r="Q386" s="21">
        <f t="shared" si="41"/>
        <v>3.1E-2</v>
      </c>
    </row>
    <row r="387" spans="2:17" ht="74.25" customHeight="1" x14ac:dyDescent="0.45">
      <c r="B387" s="22" t="s">
        <v>145</v>
      </c>
      <c r="C387" s="22" t="s">
        <v>27</v>
      </c>
      <c r="D387" s="151">
        <v>106</v>
      </c>
      <c r="E387" s="20">
        <f>'Work Progress (%)'!G397</f>
        <v>0</v>
      </c>
      <c r="F387" s="20">
        <f>'Work Progress (%)'!L397</f>
        <v>0</v>
      </c>
      <c r="G387" s="20">
        <f>'Work Progress (%)'!Y397</f>
        <v>0</v>
      </c>
      <c r="H387" s="20">
        <f>'Work Progress (%)'!AD397</f>
        <v>0</v>
      </c>
      <c r="I387" s="20">
        <f>'Work Progress (%)'!AI397</f>
        <v>0</v>
      </c>
      <c r="J387" s="20">
        <f>'Work Progress (%)'!AQ397</f>
        <v>0</v>
      </c>
      <c r="K387" s="20">
        <f>'Work Progress (%)'!AV397</f>
        <v>0</v>
      </c>
      <c r="L387" s="20">
        <f>'Work Progress (%)'!BD397</f>
        <v>0</v>
      </c>
      <c r="M387" s="20">
        <v>1</v>
      </c>
      <c r="N387" s="20">
        <v>1</v>
      </c>
      <c r="O387" s="20">
        <v>0.2</v>
      </c>
      <c r="P387" s="20">
        <v>0.9</v>
      </c>
      <c r="Q387" s="21">
        <f t="shared" si="41"/>
        <v>3.1E-2</v>
      </c>
    </row>
    <row r="388" spans="2:17" ht="74.25" customHeight="1" x14ac:dyDescent="0.45">
      <c r="B388" s="22" t="s">
        <v>145</v>
      </c>
      <c r="C388" s="22" t="s">
        <v>27</v>
      </c>
      <c r="D388" s="151">
        <v>107</v>
      </c>
      <c r="E388" s="20">
        <f>'Work Progress (%)'!G398</f>
        <v>0</v>
      </c>
      <c r="F388" s="20">
        <f>'Work Progress (%)'!L398</f>
        <v>0</v>
      </c>
      <c r="G388" s="20">
        <f>'Work Progress (%)'!Y398</f>
        <v>0</v>
      </c>
      <c r="H388" s="20">
        <f>'Work Progress (%)'!AD398</f>
        <v>0</v>
      </c>
      <c r="I388" s="20">
        <f>'Work Progress (%)'!AI398</f>
        <v>0</v>
      </c>
      <c r="J388" s="20">
        <f>'Work Progress (%)'!AQ398</f>
        <v>0</v>
      </c>
      <c r="K388" s="20">
        <f>'Work Progress (%)'!AV398</f>
        <v>0</v>
      </c>
      <c r="L388" s="20">
        <f>'Work Progress (%)'!BD398</f>
        <v>0</v>
      </c>
      <c r="M388" s="20">
        <v>1</v>
      </c>
      <c r="N388" s="20">
        <v>1</v>
      </c>
      <c r="O388" s="20">
        <v>0.2</v>
      </c>
      <c r="P388" s="20">
        <v>0.9</v>
      </c>
      <c r="Q388" s="21">
        <f t="shared" si="41"/>
        <v>3.1E-2</v>
      </c>
    </row>
    <row r="389" spans="2:17" ht="74.25" customHeight="1" x14ac:dyDescent="0.45">
      <c r="B389" s="22" t="s">
        <v>145</v>
      </c>
      <c r="C389" s="22" t="s">
        <v>27</v>
      </c>
      <c r="D389" s="151">
        <v>108</v>
      </c>
      <c r="E389" s="20">
        <f>'Work Progress (%)'!G399</f>
        <v>0</v>
      </c>
      <c r="F389" s="20">
        <f>'Work Progress (%)'!L399</f>
        <v>0</v>
      </c>
      <c r="G389" s="20">
        <f>'Work Progress (%)'!Y399</f>
        <v>0</v>
      </c>
      <c r="H389" s="20">
        <f>'Work Progress (%)'!AD399</f>
        <v>0</v>
      </c>
      <c r="I389" s="20">
        <f>'Work Progress (%)'!AI399</f>
        <v>0</v>
      </c>
      <c r="J389" s="20">
        <f>'Work Progress (%)'!AQ399</f>
        <v>0</v>
      </c>
      <c r="K389" s="20">
        <f>'Work Progress (%)'!AV399</f>
        <v>0</v>
      </c>
      <c r="L389" s="20">
        <f>'Work Progress (%)'!BD399</f>
        <v>0</v>
      </c>
      <c r="M389" s="20">
        <v>1</v>
      </c>
      <c r="N389" s="20">
        <v>1</v>
      </c>
      <c r="O389" s="20">
        <v>0.2</v>
      </c>
      <c r="P389" s="20">
        <v>0.9</v>
      </c>
      <c r="Q389" s="21">
        <f t="shared" si="41"/>
        <v>3.1E-2</v>
      </c>
    </row>
    <row r="390" spans="2:17" ht="74.25" customHeight="1" x14ac:dyDescent="0.45">
      <c r="B390" s="22" t="s">
        <v>145</v>
      </c>
      <c r="C390" s="22" t="s">
        <v>27</v>
      </c>
      <c r="D390" s="151">
        <v>109</v>
      </c>
      <c r="E390" s="20">
        <f>'Work Progress (%)'!G400</f>
        <v>0</v>
      </c>
      <c r="F390" s="20">
        <f>'Work Progress (%)'!L400</f>
        <v>0</v>
      </c>
      <c r="G390" s="20">
        <f>'Work Progress (%)'!Y400</f>
        <v>0</v>
      </c>
      <c r="H390" s="20">
        <f>'Work Progress (%)'!AD400</f>
        <v>0</v>
      </c>
      <c r="I390" s="20">
        <f>'Work Progress (%)'!AI400</f>
        <v>0</v>
      </c>
      <c r="J390" s="20">
        <f>'Work Progress (%)'!AQ400</f>
        <v>0</v>
      </c>
      <c r="K390" s="20">
        <f>'Work Progress (%)'!AV400</f>
        <v>0</v>
      </c>
      <c r="L390" s="20">
        <f>'Work Progress (%)'!BD400</f>
        <v>0</v>
      </c>
      <c r="M390" s="20">
        <v>1</v>
      </c>
      <c r="N390" s="20">
        <v>1</v>
      </c>
      <c r="O390" s="20">
        <v>0.2</v>
      </c>
      <c r="P390" s="20">
        <v>0.9</v>
      </c>
      <c r="Q390" s="21">
        <f t="shared" si="41"/>
        <v>3.1E-2</v>
      </c>
    </row>
    <row r="391" spans="2:17" ht="74.25" customHeight="1" x14ac:dyDescent="0.45">
      <c r="B391" s="22" t="s">
        <v>145</v>
      </c>
      <c r="C391" s="22" t="s">
        <v>27</v>
      </c>
      <c r="D391" s="151">
        <v>110</v>
      </c>
      <c r="E391" s="20">
        <f>'Work Progress (%)'!G401</f>
        <v>0</v>
      </c>
      <c r="F391" s="20">
        <f>'Work Progress (%)'!L401</f>
        <v>0</v>
      </c>
      <c r="G391" s="20">
        <f>'Work Progress (%)'!Y401</f>
        <v>0</v>
      </c>
      <c r="H391" s="20">
        <f>'Work Progress (%)'!AD401</f>
        <v>0</v>
      </c>
      <c r="I391" s="20">
        <f>'Work Progress (%)'!AI401</f>
        <v>0</v>
      </c>
      <c r="J391" s="20">
        <f>'Work Progress (%)'!AQ401</f>
        <v>0</v>
      </c>
      <c r="K391" s="20">
        <f>'Work Progress (%)'!AV401</f>
        <v>0</v>
      </c>
      <c r="L391" s="20">
        <f>'Work Progress (%)'!BD401</f>
        <v>0</v>
      </c>
      <c r="M391" s="20">
        <v>1</v>
      </c>
      <c r="N391" s="20">
        <v>1</v>
      </c>
      <c r="O391" s="20">
        <v>0.2</v>
      </c>
      <c r="P391" s="20">
        <v>0.9</v>
      </c>
      <c r="Q391" s="21">
        <f t="shared" si="41"/>
        <v>3.1E-2</v>
      </c>
    </row>
    <row r="392" spans="2:17" ht="74.25" customHeight="1" x14ac:dyDescent="0.45">
      <c r="B392" s="22" t="s">
        <v>145</v>
      </c>
      <c r="C392" s="22" t="s">
        <v>27</v>
      </c>
      <c r="D392" s="151">
        <v>111</v>
      </c>
      <c r="E392" s="20">
        <f>'Work Progress (%)'!G402</f>
        <v>0</v>
      </c>
      <c r="F392" s="20">
        <f>'Work Progress (%)'!L402</f>
        <v>0</v>
      </c>
      <c r="G392" s="20">
        <f>'Work Progress (%)'!Y402</f>
        <v>0</v>
      </c>
      <c r="H392" s="20">
        <f>'Work Progress (%)'!AD402</f>
        <v>0</v>
      </c>
      <c r="I392" s="20">
        <f>'Work Progress (%)'!AI402</f>
        <v>0</v>
      </c>
      <c r="J392" s="20">
        <f>'Work Progress (%)'!AQ402</f>
        <v>0</v>
      </c>
      <c r="K392" s="20">
        <f>'Work Progress (%)'!AV402</f>
        <v>0</v>
      </c>
      <c r="L392" s="20">
        <f>'Work Progress (%)'!BD402</f>
        <v>0</v>
      </c>
      <c r="M392" s="20">
        <v>1</v>
      </c>
      <c r="N392" s="20">
        <v>1</v>
      </c>
      <c r="O392" s="20">
        <v>0.2</v>
      </c>
      <c r="P392" s="20">
        <v>0.9</v>
      </c>
      <c r="Q392" s="21">
        <f t="shared" si="41"/>
        <v>3.1E-2</v>
      </c>
    </row>
    <row r="393" spans="2:17" ht="74.25" customHeight="1" x14ac:dyDescent="0.45">
      <c r="B393" s="22" t="s">
        <v>145</v>
      </c>
      <c r="C393" s="22" t="s">
        <v>27</v>
      </c>
      <c r="D393" s="151">
        <v>112</v>
      </c>
      <c r="E393" s="20">
        <f>'Work Progress (%)'!G403</f>
        <v>0</v>
      </c>
      <c r="F393" s="20">
        <f>'Work Progress (%)'!L403</f>
        <v>0</v>
      </c>
      <c r="G393" s="20">
        <f>'Work Progress (%)'!Y403</f>
        <v>0</v>
      </c>
      <c r="H393" s="20">
        <f>'Work Progress (%)'!AD403</f>
        <v>0</v>
      </c>
      <c r="I393" s="20">
        <f>'Work Progress (%)'!AI403</f>
        <v>0</v>
      </c>
      <c r="J393" s="20">
        <f>'Work Progress (%)'!AQ403</f>
        <v>0</v>
      </c>
      <c r="K393" s="20">
        <f>'Work Progress (%)'!AV403</f>
        <v>0</v>
      </c>
      <c r="L393" s="20">
        <f>'Work Progress (%)'!BD403</f>
        <v>0</v>
      </c>
      <c r="M393" s="20">
        <v>1</v>
      </c>
      <c r="N393" s="20">
        <v>1</v>
      </c>
      <c r="O393" s="20">
        <v>0.2</v>
      </c>
      <c r="P393" s="20">
        <v>0.9</v>
      </c>
      <c r="Q393" s="21">
        <f t="shared" si="41"/>
        <v>3.1E-2</v>
      </c>
    </row>
    <row r="394" spans="2:17" ht="74.25" customHeight="1" x14ac:dyDescent="0.45">
      <c r="B394" s="22" t="s">
        <v>145</v>
      </c>
      <c r="C394" s="22" t="s">
        <v>27</v>
      </c>
      <c r="D394" s="151">
        <v>113</v>
      </c>
      <c r="E394" s="20">
        <f>'Work Progress (%)'!G404</f>
        <v>0</v>
      </c>
      <c r="F394" s="20">
        <f>'Work Progress (%)'!L404</f>
        <v>0</v>
      </c>
      <c r="G394" s="20">
        <f>'Work Progress (%)'!Y404</f>
        <v>0</v>
      </c>
      <c r="H394" s="20">
        <f>'Work Progress (%)'!AD404</f>
        <v>0</v>
      </c>
      <c r="I394" s="20">
        <f>'Work Progress (%)'!AI404</f>
        <v>0</v>
      </c>
      <c r="J394" s="20">
        <f>'Work Progress (%)'!AQ404</f>
        <v>0</v>
      </c>
      <c r="K394" s="20">
        <f>'Work Progress (%)'!AV404</f>
        <v>0</v>
      </c>
      <c r="L394" s="20">
        <f>'Work Progress (%)'!BD404</f>
        <v>0</v>
      </c>
      <c r="M394" s="20">
        <v>1</v>
      </c>
      <c r="N394" s="20">
        <v>1</v>
      </c>
      <c r="O394" s="20">
        <v>0.2</v>
      </c>
      <c r="P394" s="20">
        <v>0.9</v>
      </c>
      <c r="Q394" s="21">
        <f t="shared" si="41"/>
        <v>3.1E-2</v>
      </c>
    </row>
    <row r="395" spans="2:17" ht="74.25" customHeight="1" x14ac:dyDescent="0.45">
      <c r="B395" s="22" t="s">
        <v>145</v>
      </c>
      <c r="C395" s="22" t="s">
        <v>27</v>
      </c>
      <c r="D395" s="151">
        <v>114</v>
      </c>
      <c r="E395" s="20">
        <f>'Work Progress (%)'!G405</f>
        <v>0</v>
      </c>
      <c r="F395" s="20">
        <f>'Work Progress (%)'!L405</f>
        <v>0</v>
      </c>
      <c r="G395" s="20">
        <f>'Work Progress (%)'!Y405</f>
        <v>0</v>
      </c>
      <c r="H395" s="20">
        <f>'Work Progress (%)'!AD405</f>
        <v>0</v>
      </c>
      <c r="I395" s="20">
        <f>'Work Progress (%)'!AI405</f>
        <v>0</v>
      </c>
      <c r="J395" s="20">
        <f>'Work Progress (%)'!AQ405</f>
        <v>0</v>
      </c>
      <c r="K395" s="20">
        <f>'Work Progress (%)'!AV405</f>
        <v>0</v>
      </c>
      <c r="L395" s="20">
        <f>'Work Progress (%)'!BD405</f>
        <v>0</v>
      </c>
      <c r="M395" s="20">
        <v>1</v>
      </c>
      <c r="N395" s="20">
        <v>1</v>
      </c>
      <c r="O395" s="20">
        <v>0.2</v>
      </c>
      <c r="P395" s="20">
        <v>0.9</v>
      </c>
      <c r="Q395" s="21">
        <f t="shared" si="41"/>
        <v>3.1E-2</v>
      </c>
    </row>
    <row r="396" spans="2:17" ht="74.25" customHeight="1" x14ac:dyDescent="0.45">
      <c r="B396" s="22" t="s">
        <v>145</v>
      </c>
      <c r="C396" s="22" t="s">
        <v>27</v>
      </c>
      <c r="D396" s="151">
        <v>115</v>
      </c>
      <c r="E396" s="20">
        <f>'Work Progress (%)'!G406</f>
        <v>0</v>
      </c>
      <c r="F396" s="20">
        <f>'Work Progress (%)'!L406</f>
        <v>0</v>
      </c>
      <c r="G396" s="20">
        <f>'Work Progress (%)'!Y406</f>
        <v>0</v>
      </c>
      <c r="H396" s="20">
        <f>'Work Progress (%)'!AD406</f>
        <v>0</v>
      </c>
      <c r="I396" s="20">
        <f>'Work Progress (%)'!AI406</f>
        <v>0</v>
      </c>
      <c r="J396" s="20">
        <f>'Work Progress (%)'!AQ406</f>
        <v>0</v>
      </c>
      <c r="K396" s="20">
        <f>'Work Progress (%)'!AV406</f>
        <v>0</v>
      </c>
      <c r="L396" s="20">
        <f>'Work Progress (%)'!BD406</f>
        <v>0</v>
      </c>
      <c r="M396" s="20">
        <v>1</v>
      </c>
      <c r="N396" s="20">
        <v>1</v>
      </c>
      <c r="O396" s="20">
        <v>0.2</v>
      </c>
      <c r="P396" s="20">
        <v>0.9</v>
      </c>
      <c r="Q396" s="21">
        <f t="shared" si="41"/>
        <v>3.1E-2</v>
      </c>
    </row>
    <row r="397" spans="2:17" ht="74.25" customHeight="1" x14ac:dyDescent="0.45">
      <c r="B397" s="22" t="s">
        <v>145</v>
      </c>
      <c r="C397" s="22" t="s">
        <v>27</v>
      </c>
      <c r="D397" s="151">
        <v>116</v>
      </c>
      <c r="E397" s="20">
        <f>'Work Progress (%)'!G407</f>
        <v>0</v>
      </c>
      <c r="F397" s="20">
        <f>'Work Progress (%)'!L407</f>
        <v>0</v>
      </c>
      <c r="G397" s="20">
        <f>'Work Progress (%)'!Y407</f>
        <v>0</v>
      </c>
      <c r="H397" s="20">
        <f>'Work Progress (%)'!AD407</f>
        <v>0</v>
      </c>
      <c r="I397" s="20">
        <f>'Work Progress (%)'!AI407</f>
        <v>0</v>
      </c>
      <c r="J397" s="20">
        <f>'Work Progress (%)'!AQ407</f>
        <v>0</v>
      </c>
      <c r="K397" s="20">
        <f>'Work Progress (%)'!AV407</f>
        <v>0</v>
      </c>
      <c r="L397" s="20">
        <f>'Work Progress (%)'!BD407</f>
        <v>0</v>
      </c>
      <c r="M397" s="20">
        <v>1</v>
      </c>
      <c r="N397" s="20">
        <v>1</v>
      </c>
      <c r="O397" s="20">
        <v>0.2</v>
      </c>
      <c r="P397" s="20">
        <v>0.9</v>
      </c>
      <c r="Q397" s="21">
        <f t="shared" si="41"/>
        <v>3.1E-2</v>
      </c>
    </row>
    <row r="398" spans="2:17" ht="74.25" customHeight="1" x14ac:dyDescent="0.45">
      <c r="B398" s="22" t="s">
        <v>145</v>
      </c>
      <c r="C398" s="22"/>
      <c r="D398" s="154" t="s">
        <v>28</v>
      </c>
      <c r="E398" s="141">
        <f>AVERAGE(E400:E414)</f>
        <v>0</v>
      </c>
      <c r="F398" s="141">
        <f t="shared" ref="F398:P398" si="43">AVERAGE(F400:F414)</f>
        <v>0</v>
      </c>
      <c r="G398" s="20">
        <f t="shared" si="43"/>
        <v>0</v>
      </c>
      <c r="H398" s="141">
        <f t="shared" si="43"/>
        <v>0</v>
      </c>
      <c r="I398" s="141">
        <f t="shared" si="43"/>
        <v>0</v>
      </c>
      <c r="J398" s="141">
        <f t="shared" si="43"/>
        <v>0</v>
      </c>
      <c r="K398" s="141">
        <f t="shared" si="43"/>
        <v>0</v>
      </c>
      <c r="L398" s="141">
        <f t="shared" si="43"/>
        <v>0</v>
      </c>
      <c r="M398" s="141">
        <f t="shared" si="43"/>
        <v>1</v>
      </c>
      <c r="N398" s="141">
        <f t="shared" si="43"/>
        <v>1</v>
      </c>
      <c r="O398" s="141">
        <f t="shared" si="43"/>
        <v>0.20000000000000004</v>
      </c>
      <c r="P398" s="141">
        <f t="shared" si="43"/>
        <v>0.69999999999999984</v>
      </c>
      <c r="Q398" s="14">
        <f t="shared" si="41"/>
        <v>2.9000000000000001E-2</v>
      </c>
    </row>
    <row r="399" spans="2:17" ht="74.25" customHeight="1" x14ac:dyDescent="0.45">
      <c r="B399" s="22" t="s">
        <v>145</v>
      </c>
      <c r="C399" s="22" t="s">
        <v>29</v>
      </c>
      <c r="D399" s="151">
        <v>201</v>
      </c>
      <c r="E399" s="20">
        <f>'Work Progress (%)'!G409</f>
        <v>0</v>
      </c>
      <c r="F399" s="20">
        <f>'Work Progress (%)'!L409</f>
        <v>0</v>
      </c>
      <c r="G399" s="20">
        <f>'Work Progress (%)'!Y409</f>
        <v>0</v>
      </c>
      <c r="H399" s="20">
        <f>'Work Progress (%)'!AD409</f>
        <v>0</v>
      </c>
      <c r="I399" s="20">
        <f>'Work Progress (%)'!AI409</f>
        <v>0</v>
      </c>
      <c r="J399" s="20">
        <f>'Work Progress (%)'!AQ409</f>
        <v>0</v>
      </c>
      <c r="K399" s="20">
        <f>'Work Progress (%)'!AV409</f>
        <v>0</v>
      </c>
      <c r="L399" s="20">
        <f>'Work Progress (%)'!BD409</f>
        <v>0</v>
      </c>
      <c r="M399" s="20">
        <v>1</v>
      </c>
      <c r="N399" s="20">
        <v>1</v>
      </c>
      <c r="O399" s="20">
        <v>0.2</v>
      </c>
      <c r="P399" s="20">
        <v>0.7</v>
      </c>
      <c r="Q399" s="21">
        <f t="shared" si="41"/>
        <v>2.8999999999999998E-2</v>
      </c>
    </row>
    <row r="400" spans="2:17" ht="74.25" customHeight="1" x14ac:dyDescent="0.45">
      <c r="B400" s="22" t="s">
        <v>145</v>
      </c>
      <c r="C400" s="22" t="s">
        <v>29</v>
      </c>
      <c r="D400" s="151">
        <v>202</v>
      </c>
      <c r="E400" s="20">
        <f>'Work Progress (%)'!G410</f>
        <v>0</v>
      </c>
      <c r="F400" s="20">
        <f>'Work Progress (%)'!L410</f>
        <v>0</v>
      </c>
      <c r="G400" s="20">
        <f>'Work Progress (%)'!Y410</f>
        <v>0</v>
      </c>
      <c r="H400" s="20">
        <f>'Work Progress (%)'!AD410</f>
        <v>0</v>
      </c>
      <c r="I400" s="20">
        <f>'Work Progress (%)'!AI410</f>
        <v>0</v>
      </c>
      <c r="J400" s="20">
        <f>'Work Progress (%)'!AQ410</f>
        <v>0</v>
      </c>
      <c r="K400" s="20">
        <f>'Work Progress (%)'!AV410</f>
        <v>0</v>
      </c>
      <c r="L400" s="20">
        <f>'Work Progress (%)'!BD410</f>
        <v>0</v>
      </c>
      <c r="M400" s="20">
        <v>1</v>
      </c>
      <c r="N400" s="20">
        <v>1</v>
      </c>
      <c r="O400" s="20">
        <v>0.2</v>
      </c>
      <c r="P400" s="20">
        <v>0.7</v>
      </c>
      <c r="Q400" s="21">
        <f t="shared" si="41"/>
        <v>2.8999999999999998E-2</v>
      </c>
    </row>
    <row r="401" spans="2:17" ht="74.25" customHeight="1" x14ac:dyDescent="0.45">
      <c r="B401" s="22" t="s">
        <v>145</v>
      </c>
      <c r="C401" s="22" t="s">
        <v>29</v>
      </c>
      <c r="D401" s="151">
        <v>203</v>
      </c>
      <c r="E401" s="20">
        <f>'Work Progress (%)'!G411</f>
        <v>0</v>
      </c>
      <c r="F401" s="20">
        <f>'Work Progress (%)'!L411</f>
        <v>0</v>
      </c>
      <c r="G401" s="20">
        <f>'Work Progress (%)'!Y411</f>
        <v>0</v>
      </c>
      <c r="H401" s="20">
        <f>'Work Progress (%)'!AD411</f>
        <v>0</v>
      </c>
      <c r="I401" s="20">
        <f>'Work Progress (%)'!AI411</f>
        <v>0</v>
      </c>
      <c r="J401" s="20">
        <f>'Work Progress (%)'!AQ411</f>
        <v>0</v>
      </c>
      <c r="K401" s="20">
        <f>'Work Progress (%)'!AV411</f>
        <v>0</v>
      </c>
      <c r="L401" s="20">
        <f>'Work Progress (%)'!BD411</f>
        <v>0</v>
      </c>
      <c r="M401" s="20">
        <v>1</v>
      </c>
      <c r="N401" s="20">
        <v>1</v>
      </c>
      <c r="O401" s="20">
        <v>0.2</v>
      </c>
      <c r="P401" s="20">
        <v>0.7</v>
      </c>
      <c r="Q401" s="21">
        <f t="shared" si="41"/>
        <v>2.8999999999999998E-2</v>
      </c>
    </row>
    <row r="402" spans="2:17" ht="74.25" customHeight="1" x14ac:dyDescent="0.45">
      <c r="B402" s="22" t="s">
        <v>145</v>
      </c>
      <c r="C402" s="22" t="s">
        <v>29</v>
      </c>
      <c r="D402" s="151">
        <v>204</v>
      </c>
      <c r="E402" s="20">
        <f>'Work Progress (%)'!G412</f>
        <v>0</v>
      </c>
      <c r="F402" s="20">
        <f>'Work Progress (%)'!L412</f>
        <v>0</v>
      </c>
      <c r="G402" s="20">
        <f>'Work Progress (%)'!Y412</f>
        <v>0</v>
      </c>
      <c r="H402" s="20">
        <f>'Work Progress (%)'!AD412</f>
        <v>0</v>
      </c>
      <c r="I402" s="20">
        <f>'Work Progress (%)'!AI412</f>
        <v>0</v>
      </c>
      <c r="J402" s="20">
        <f>'Work Progress (%)'!AQ412</f>
        <v>0</v>
      </c>
      <c r="K402" s="20">
        <f>'Work Progress (%)'!AV412</f>
        <v>0</v>
      </c>
      <c r="L402" s="20">
        <f>'Work Progress (%)'!BD412</f>
        <v>0</v>
      </c>
      <c r="M402" s="20">
        <v>1</v>
      </c>
      <c r="N402" s="20">
        <v>1</v>
      </c>
      <c r="O402" s="20">
        <v>0.2</v>
      </c>
      <c r="P402" s="20">
        <v>0.7</v>
      </c>
      <c r="Q402" s="21">
        <f t="shared" si="41"/>
        <v>2.8999999999999998E-2</v>
      </c>
    </row>
    <row r="403" spans="2:17" ht="74.25" customHeight="1" x14ac:dyDescent="0.45">
      <c r="B403" s="22" t="s">
        <v>145</v>
      </c>
      <c r="C403" s="22" t="s">
        <v>29</v>
      </c>
      <c r="D403" s="151">
        <v>205</v>
      </c>
      <c r="E403" s="20">
        <f>'Work Progress (%)'!G413</f>
        <v>0</v>
      </c>
      <c r="F403" s="20">
        <f>'Work Progress (%)'!L413</f>
        <v>0</v>
      </c>
      <c r="G403" s="20">
        <f>'Work Progress (%)'!Y413</f>
        <v>0</v>
      </c>
      <c r="H403" s="20">
        <f>'Work Progress (%)'!AD413</f>
        <v>0</v>
      </c>
      <c r="I403" s="20">
        <f>'Work Progress (%)'!AI413</f>
        <v>0</v>
      </c>
      <c r="J403" s="20">
        <f>'Work Progress (%)'!AQ413</f>
        <v>0</v>
      </c>
      <c r="K403" s="20">
        <f>'Work Progress (%)'!AV413</f>
        <v>0</v>
      </c>
      <c r="L403" s="20">
        <f>'Work Progress (%)'!BD413</f>
        <v>0</v>
      </c>
      <c r="M403" s="20">
        <v>1</v>
      </c>
      <c r="N403" s="20">
        <v>1</v>
      </c>
      <c r="O403" s="20">
        <v>0.2</v>
      </c>
      <c r="P403" s="20">
        <v>0.7</v>
      </c>
      <c r="Q403" s="21">
        <f t="shared" si="41"/>
        <v>2.8999999999999998E-2</v>
      </c>
    </row>
    <row r="404" spans="2:17" ht="74.25" customHeight="1" x14ac:dyDescent="0.45">
      <c r="B404" s="22" t="s">
        <v>145</v>
      </c>
      <c r="C404" s="22" t="s">
        <v>29</v>
      </c>
      <c r="D404" s="151">
        <v>206</v>
      </c>
      <c r="E404" s="20">
        <f>'Work Progress (%)'!G414</f>
        <v>0</v>
      </c>
      <c r="F404" s="20">
        <f>'Work Progress (%)'!L414</f>
        <v>0</v>
      </c>
      <c r="G404" s="20">
        <f>'Work Progress (%)'!Y414</f>
        <v>0</v>
      </c>
      <c r="H404" s="20">
        <f>'Work Progress (%)'!AD414</f>
        <v>0</v>
      </c>
      <c r="I404" s="20">
        <f>'Work Progress (%)'!AI414</f>
        <v>0</v>
      </c>
      <c r="J404" s="20">
        <f>'Work Progress (%)'!AQ414</f>
        <v>0</v>
      </c>
      <c r="K404" s="20">
        <f>'Work Progress (%)'!AV414</f>
        <v>0</v>
      </c>
      <c r="L404" s="20">
        <f>'Work Progress (%)'!BD414</f>
        <v>0</v>
      </c>
      <c r="M404" s="20">
        <v>1</v>
      </c>
      <c r="N404" s="20">
        <v>1</v>
      </c>
      <c r="O404" s="20">
        <v>0.2</v>
      </c>
      <c r="P404" s="20">
        <v>0.7</v>
      </c>
      <c r="Q404" s="21">
        <f t="shared" si="41"/>
        <v>2.8999999999999998E-2</v>
      </c>
    </row>
    <row r="405" spans="2:17" ht="74.25" customHeight="1" x14ac:dyDescent="0.45">
      <c r="B405" s="22" t="s">
        <v>145</v>
      </c>
      <c r="C405" s="22" t="s">
        <v>29</v>
      </c>
      <c r="D405" s="151">
        <v>207</v>
      </c>
      <c r="E405" s="20">
        <f>'Work Progress (%)'!G415</f>
        <v>0</v>
      </c>
      <c r="F405" s="20">
        <f>'Work Progress (%)'!L415</f>
        <v>0</v>
      </c>
      <c r="G405" s="20">
        <f>'Work Progress (%)'!Y415</f>
        <v>0</v>
      </c>
      <c r="H405" s="20">
        <f>'Work Progress (%)'!AD415</f>
        <v>0</v>
      </c>
      <c r="I405" s="20">
        <f>'Work Progress (%)'!AI415</f>
        <v>0</v>
      </c>
      <c r="J405" s="20">
        <f>'Work Progress (%)'!AQ415</f>
        <v>0</v>
      </c>
      <c r="K405" s="20">
        <f>'Work Progress (%)'!AV415</f>
        <v>0</v>
      </c>
      <c r="L405" s="20">
        <f>'Work Progress (%)'!BD415</f>
        <v>0</v>
      </c>
      <c r="M405" s="20">
        <v>1</v>
      </c>
      <c r="N405" s="20">
        <v>1</v>
      </c>
      <c r="O405" s="20">
        <v>0.2</v>
      </c>
      <c r="P405" s="20">
        <v>0.7</v>
      </c>
      <c r="Q405" s="21">
        <f t="shared" si="41"/>
        <v>2.8999999999999998E-2</v>
      </c>
    </row>
    <row r="406" spans="2:17" ht="74.25" customHeight="1" x14ac:dyDescent="0.45">
      <c r="B406" s="22" t="s">
        <v>145</v>
      </c>
      <c r="C406" s="22" t="s">
        <v>29</v>
      </c>
      <c r="D406" s="151">
        <v>208</v>
      </c>
      <c r="E406" s="20">
        <f>'Work Progress (%)'!G416</f>
        <v>0</v>
      </c>
      <c r="F406" s="20">
        <f>'Work Progress (%)'!L416</f>
        <v>0</v>
      </c>
      <c r="G406" s="20">
        <f>'Work Progress (%)'!Y416</f>
        <v>0</v>
      </c>
      <c r="H406" s="20">
        <f>'Work Progress (%)'!AD416</f>
        <v>0</v>
      </c>
      <c r="I406" s="20">
        <f>'Work Progress (%)'!AI416</f>
        <v>0</v>
      </c>
      <c r="J406" s="20">
        <f>'Work Progress (%)'!AQ416</f>
        <v>0</v>
      </c>
      <c r="K406" s="20">
        <f>'Work Progress (%)'!AV416</f>
        <v>0</v>
      </c>
      <c r="L406" s="20">
        <f>'Work Progress (%)'!BD416</f>
        <v>0</v>
      </c>
      <c r="M406" s="20">
        <v>1</v>
      </c>
      <c r="N406" s="20">
        <v>1</v>
      </c>
      <c r="O406" s="20">
        <v>0.2</v>
      </c>
      <c r="P406" s="20">
        <v>0.7</v>
      </c>
      <c r="Q406" s="21">
        <f t="shared" si="41"/>
        <v>2.8999999999999998E-2</v>
      </c>
    </row>
    <row r="407" spans="2:17" ht="74.25" customHeight="1" x14ac:dyDescent="0.45">
      <c r="B407" s="22" t="s">
        <v>145</v>
      </c>
      <c r="C407" s="22" t="s">
        <v>29</v>
      </c>
      <c r="D407" s="151">
        <v>209</v>
      </c>
      <c r="E407" s="20">
        <f>'Work Progress (%)'!G417</f>
        <v>0</v>
      </c>
      <c r="F407" s="20">
        <f>'Work Progress (%)'!L417</f>
        <v>0</v>
      </c>
      <c r="G407" s="20">
        <f>'Work Progress (%)'!Y417</f>
        <v>0</v>
      </c>
      <c r="H407" s="20">
        <f>'Work Progress (%)'!AD417</f>
        <v>0</v>
      </c>
      <c r="I407" s="20">
        <f>'Work Progress (%)'!AI417</f>
        <v>0</v>
      </c>
      <c r="J407" s="20">
        <f>'Work Progress (%)'!AQ417</f>
        <v>0</v>
      </c>
      <c r="K407" s="20">
        <f>'Work Progress (%)'!AV417</f>
        <v>0</v>
      </c>
      <c r="L407" s="20">
        <f>'Work Progress (%)'!BD417</f>
        <v>0</v>
      </c>
      <c r="M407" s="20">
        <v>1</v>
      </c>
      <c r="N407" s="20">
        <v>1</v>
      </c>
      <c r="O407" s="20">
        <v>0.2</v>
      </c>
      <c r="P407" s="20">
        <v>0.7</v>
      </c>
      <c r="Q407" s="21">
        <f t="shared" si="41"/>
        <v>2.8999999999999998E-2</v>
      </c>
    </row>
    <row r="408" spans="2:17" ht="74.25" customHeight="1" x14ac:dyDescent="0.45">
      <c r="B408" s="22" t="s">
        <v>145</v>
      </c>
      <c r="C408" s="22" t="s">
        <v>29</v>
      </c>
      <c r="D408" s="151">
        <v>210</v>
      </c>
      <c r="E408" s="20">
        <f>'Work Progress (%)'!G418</f>
        <v>0</v>
      </c>
      <c r="F408" s="20">
        <f>'Work Progress (%)'!L418</f>
        <v>0</v>
      </c>
      <c r="G408" s="20">
        <f>'Work Progress (%)'!Y418</f>
        <v>0</v>
      </c>
      <c r="H408" s="20">
        <f>'Work Progress (%)'!AD418</f>
        <v>0</v>
      </c>
      <c r="I408" s="20">
        <f>'Work Progress (%)'!AI418</f>
        <v>0</v>
      </c>
      <c r="J408" s="20">
        <f>'Work Progress (%)'!AQ418</f>
        <v>0</v>
      </c>
      <c r="K408" s="20">
        <f>'Work Progress (%)'!AV418</f>
        <v>0</v>
      </c>
      <c r="L408" s="20">
        <f>'Work Progress (%)'!BD418</f>
        <v>0</v>
      </c>
      <c r="M408" s="20">
        <v>1</v>
      </c>
      <c r="N408" s="20">
        <v>1</v>
      </c>
      <c r="O408" s="20">
        <v>0.2</v>
      </c>
      <c r="P408" s="20">
        <v>0.7</v>
      </c>
      <c r="Q408" s="21">
        <f t="shared" si="41"/>
        <v>2.8999999999999998E-2</v>
      </c>
    </row>
    <row r="409" spans="2:17" ht="74.25" customHeight="1" x14ac:dyDescent="0.45">
      <c r="B409" s="22" t="s">
        <v>145</v>
      </c>
      <c r="C409" s="22" t="s">
        <v>29</v>
      </c>
      <c r="D409" s="151">
        <v>211</v>
      </c>
      <c r="E409" s="20">
        <f>'Work Progress (%)'!G419</f>
        <v>0</v>
      </c>
      <c r="F409" s="20">
        <f>'Work Progress (%)'!L419</f>
        <v>0</v>
      </c>
      <c r="G409" s="20">
        <f>'Work Progress (%)'!Y419</f>
        <v>0</v>
      </c>
      <c r="H409" s="20">
        <f>'Work Progress (%)'!AD419</f>
        <v>0</v>
      </c>
      <c r="I409" s="20">
        <f>'Work Progress (%)'!AI419</f>
        <v>0</v>
      </c>
      <c r="J409" s="20">
        <f>'Work Progress (%)'!AQ419</f>
        <v>0</v>
      </c>
      <c r="K409" s="20">
        <f>'Work Progress (%)'!AV419</f>
        <v>0</v>
      </c>
      <c r="L409" s="20">
        <f>'Work Progress (%)'!BD419</f>
        <v>0</v>
      </c>
      <c r="M409" s="20">
        <v>1</v>
      </c>
      <c r="N409" s="20">
        <v>1</v>
      </c>
      <c r="O409" s="20">
        <v>0.2</v>
      </c>
      <c r="P409" s="20">
        <v>0.7</v>
      </c>
      <c r="Q409" s="21">
        <f t="shared" si="41"/>
        <v>2.8999999999999998E-2</v>
      </c>
    </row>
    <row r="410" spans="2:17" ht="74.25" customHeight="1" x14ac:dyDescent="0.45">
      <c r="B410" s="22" t="s">
        <v>145</v>
      </c>
      <c r="C410" s="22" t="s">
        <v>29</v>
      </c>
      <c r="D410" s="151">
        <v>212</v>
      </c>
      <c r="E410" s="20">
        <f>'Work Progress (%)'!G420</f>
        <v>0</v>
      </c>
      <c r="F410" s="20">
        <f>'Work Progress (%)'!L420</f>
        <v>0</v>
      </c>
      <c r="G410" s="20">
        <f>'Work Progress (%)'!Y420</f>
        <v>0</v>
      </c>
      <c r="H410" s="20">
        <f>'Work Progress (%)'!AD420</f>
        <v>0</v>
      </c>
      <c r="I410" s="20">
        <f>'Work Progress (%)'!AI420</f>
        <v>0</v>
      </c>
      <c r="J410" s="20">
        <f>'Work Progress (%)'!AQ420</f>
        <v>0</v>
      </c>
      <c r="K410" s="20">
        <f>'Work Progress (%)'!AV420</f>
        <v>0</v>
      </c>
      <c r="L410" s="20">
        <f>'Work Progress (%)'!BD420</f>
        <v>0</v>
      </c>
      <c r="M410" s="20">
        <v>1</v>
      </c>
      <c r="N410" s="20">
        <v>1</v>
      </c>
      <c r="O410" s="20">
        <v>0.2</v>
      </c>
      <c r="P410" s="20">
        <v>0.7</v>
      </c>
      <c r="Q410" s="21">
        <f t="shared" si="41"/>
        <v>2.8999999999999998E-2</v>
      </c>
    </row>
    <row r="411" spans="2:17" ht="74.25" customHeight="1" x14ac:dyDescent="0.45">
      <c r="B411" s="22" t="s">
        <v>145</v>
      </c>
      <c r="C411" s="22" t="s">
        <v>29</v>
      </c>
      <c r="D411" s="151">
        <v>213</v>
      </c>
      <c r="E411" s="20">
        <f>'Work Progress (%)'!G421</f>
        <v>0</v>
      </c>
      <c r="F411" s="20">
        <f>'Work Progress (%)'!L421</f>
        <v>0</v>
      </c>
      <c r="G411" s="20">
        <f>'Work Progress (%)'!Y421</f>
        <v>0</v>
      </c>
      <c r="H411" s="20">
        <f>'Work Progress (%)'!AD421</f>
        <v>0</v>
      </c>
      <c r="I411" s="20">
        <f>'Work Progress (%)'!AI421</f>
        <v>0</v>
      </c>
      <c r="J411" s="20">
        <f>'Work Progress (%)'!AQ421</f>
        <v>0</v>
      </c>
      <c r="K411" s="20">
        <f>'Work Progress (%)'!AV421</f>
        <v>0</v>
      </c>
      <c r="L411" s="20">
        <f>'Work Progress (%)'!BD421</f>
        <v>0</v>
      </c>
      <c r="M411" s="20">
        <v>1</v>
      </c>
      <c r="N411" s="20">
        <v>1</v>
      </c>
      <c r="O411" s="20">
        <v>0.2</v>
      </c>
      <c r="P411" s="20">
        <v>0.7</v>
      </c>
      <c r="Q411" s="21">
        <f t="shared" si="41"/>
        <v>2.8999999999999998E-2</v>
      </c>
    </row>
    <row r="412" spans="2:17" ht="74.25" customHeight="1" x14ac:dyDescent="0.45">
      <c r="B412" s="22" t="s">
        <v>145</v>
      </c>
      <c r="C412" s="22" t="s">
        <v>29</v>
      </c>
      <c r="D412" s="151">
        <v>214</v>
      </c>
      <c r="E412" s="20">
        <f>'Work Progress (%)'!G422</f>
        <v>0</v>
      </c>
      <c r="F412" s="20">
        <f>'Work Progress (%)'!L422</f>
        <v>0</v>
      </c>
      <c r="G412" s="20">
        <f>'Work Progress (%)'!Y422</f>
        <v>0</v>
      </c>
      <c r="H412" s="20">
        <f>'Work Progress (%)'!AD422</f>
        <v>0</v>
      </c>
      <c r="I412" s="20">
        <f>'Work Progress (%)'!AI422</f>
        <v>0</v>
      </c>
      <c r="J412" s="20">
        <f>'Work Progress (%)'!AQ422</f>
        <v>0</v>
      </c>
      <c r="K412" s="20">
        <f>'Work Progress (%)'!AV422</f>
        <v>0</v>
      </c>
      <c r="L412" s="20">
        <f>'Work Progress (%)'!BD422</f>
        <v>0</v>
      </c>
      <c r="M412" s="20">
        <v>1</v>
      </c>
      <c r="N412" s="20">
        <v>1</v>
      </c>
      <c r="O412" s="20">
        <v>0.2</v>
      </c>
      <c r="P412" s="20">
        <v>0.7</v>
      </c>
      <c r="Q412" s="21">
        <f t="shared" si="41"/>
        <v>2.8999999999999998E-2</v>
      </c>
    </row>
    <row r="413" spans="2:17" ht="74.25" customHeight="1" x14ac:dyDescent="0.45">
      <c r="B413" s="22" t="s">
        <v>145</v>
      </c>
      <c r="C413" s="22" t="s">
        <v>29</v>
      </c>
      <c r="D413" s="151">
        <v>215</v>
      </c>
      <c r="E413" s="20">
        <f>'Work Progress (%)'!G423</f>
        <v>0</v>
      </c>
      <c r="F413" s="20">
        <f>'Work Progress (%)'!L423</f>
        <v>0</v>
      </c>
      <c r="G413" s="20">
        <f>'Work Progress (%)'!Y423</f>
        <v>0</v>
      </c>
      <c r="H413" s="20">
        <f>'Work Progress (%)'!AD423</f>
        <v>0</v>
      </c>
      <c r="I413" s="20">
        <f>'Work Progress (%)'!AI423</f>
        <v>0</v>
      </c>
      <c r="J413" s="20">
        <f>'Work Progress (%)'!AQ423</f>
        <v>0</v>
      </c>
      <c r="K413" s="20">
        <f>'Work Progress (%)'!AV423</f>
        <v>0</v>
      </c>
      <c r="L413" s="20">
        <f>'Work Progress (%)'!BD423</f>
        <v>0</v>
      </c>
      <c r="M413" s="20">
        <v>1</v>
      </c>
      <c r="N413" s="20">
        <v>1</v>
      </c>
      <c r="O413" s="20">
        <v>0.2</v>
      </c>
      <c r="P413" s="20">
        <v>0.7</v>
      </c>
      <c r="Q413" s="21">
        <f t="shared" si="41"/>
        <v>2.8999999999999998E-2</v>
      </c>
    </row>
    <row r="414" spans="2:17" ht="74.25" customHeight="1" x14ac:dyDescent="0.45">
      <c r="B414" s="22" t="s">
        <v>145</v>
      </c>
      <c r="C414" s="22" t="s">
        <v>29</v>
      </c>
      <c r="D414" s="151">
        <v>216</v>
      </c>
      <c r="E414" s="20">
        <f>'Work Progress (%)'!G424</f>
        <v>0</v>
      </c>
      <c r="F414" s="20">
        <f>'Work Progress (%)'!L424</f>
        <v>0</v>
      </c>
      <c r="G414" s="20">
        <f>'Work Progress (%)'!Y424</f>
        <v>0</v>
      </c>
      <c r="H414" s="20">
        <f>'Work Progress (%)'!AD424</f>
        <v>0</v>
      </c>
      <c r="I414" s="20">
        <f>'Work Progress (%)'!AI424</f>
        <v>0</v>
      </c>
      <c r="J414" s="20">
        <f>'Work Progress (%)'!AQ424</f>
        <v>0</v>
      </c>
      <c r="K414" s="20">
        <f>'Work Progress (%)'!AV424</f>
        <v>0</v>
      </c>
      <c r="L414" s="20">
        <f>'Work Progress (%)'!BD424</f>
        <v>0</v>
      </c>
      <c r="M414" s="20">
        <v>1</v>
      </c>
      <c r="N414" s="20">
        <v>1</v>
      </c>
      <c r="O414" s="20">
        <v>0.2</v>
      </c>
      <c r="P414" s="20">
        <v>0.7</v>
      </c>
      <c r="Q414" s="21">
        <f t="shared" si="41"/>
        <v>2.8999999999999998E-2</v>
      </c>
    </row>
    <row r="415" spans="2:17" ht="74.25" customHeight="1" x14ac:dyDescent="0.45">
      <c r="B415" s="22" t="s">
        <v>145</v>
      </c>
      <c r="C415" s="22"/>
      <c r="D415" s="154" t="s">
        <v>30</v>
      </c>
      <c r="E415" s="141">
        <f>AVERAGE(E417:E431)</f>
        <v>0</v>
      </c>
      <c r="F415" s="141">
        <f t="shared" ref="F415:P415" si="44">AVERAGE(F417:F431)</f>
        <v>0</v>
      </c>
      <c r="G415" s="20">
        <f t="shared" si="44"/>
        <v>0</v>
      </c>
      <c r="H415" s="141">
        <f t="shared" si="44"/>
        <v>0</v>
      </c>
      <c r="I415" s="141">
        <f t="shared" si="44"/>
        <v>0</v>
      </c>
      <c r="J415" s="141">
        <f t="shared" si="44"/>
        <v>0</v>
      </c>
      <c r="K415" s="141">
        <f t="shared" si="44"/>
        <v>0</v>
      </c>
      <c r="L415" s="141">
        <f t="shared" si="44"/>
        <v>0</v>
      </c>
      <c r="M415" s="141">
        <f t="shared" si="44"/>
        <v>1</v>
      </c>
      <c r="N415" s="141">
        <f t="shared" si="44"/>
        <v>1</v>
      </c>
      <c r="O415" s="141">
        <f t="shared" si="44"/>
        <v>0.20000000000000004</v>
      </c>
      <c r="P415" s="141">
        <f t="shared" si="44"/>
        <v>0.69999999999999984</v>
      </c>
      <c r="Q415" s="14">
        <f t="shared" si="41"/>
        <v>2.9000000000000001E-2</v>
      </c>
    </row>
    <row r="416" spans="2:17" ht="74.25" customHeight="1" x14ac:dyDescent="0.45">
      <c r="B416" s="22" t="s">
        <v>145</v>
      </c>
      <c r="C416" s="22" t="s">
        <v>31</v>
      </c>
      <c r="D416" s="151">
        <v>301</v>
      </c>
      <c r="E416" s="20">
        <f>'Work Progress (%)'!G426</f>
        <v>0</v>
      </c>
      <c r="F416" s="20">
        <f>'Work Progress (%)'!L426</f>
        <v>0</v>
      </c>
      <c r="G416" s="20">
        <f>'Work Progress (%)'!Y426</f>
        <v>0</v>
      </c>
      <c r="H416" s="20">
        <f>'Work Progress (%)'!AD426</f>
        <v>0</v>
      </c>
      <c r="I416" s="20">
        <f>'Work Progress (%)'!AI426</f>
        <v>0</v>
      </c>
      <c r="J416" s="20">
        <f>'Work Progress (%)'!AQ426</f>
        <v>0</v>
      </c>
      <c r="K416" s="20">
        <f>'Work Progress (%)'!AV426</f>
        <v>0</v>
      </c>
      <c r="L416" s="20">
        <f>'Work Progress (%)'!BD426</f>
        <v>0</v>
      </c>
      <c r="M416" s="20">
        <v>1</v>
      </c>
      <c r="N416" s="20">
        <v>1</v>
      </c>
      <c r="O416" s="20">
        <v>0.2</v>
      </c>
      <c r="P416" s="20">
        <v>0.7</v>
      </c>
      <c r="Q416" s="21">
        <f t="shared" si="41"/>
        <v>2.8999999999999998E-2</v>
      </c>
    </row>
    <row r="417" spans="2:17" ht="74.25" customHeight="1" x14ac:dyDescent="0.45">
      <c r="B417" s="22" t="s">
        <v>145</v>
      </c>
      <c r="C417" s="22" t="s">
        <v>31</v>
      </c>
      <c r="D417" s="151">
        <v>302</v>
      </c>
      <c r="E417" s="20">
        <f>'Work Progress (%)'!G427</f>
        <v>0</v>
      </c>
      <c r="F417" s="20">
        <f>'Work Progress (%)'!L427</f>
        <v>0</v>
      </c>
      <c r="G417" s="20">
        <f>'Work Progress (%)'!Y427</f>
        <v>0</v>
      </c>
      <c r="H417" s="20">
        <f>'Work Progress (%)'!AD427</f>
        <v>0</v>
      </c>
      <c r="I417" s="20">
        <f>'Work Progress (%)'!AI427</f>
        <v>0</v>
      </c>
      <c r="J417" s="20">
        <f>'Work Progress (%)'!AQ427</f>
        <v>0</v>
      </c>
      <c r="K417" s="20">
        <f>'Work Progress (%)'!AV427</f>
        <v>0</v>
      </c>
      <c r="L417" s="20">
        <f>'Work Progress (%)'!BD427</f>
        <v>0</v>
      </c>
      <c r="M417" s="20">
        <v>1</v>
      </c>
      <c r="N417" s="20">
        <v>1</v>
      </c>
      <c r="O417" s="20">
        <v>0.2</v>
      </c>
      <c r="P417" s="20">
        <v>0.7</v>
      </c>
      <c r="Q417" s="21">
        <f t="shared" si="41"/>
        <v>2.8999999999999998E-2</v>
      </c>
    </row>
    <row r="418" spans="2:17" ht="74.25" customHeight="1" x14ac:dyDescent="0.45">
      <c r="B418" s="22" t="s">
        <v>145</v>
      </c>
      <c r="C418" s="22" t="s">
        <v>31</v>
      </c>
      <c r="D418" s="151">
        <v>303</v>
      </c>
      <c r="E418" s="20">
        <f>'Work Progress (%)'!G428</f>
        <v>0</v>
      </c>
      <c r="F418" s="20">
        <f>'Work Progress (%)'!L428</f>
        <v>0</v>
      </c>
      <c r="G418" s="20">
        <f>'Work Progress (%)'!Y428</f>
        <v>0</v>
      </c>
      <c r="H418" s="20">
        <f>'Work Progress (%)'!AD428</f>
        <v>0</v>
      </c>
      <c r="I418" s="20">
        <f>'Work Progress (%)'!AI428</f>
        <v>0</v>
      </c>
      <c r="J418" s="20">
        <f>'Work Progress (%)'!AQ428</f>
        <v>0</v>
      </c>
      <c r="K418" s="20">
        <f>'Work Progress (%)'!AV428</f>
        <v>0</v>
      </c>
      <c r="L418" s="20">
        <f>'Work Progress (%)'!BD428</f>
        <v>0</v>
      </c>
      <c r="M418" s="20">
        <v>1</v>
      </c>
      <c r="N418" s="20">
        <v>1</v>
      </c>
      <c r="O418" s="20">
        <v>0.2</v>
      </c>
      <c r="P418" s="20">
        <v>0.7</v>
      </c>
      <c r="Q418" s="21">
        <f t="shared" si="41"/>
        <v>2.8999999999999998E-2</v>
      </c>
    </row>
    <row r="419" spans="2:17" ht="74.25" customHeight="1" x14ac:dyDescent="0.45">
      <c r="B419" s="22" t="s">
        <v>145</v>
      </c>
      <c r="C419" s="22" t="s">
        <v>31</v>
      </c>
      <c r="D419" s="151">
        <v>304</v>
      </c>
      <c r="E419" s="20">
        <f>'Work Progress (%)'!G429</f>
        <v>0</v>
      </c>
      <c r="F419" s="20">
        <f>'Work Progress (%)'!L429</f>
        <v>0</v>
      </c>
      <c r="G419" s="20">
        <f>'Work Progress (%)'!Y429</f>
        <v>0</v>
      </c>
      <c r="H419" s="20">
        <f>'Work Progress (%)'!AD429</f>
        <v>0</v>
      </c>
      <c r="I419" s="20">
        <f>'Work Progress (%)'!AI429</f>
        <v>0</v>
      </c>
      <c r="J419" s="20">
        <f>'Work Progress (%)'!AQ429</f>
        <v>0</v>
      </c>
      <c r="K419" s="20">
        <f>'Work Progress (%)'!AV429</f>
        <v>0</v>
      </c>
      <c r="L419" s="20">
        <f>'Work Progress (%)'!BD429</f>
        <v>0</v>
      </c>
      <c r="M419" s="20">
        <v>1</v>
      </c>
      <c r="N419" s="20">
        <v>1</v>
      </c>
      <c r="O419" s="20">
        <v>0.2</v>
      </c>
      <c r="P419" s="20">
        <v>0.7</v>
      </c>
      <c r="Q419" s="21">
        <f t="shared" si="41"/>
        <v>2.8999999999999998E-2</v>
      </c>
    </row>
    <row r="420" spans="2:17" ht="74.25" customHeight="1" x14ac:dyDescent="0.45">
      <c r="B420" s="22" t="s">
        <v>145</v>
      </c>
      <c r="C420" s="22" t="s">
        <v>31</v>
      </c>
      <c r="D420" s="151">
        <v>305</v>
      </c>
      <c r="E420" s="20">
        <f>'Work Progress (%)'!G430</f>
        <v>0</v>
      </c>
      <c r="F420" s="20">
        <f>'Work Progress (%)'!L430</f>
        <v>0</v>
      </c>
      <c r="G420" s="20">
        <f>'Work Progress (%)'!Y430</f>
        <v>0</v>
      </c>
      <c r="H420" s="20">
        <f>'Work Progress (%)'!AD430</f>
        <v>0</v>
      </c>
      <c r="I420" s="20">
        <f>'Work Progress (%)'!AI430</f>
        <v>0</v>
      </c>
      <c r="J420" s="20">
        <f>'Work Progress (%)'!AQ430</f>
        <v>0</v>
      </c>
      <c r="K420" s="20">
        <f>'Work Progress (%)'!AV430</f>
        <v>0</v>
      </c>
      <c r="L420" s="20">
        <f>'Work Progress (%)'!BD430</f>
        <v>0</v>
      </c>
      <c r="M420" s="20">
        <v>1</v>
      </c>
      <c r="N420" s="20">
        <v>1</v>
      </c>
      <c r="O420" s="20">
        <v>0.2</v>
      </c>
      <c r="P420" s="20">
        <v>0.7</v>
      </c>
      <c r="Q420" s="21">
        <f t="shared" si="41"/>
        <v>2.8999999999999998E-2</v>
      </c>
    </row>
    <row r="421" spans="2:17" ht="74.25" customHeight="1" x14ac:dyDescent="0.45">
      <c r="B421" s="22" t="s">
        <v>145</v>
      </c>
      <c r="C421" s="22" t="s">
        <v>31</v>
      </c>
      <c r="D421" s="151">
        <v>306</v>
      </c>
      <c r="E421" s="20">
        <f>'Work Progress (%)'!G431</f>
        <v>0</v>
      </c>
      <c r="F421" s="20">
        <f>'Work Progress (%)'!L431</f>
        <v>0</v>
      </c>
      <c r="G421" s="20">
        <f>'Work Progress (%)'!Y431</f>
        <v>0</v>
      </c>
      <c r="H421" s="20">
        <f>'Work Progress (%)'!AD431</f>
        <v>0</v>
      </c>
      <c r="I421" s="20">
        <f>'Work Progress (%)'!AI431</f>
        <v>0</v>
      </c>
      <c r="J421" s="20">
        <f>'Work Progress (%)'!AQ431</f>
        <v>0</v>
      </c>
      <c r="K421" s="20">
        <f>'Work Progress (%)'!AV431</f>
        <v>0</v>
      </c>
      <c r="L421" s="20">
        <f>'Work Progress (%)'!BD431</f>
        <v>0</v>
      </c>
      <c r="M421" s="20">
        <v>1</v>
      </c>
      <c r="N421" s="20">
        <v>1</v>
      </c>
      <c r="O421" s="20">
        <v>0.2</v>
      </c>
      <c r="P421" s="20">
        <v>0.7</v>
      </c>
      <c r="Q421" s="21">
        <f t="shared" si="41"/>
        <v>2.8999999999999998E-2</v>
      </c>
    </row>
    <row r="422" spans="2:17" ht="74.25" customHeight="1" x14ac:dyDescent="0.45">
      <c r="B422" s="22" t="s">
        <v>145</v>
      </c>
      <c r="C422" s="22" t="s">
        <v>31</v>
      </c>
      <c r="D422" s="151">
        <v>307</v>
      </c>
      <c r="E422" s="20">
        <f>'Work Progress (%)'!G432</f>
        <v>0</v>
      </c>
      <c r="F422" s="20">
        <f>'Work Progress (%)'!L432</f>
        <v>0</v>
      </c>
      <c r="G422" s="20">
        <f>'Work Progress (%)'!Y432</f>
        <v>0</v>
      </c>
      <c r="H422" s="20">
        <f>'Work Progress (%)'!AD432</f>
        <v>0</v>
      </c>
      <c r="I422" s="20">
        <f>'Work Progress (%)'!AI432</f>
        <v>0</v>
      </c>
      <c r="J422" s="20">
        <f>'Work Progress (%)'!AQ432</f>
        <v>0</v>
      </c>
      <c r="K422" s="20">
        <f>'Work Progress (%)'!AV432</f>
        <v>0</v>
      </c>
      <c r="L422" s="20">
        <f>'Work Progress (%)'!BD432</f>
        <v>0</v>
      </c>
      <c r="M422" s="20">
        <v>1</v>
      </c>
      <c r="N422" s="20">
        <v>1</v>
      </c>
      <c r="O422" s="20">
        <v>0.2</v>
      </c>
      <c r="P422" s="20">
        <v>0.7</v>
      </c>
      <c r="Q422" s="21">
        <f t="shared" si="41"/>
        <v>2.8999999999999998E-2</v>
      </c>
    </row>
    <row r="423" spans="2:17" ht="74.25" customHeight="1" x14ac:dyDescent="0.45">
      <c r="B423" s="22" t="s">
        <v>145</v>
      </c>
      <c r="C423" s="22" t="s">
        <v>31</v>
      </c>
      <c r="D423" s="151">
        <v>308</v>
      </c>
      <c r="E423" s="20">
        <f>'Work Progress (%)'!G433</f>
        <v>0</v>
      </c>
      <c r="F423" s="20">
        <f>'Work Progress (%)'!L433</f>
        <v>0</v>
      </c>
      <c r="G423" s="20">
        <f>'Work Progress (%)'!Y433</f>
        <v>0</v>
      </c>
      <c r="H423" s="20">
        <f>'Work Progress (%)'!AD433</f>
        <v>0</v>
      </c>
      <c r="I423" s="20">
        <f>'Work Progress (%)'!AI433</f>
        <v>0</v>
      </c>
      <c r="J423" s="20">
        <f>'Work Progress (%)'!AQ433</f>
        <v>0</v>
      </c>
      <c r="K423" s="20">
        <f>'Work Progress (%)'!AV433</f>
        <v>0</v>
      </c>
      <c r="L423" s="20">
        <f>'Work Progress (%)'!BD433</f>
        <v>0</v>
      </c>
      <c r="M423" s="20">
        <v>1</v>
      </c>
      <c r="N423" s="20">
        <v>1</v>
      </c>
      <c r="O423" s="20">
        <v>0.2</v>
      </c>
      <c r="P423" s="20">
        <v>0.7</v>
      </c>
      <c r="Q423" s="21">
        <f t="shared" si="41"/>
        <v>2.8999999999999998E-2</v>
      </c>
    </row>
    <row r="424" spans="2:17" ht="74.25" customHeight="1" x14ac:dyDescent="0.45">
      <c r="B424" s="22" t="s">
        <v>145</v>
      </c>
      <c r="C424" s="22" t="s">
        <v>31</v>
      </c>
      <c r="D424" s="151">
        <v>309</v>
      </c>
      <c r="E424" s="20">
        <f>'Work Progress (%)'!G434</f>
        <v>0</v>
      </c>
      <c r="F424" s="20">
        <f>'Work Progress (%)'!L434</f>
        <v>0</v>
      </c>
      <c r="G424" s="20">
        <f>'Work Progress (%)'!Y434</f>
        <v>0</v>
      </c>
      <c r="H424" s="20">
        <f>'Work Progress (%)'!AD434</f>
        <v>0</v>
      </c>
      <c r="I424" s="20">
        <f>'Work Progress (%)'!AI434</f>
        <v>0</v>
      </c>
      <c r="J424" s="20">
        <f>'Work Progress (%)'!AQ434</f>
        <v>0</v>
      </c>
      <c r="K424" s="20">
        <f>'Work Progress (%)'!AV434</f>
        <v>0</v>
      </c>
      <c r="L424" s="20">
        <f>'Work Progress (%)'!BD434</f>
        <v>0</v>
      </c>
      <c r="M424" s="20">
        <v>1</v>
      </c>
      <c r="N424" s="20">
        <v>1</v>
      </c>
      <c r="O424" s="20">
        <v>0.2</v>
      </c>
      <c r="P424" s="20">
        <v>0.7</v>
      </c>
      <c r="Q424" s="21">
        <f t="shared" si="41"/>
        <v>2.8999999999999998E-2</v>
      </c>
    </row>
    <row r="425" spans="2:17" ht="74.25" customHeight="1" x14ac:dyDescent="0.45">
      <c r="B425" s="22" t="s">
        <v>145</v>
      </c>
      <c r="C425" s="22" t="s">
        <v>31</v>
      </c>
      <c r="D425" s="151">
        <v>310</v>
      </c>
      <c r="E425" s="20">
        <f>'Work Progress (%)'!G435</f>
        <v>0</v>
      </c>
      <c r="F425" s="20">
        <f>'Work Progress (%)'!L435</f>
        <v>0</v>
      </c>
      <c r="G425" s="20">
        <f>'Work Progress (%)'!Y435</f>
        <v>0</v>
      </c>
      <c r="H425" s="20">
        <f>'Work Progress (%)'!AD435</f>
        <v>0</v>
      </c>
      <c r="I425" s="20">
        <f>'Work Progress (%)'!AI435</f>
        <v>0</v>
      </c>
      <c r="J425" s="20">
        <f>'Work Progress (%)'!AQ435</f>
        <v>0</v>
      </c>
      <c r="K425" s="20">
        <f>'Work Progress (%)'!AV435</f>
        <v>0</v>
      </c>
      <c r="L425" s="20">
        <f>'Work Progress (%)'!BD435</f>
        <v>0</v>
      </c>
      <c r="M425" s="20">
        <v>1</v>
      </c>
      <c r="N425" s="20">
        <v>1</v>
      </c>
      <c r="O425" s="20">
        <v>0.2</v>
      </c>
      <c r="P425" s="20">
        <v>0.7</v>
      </c>
      <c r="Q425" s="21">
        <f t="shared" si="41"/>
        <v>2.8999999999999998E-2</v>
      </c>
    </row>
    <row r="426" spans="2:17" ht="74.25" customHeight="1" x14ac:dyDescent="0.45">
      <c r="B426" s="22" t="s">
        <v>145</v>
      </c>
      <c r="C426" s="22" t="s">
        <v>31</v>
      </c>
      <c r="D426" s="151">
        <v>311</v>
      </c>
      <c r="E426" s="20">
        <f>'Work Progress (%)'!G436</f>
        <v>0</v>
      </c>
      <c r="F426" s="20">
        <f>'Work Progress (%)'!L436</f>
        <v>0</v>
      </c>
      <c r="G426" s="20">
        <f>'Work Progress (%)'!Y436</f>
        <v>0</v>
      </c>
      <c r="H426" s="20">
        <f>'Work Progress (%)'!AD436</f>
        <v>0</v>
      </c>
      <c r="I426" s="20">
        <f>'Work Progress (%)'!AI436</f>
        <v>0</v>
      </c>
      <c r="J426" s="20">
        <f>'Work Progress (%)'!AQ436</f>
        <v>0</v>
      </c>
      <c r="K426" s="20">
        <f>'Work Progress (%)'!AV436</f>
        <v>0</v>
      </c>
      <c r="L426" s="20">
        <f>'Work Progress (%)'!BD436</f>
        <v>0</v>
      </c>
      <c r="M426" s="20">
        <v>1</v>
      </c>
      <c r="N426" s="20">
        <v>1</v>
      </c>
      <c r="O426" s="20">
        <v>0.2</v>
      </c>
      <c r="P426" s="20">
        <v>0.7</v>
      </c>
      <c r="Q426" s="21">
        <f t="shared" si="41"/>
        <v>2.8999999999999998E-2</v>
      </c>
    </row>
    <row r="427" spans="2:17" ht="74.25" customHeight="1" x14ac:dyDescent="0.45">
      <c r="B427" s="22" t="s">
        <v>145</v>
      </c>
      <c r="C427" s="22" t="s">
        <v>31</v>
      </c>
      <c r="D427" s="151">
        <v>312</v>
      </c>
      <c r="E427" s="20">
        <f>'Work Progress (%)'!G437</f>
        <v>0</v>
      </c>
      <c r="F427" s="20">
        <f>'Work Progress (%)'!L437</f>
        <v>0</v>
      </c>
      <c r="G427" s="20">
        <f>'Work Progress (%)'!Y437</f>
        <v>0</v>
      </c>
      <c r="H427" s="20">
        <f>'Work Progress (%)'!AD437</f>
        <v>0</v>
      </c>
      <c r="I427" s="20">
        <f>'Work Progress (%)'!AI437</f>
        <v>0</v>
      </c>
      <c r="J427" s="20">
        <f>'Work Progress (%)'!AQ437</f>
        <v>0</v>
      </c>
      <c r="K427" s="20">
        <f>'Work Progress (%)'!AV437</f>
        <v>0</v>
      </c>
      <c r="L427" s="20">
        <f>'Work Progress (%)'!BD437</f>
        <v>0</v>
      </c>
      <c r="M427" s="20">
        <v>1</v>
      </c>
      <c r="N427" s="20">
        <v>1</v>
      </c>
      <c r="O427" s="20">
        <v>0.2</v>
      </c>
      <c r="P427" s="20">
        <v>0.7</v>
      </c>
      <c r="Q427" s="21">
        <f t="shared" si="41"/>
        <v>2.8999999999999998E-2</v>
      </c>
    </row>
    <row r="428" spans="2:17" ht="74.25" customHeight="1" x14ac:dyDescent="0.45">
      <c r="B428" s="22" t="s">
        <v>145</v>
      </c>
      <c r="C428" s="22" t="s">
        <v>31</v>
      </c>
      <c r="D428" s="151">
        <v>313</v>
      </c>
      <c r="E428" s="20">
        <f>'Work Progress (%)'!G438</f>
        <v>0</v>
      </c>
      <c r="F428" s="20">
        <f>'Work Progress (%)'!L438</f>
        <v>0</v>
      </c>
      <c r="G428" s="20">
        <f>'Work Progress (%)'!Y438</f>
        <v>0</v>
      </c>
      <c r="H428" s="20">
        <f>'Work Progress (%)'!AD438</f>
        <v>0</v>
      </c>
      <c r="I428" s="20">
        <f>'Work Progress (%)'!AI438</f>
        <v>0</v>
      </c>
      <c r="J428" s="20">
        <f>'Work Progress (%)'!AQ438</f>
        <v>0</v>
      </c>
      <c r="K428" s="20">
        <f>'Work Progress (%)'!AV438</f>
        <v>0</v>
      </c>
      <c r="L428" s="20">
        <f>'Work Progress (%)'!BD438</f>
        <v>0</v>
      </c>
      <c r="M428" s="20">
        <v>1</v>
      </c>
      <c r="N428" s="20">
        <v>1</v>
      </c>
      <c r="O428" s="20">
        <v>0.2</v>
      </c>
      <c r="P428" s="20">
        <v>0.7</v>
      </c>
      <c r="Q428" s="21">
        <f t="shared" si="41"/>
        <v>2.8999999999999998E-2</v>
      </c>
    </row>
    <row r="429" spans="2:17" ht="74.25" customHeight="1" x14ac:dyDescent="0.45">
      <c r="B429" s="22" t="s">
        <v>145</v>
      </c>
      <c r="C429" s="22" t="s">
        <v>31</v>
      </c>
      <c r="D429" s="151">
        <v>314</v>
      </c>
      <c r="E429" s="20">
        <f>'Work Progress (%)'!G439</f>
        <v>0</v>
      </c>
      <c r="F429" s="20">
        <f>'Work Progress (%)'!L439</f>
        <v>0</v>
      </c>
      <c r="G429" s="20">
        <f>'Work Progress (%)'!Y439</f>
        <v>0</v>
      </c>
      <c r="H429" s="20">
        <f>'Work Progress (%)'!AD439</f>
        <v>0</v>
      </c>
      <c r="I429" s="20">
        <f>'Work Progress (%)'!AI439</f>
        <v>0</v>
      </c>
      <c r="J429" s="20">
        <f>'Work Progress (%)'!AQ439</f>
        <v>0</v>
      </c>
      <c r="K429" s="20">
        <f>'Work Progress (%)'!AV439</f>
        <v>0</v>
      </c>
      <c r="L429" s="20">
        <f>'Work Progress (%)'!BD439</f>
        <v>0</v>
      </c>
      <c r="M429" s="20">
        <v>1</v>
      </c>
      <c r="N429" s="20">
        <v>1</v>
      </c>
      <c r="O429" s="20">
        <v>0.2</v>
      </c>
      <c r="P429" s="20">
        <v>0.7</v>
      </c>
      <c r="Q429" s="21">
        <f t="shared" si="41"/>
        <v>2.8999999999999998E-2</v>
      </c>
    </row>
    <row r="430" spans="2:17" ht="74.25" customHeight="1" x14ac:dyDescent="0.45">
      <c r="B430" s="22" t="s">
        <v>145</v>
      </c>
      <c r="C430" s="22" t="s">
        <v>31</v>
      </c>
      <c r="D430" s="151">
        <v>315</v>
      </c>
      <c r="E430" s="20">
        <f>'Work Progress (%)'!G440</f>
        <v>0</v>
      </c>
      <c r="F430" s="20">
        <f>'Work Progress (%)'!L440</f>
        <v>0</v>
      </c>
      <c r="G430" s="20">
        <f>'Work Progress (%)'!Y440</f>
        <v>0</v>
      </c>
      <c r="H430" s="20">
        <f>'Work Progress (%)'!AD440</f>
        <v>0</v>
      </c>
      <c r="I430" s="20">
        <f>'Work Progress (%)'!AI440</f>
        <v>0</v>
      </c>
      <c r="J430" s="20">
        <f>'Work Progress (%)'!AQ440</f>
        <v>0</v>
      </c>
      <c r="K430" s="20">
        <f>'Work Progress (%)'!AV440</f>
        <v>0</v>
      </c>
      <c r="L430" s="20">
        <f>'Work Progress (%)'!BD440</f>
        <v>0</v>
      </c>
      <c r="M430" s="20">
        <v>1</v>
      </c>
      <c r="N430" s="20">
        <v>1</v>
      </c>
      <c r="O430" s="20">
        <v>0.2</v>
      </c>
      <c r="P430" s="20">
        <v>0.7</v>
      </c>
      <c r="Q430" s="21">
        <f t="shared" si="41"/>
        <v>2.8999999999999998E-2</v>
      </c>
    </row>
    <row r="431" spans="2:17" ht="74.25" customHeight="1" x14ac:dyDescent="0.45">
      <c r="B431" s="22" t="s">
        <v>145</v>
      </c>
      <c r="C431" s="22" t="s">
        <v>31</v>
      </c>
      <c r="D431" s="151">
        <v>316</v>
      </c>
      <c r="E431" s="20">
        <f>'Work Progress (%)'!G441</f>
        <v>0</v>
      </c>
      <c r="F431" s="20">
        <f>'Work Progress (%)'!L441</f>
        <v>0</v>
      </c>
      <c r="G431" s="20">
        <f>'Work Progress (%)'!Y441</f>
        <v>0</v>
      </c>
      <c r="H431" s="20">
        <f>'Work Progress (%)'!AD441</f>
        <v>0</v>
      </c>
      <c r="I431" s="20">
        <f>'Work Progress (%)'!AI441</f>
        <v>0</v>
      </c>
      <c r="J431" s="20">
        <f>'Work Progress (%)'!AQ441</f>
        <v>0</v>
      </c>
      <c r="K431" s="20">
        <f>'Work Progress (%)'!AV441</f>
        <v>0</v>
      </c>
      <c r="L431" s="20">
        <f>'Work Progress (%)'!BD441</f>
        <v>0</v>
      </c>
      <c r="M431" s="20">
        <v>1</v>
      </c>
      <c r="N431" s="20">
        <v>1</v>
      </c>
      <c r="O431" s="20">
        <v>0.2</v>
      </c>
      <c r="P431" s="20">
        <v>0.7</v>
      </c>
      <c r="Q431" s="21">
        <f t="shared" si="41"/>
        <v>2.8999999999999998E-2</v>
      </c>
    </row>
    <row r="432" spans="2:17" ht="74.25" customHeight="1" x14ac:dyDescent="0.45">
      <c r="B432" s="22" t="s">
        <v>145</v>
      </c>
      <c r="C432" s="22"/>
      <c r="D432" s="154" t="s">
        <v>32</v>
      </c>
      <c r="E432" s="141">
        <f>AVERAGE(E434:E448)</f>
        <v>0</v>
      </c>
      <c r="F432" s="141">
        <f t="shared" ref="F432:P432" si="45">AVERAGE(F434:F448)</f>
        <v>0</v>
      </c>
      <c r="G432" s="20">
        <f t="shared" si="45"/>
        <v>0</v>
      </c>
      <c r="H432" s="141">
        <f t="shared" si="45"/>
        <v>0</v>
      </c>
      <c r="I432" s="141">
        <f t="shared" si="45"/>
        <v>0</v>
      </c>
      <c r="J432" s="141">
        <f t="shared" si="45"/>
        <v>0</v>
      </c>
      <c r="K432" s="141">
        <f t="shared" si="45"/>
        <v>0</v>
      </c>
      <c r="L432" s="141">
        <f t="shared" si="45"/>
        <v>0</v>
      </c>
      <c r="M432" s="141">
        <f t="shared" si="45"/>
        <v>1</v>
      </c>
      <c r="N432" s="141">
        <f t="shared" si="45"/>
        <v>1</v>
      </c>
      <c r="O432" s="141">
        <f t="shared" si="45"/>
        <v>0.20000000000000004</v>
      </c>
      <c r="P432" s="141">
        <f t="shared" si="45"/>
        <v>0.69999999999999984</v>
      </c>
      <c r="Q432" s="14">
        <f>AVERAGE(Q433:Q448)</f>
        <v>2.9000000000000012E-2</v>
      </c>
    </row>
    <row r="433" spans="2:17" ht="74.25" customHeight="1" x14ac:dyDescent="0.45">
      <c r="B433" s="22" t="s">
        <v>145</v>
      </c>
      <c r="C433" s="22" t="s">
        <v>33</v>
      </c>
      <c r="D433" s="151">
        <v>401</v>
      </c>
      <c r="E433" s="20">
        <f>'Work Progress (%)'!G443</f>
        <v>0</v>
      </c>
      <c r="F433" s="20">
        <f>'Work Progress (%)'!L443</f>
        <v>0</v>
      </c>
      <c r="G433" s="20">
        <f>'Work Progress (%)'!Y443</f>
        <v>0</v>
      </c>
      <c r="H433" s="20">
        <f>'Work Progress (%)'!AD443</f>
        <v>0</v>
      </c>
      <c r="I433" s="20">
        <f>'Work Progress (%)'!AI443</f>
        <v>0</v>
      </c>
      <c r="J433" s="20">
        <f>'Work Progress (%)'!AQ443</f>
        <v>0</v>
      </c>
      <c r="K433" s="20">
        <f>'Work Progress (%)'!AV443</f>
        <v>0</v>
      </c>
      <c r="L433" s="20">
        <f>'Work Progress (%)'!BD443</f>
        <v>0</v>
      </c>
      <c r="M433" s="20">
        <v>1</v>
      </c>
      <c r="N433" s="20">
        <v>1</v>
      </c>
      <c r="O433" s="20">
        <v>0.2</v>
      </c>
      <c r="P433" s="20">
        <v>0.7</v>
      </c>
      <c r="Q433" s="21">
        <f t="shared" ref="Q433:Q448" si="46">SUMPRODUCT(E433:P433, E$2:P$2)</f>
        <v>2.8999999999999998E-2</v>
      </c>
    </row>
    <row r="434" spans="2:17" ht="74.25" customHeight="1" x14ac:dyDescent="0.45">
      <c r="B434" s="22" t="s">
        <v>145</v>
      </c>
      <c r="C434" s="22" t="s">
        <v>33</v>
      </c>
      <c r="D434" s="151">
        <v>402</v>
      </c>
      <c r="E434" s="20">
        <f>'Work Progress (%)'!G444</f>
        <v>0</v>
      </c>
      <c r="F434" s="20">
        <f>'Work Progress (%)'!L444</f>
        <v>0</v>
      </c>
      <c r="G434" s="20">
        <f>'Work Progress (%)'!Y444</f>
        <v>0</v>
      </c>
      <c r="H434" s="20">
        <f>'Work Progress (%)'!AD444</f>
        <v>0</v>
      </c>
      <c r="I434" s="20">
        <f>'Work Progress (%)'!AI444</f>
        <v>0</v>
      </c>
      <c r="J434" s="20">
        <f>'Work Progress (%)'!AQ444</f>
        <v>0</v>
      </c>
      <c r="K434" s="20">
        <f>'Work Progress (%)'!AV444</f>
        <v>0</v>
      </c>
      <c r="L434" s="20">
        <f>'Work Progress (%)'!BD444</f>
        <v>0</v>
      </c>
      <c r="M434" s="20">
        <v>1</v>
      </c>
      <c r="N434" s="20">
        <v>1</v>
      </c>
      <c r="O434" s="20">
        <v>0.2</v>
      </c>
      <c r="P434" s="20">
        <v>0.7</v>
      </c>
      <c r="Q434" s="21">
        <f t="shared" si="46"/>
        <v>2.8999999999999998E-2</v>
      </c>
    </row>
    <row r="435" spans="2:17" ht="74.25" customHeight="1" x14ac:dyDescent="0.45">
      <c r="B435" s="22" t="s">
        <v>145</v>
      </c>
      <c r="C435" s="22" t="s">
        <v>33</v>
      </c>
      <c r="D435" s="151">
        <v>403</v>
      </c>
      <c r="E435" s="20">
        <f>'Work Progress (%)'!G445</f>
        <v>0</v>
      </c>
      <c r="F435" s="20">
        <f>'Work Progress (%)'!L445</f>
        <v>0</v>
      </c>
      <c r="G435" s="20">
        <f>'Work Progress (%)'!Y445</f>
        <v>0</v>
      </c>
      <c r="H435" s="20">
        <f>'Work Progress (%)'!AD445</f>
        <v>0</v>
      </c>
      <c r="I435" s="20">
        <f>'Work Progress (%)'!AI445</f>
        <v>0</v>
      </c>
      <c r="J435" s="20">
        <f>'Work Progress (%)'!AQ445</f>
        <v>0</v>
      </c>
      <c r="K435" s="20">
        <f>'Work Progress (%)'!AV445</f>
        <v>0</v>
      </c>
      <c r="L435" s="20">
        <f>'Work Progress (%)'!BD445</f>
        <v>0</v>
      </c>
      <c r="M435" s="20">
        <v>1</v>
      </c>
      <c r="N435" s="20">
        <v>1</v>
      </c>
      <c r="O435" s="20">
        <v>0.2</v>
      </c>
      <c r="P435" s="20">
        <v>0.7</v>
      </c>
      <c r="Q435" s="21">
        <f t="shared" si="46"/>
        <v>2.8999999999999998E-2</v>
      </c>
    </row>
    <row r="436" spans="2:17" ht="74.25" customHeight="1" x14ac:dyDescent="0.45">
      <c r="B436" s="22" t="s">
        <v>145</v>
      </c>
      <c r="C436" s="22" t="s">
        <v>33</v>
      </c>
      <c r="D436" s="151">
        <v>404</v>
      </c>
      <c r="E436" s="20">
        <f>'Work Progress (%)'!G446</f>
        <v>0</v>
      </c>
      <c r="F436" s="20">
        <f>'Work Progress (%)'!L446</f>
        <v>0</v>
      </c>
      <c r="G436" s="20">
        <f>'Work Progress (%)'!Y446</f>
        <v>0</v>
      </c>
      <c r="H436" s="20">
        <f>'Work Progress (%)'!AD446</f>
        <v>0</v>
      </c>
      <c r="I436" s="20">
        <f>'Work Progress (%)'!AI446</f>
        <v>0</v>
      </c>
      <c r="J436" s="20">
        <f>'Work Progress (%)'!AQ446</f>
        <v>0</v>
      </c>
      <c r="K436" s="20">
        <f>'Work Progress (%)'!AV446</f>
        <v>0</v>
      </c>
      <c r="L436" s="20">
        <f>'Work Progress (%)'!BD446</f>
        <v>0</v>
      </c>
      <c r="M436" s="20">
        <v>1</v>
      </c>
      <c r="N436" s="20">
        <v>1</v>
      </c>
      <c r="O436" s="20">
        <v>0.2</v>
      </c>
      <c r="P436" s="20">
        <v>0.7</v>
      </c>
      <c r="Q436" s="21">
        <f t="shared" si="46"/>
        <v>2.8999999999999998E-2</v>
      </c>
    </row>
    <row r="437" spans="2:17" ht="74.25" customHeight="1" x14ac:dyDescent="0.45">
      <c r="B437" s="22" t="s">
        <v>145</v>
      </c>
      <c r="C437" s="22" t="s">
        <v>33</v>
      </c>
      <c r="D437" s="151">
        <v>405</v>
      </c>
      <c r="E437" s="20">
        <f>'Work Progress (%)'!G447</f>
        <v>0</v>
      </c>
      <c r="F437" s="20">
        <f>'Work Progress (%)'!L447</f>
        <v>0</v>
      </c>
      <c r="G437" s="20">
        <f>'Work Progress (%)'!Y447</f>
        <v>0</v>
      </c>
      <c r="H437" s="20">
        <f>'Work Progress (%)'!AD447</f>
        <v>0</v>
      </c>
      <c r="I437" s="20">
        <f>'Work Progress (%)'!AI447</f>
        <v>0</v>
      </c>
      <c r="J437" s="20">
        <f>'Work Progress (%)'!AQ447</f>
        <v>0</v>
      </c>
      <c r="K437" s="20">
        <f>'Work Progress (%)'!AV447</f>
        <v>0</v>
      </c>
      <c r="L437" s="20">
        <f>'Work Progress (%)'!BD447</f>
        <v>0</v>
      </c>
      <c r="M437" s="20">
        <v>1</v>
      </c>
      <c r="N437" s="20">
        <v>1</v>
      </c>
      <c r="O437" s="20">
        <v>0.2</v>
      </c>
      <c r="P437" s="20">
        <v>0.7</v>
      </c>
      <c r="Q437" s="21">
        <f t="shared" si="46"/>
        <v>2.8999999999999998E-2</v>
      </c>
    </row>
    <row r="438" spans="2:17" ht="74.25" customHeight="1" x14ac:dyDescent="0.45">
      <c r="B438" s="22" t="s">
        <v>145</v>
      </c>
      <c r="C438" s="22" t="s">
        <v>33</v>
      </c>
      <c r="D438" s="151">
        <v>406</v>
      </c>
      <c r="E438" s="20">
        <f>'Work Progress (%)'!G448</f>
        <v>0</v>
      </c>
      <c r="F438" s="20">
        <f>'Work Progress (%)'!L448</f>
        <v>0</v>
      </c>
      <c r="G438" s="20">
        <f>'Work Progress (%)'!Y448</f>
        <v>0</v>
      </c>
      <c r="H438" s="20">
        <f>'Work Progress (%)'!AD448</f>
        <v>0</v>
      </c>
      <c r="I438" s="20">
        <f>'Work Progress (%)'!AI448</f>
        <v>0</v>
      </c>
      <c r="J438" s="20">
        <f>'Work Progress (%)'!AQ448</f>
        <v>0</v>
      </c>
      <c r="K438" s="20">
        <f>'Work Progress (%)'!AV448</f>
        <v>0</v>
      </c>
      <c r="L438" s="20">
        <f>'Work Progress (%)'!BD448</f>
        <v>0</v>
      </c>
      <c r="M438" s="20">
        <v>1</v>
      </c>
      <c r="N438" s="20">
        <v>1</v>
      </c>
      <c r="O438" s="20">
        <v>0.2</v>
      </c>
      <c r="P438" s="20">
        <v>0.7</v>
      </c>
      <c r="Q438" s="21">
        <f t="shared" si="46"/>
        <v>2.8999999999999998E-2</v>
      </c>
    </row>
    <row r="439" spans="2:17" ht="74.25" customHeight="1" x14ac:dyDescent="0.45">
      <c r="B439" s="22" t="s">
        <v>145</v>
      </c>
      <c r="C439" s="22" t="s">
        <v>33</v>
      </c>
      <c r="D439" s="151">
        <v>407</v>
      </c>
      <c r="E439" s="20">
        <f>'Work Progress (%)'!G449</f>
        <v>0</v>
      </c>
      <c r="F439" s="20">
        <f>'Work Progress (%)'!L449</f>
        <v>0</v>
      </c>
      <c r="G439" s="20">
        <f>'Work Progress (%)'!Y449</f>
        <v>0</v>
      </c>
      <c r="H439" s="20">
        <f>'Work Progress (%)'!AD449</f>
        <v>0</v>
      </c>
      <c r="I439" s="20">
        <f>'Work Progress (%)'!AI449</f>
        <v>0</v>
      </c>
      <c r="J439" s="20">
        <f>'Work Progress (%)'!AQ449</f>
        <v>0</v>
      </c>
      <c r="K439" s="20">
        <f>'Work Progress (%)'!AV449</f>
        <v>0</v>
      </c>
      <c r="L439" s="20">
        <f>'Work Progress (%)'!BD449</f>
        <v>0</v>
      </c>
      <c r="M439" s="20">
        <v>1</v>
      </c>
      <c r="N439" s="20">
        <v>1</v>
      </c>
      <c r="O439" s="20">
        <v>0.2</v>
      </c>
      <c r="P439" s="20">
        <v>0.7</v>
      </c>
      <c r="Q439" s="21">
        <f t="shared" si="46"/>
        <v>2.8999999999999998E-2</v>
      </c>
    </row>
    <row r="440" spans="2:17" ht="74.25" customHeight="1" x14ac:dyDescent="0.45">
      <c r="B440" s="22" t="s">
        <v>145</v>
      </c>
      <c r="C440" s="22" t="s">
        <v>33</v>
      </c>
      <c r="D440" s="151">
        <v>408</v>
      </c>
      <c r="E440" s="20">
        <f>'Work Progress (%)'!G450</f>
        <v>0</v>
      </c>
      <c r="F440" s="20">
        <f>'Work Progress (%)'!L450</f>
        <v>0</v>
      </c>
      <c r="G440" s="20">
        <f>'Work Progress (%)'!Y450</f>
        <v>0</v>
      </c>
      <c r="H440" s="20">
        <f>'Work Progress (%)'!AD450</f>
        <v>0</v>
      </c>
      <c r="I440" s="20">
        <f>'Work Progress (%)'!AI450</f>
        <v>0</v>
      </c>
      <c r="J440" s="20">
        <f>'Work Progress (%)'!AQ450</f>
        <v>0</v>
      </c>
      <c r="K440" s="20">
        <f>'Work Progress (%)'!AV450</f>
        <v>0</v>
      </c>
      <c r="L440" s="20">
        <f>'Work Progress (%)'!BD450</f>
        <v>0</v>
      </c>
      <c r="M440" s="20">
        <v>1</v>
      </c>
      <c r="N440" s="20">
        <v>1</v>
      </c>
      <c r="O440" s="20">
        <v>0.2</v>
      </c>
      <c r="P440" s="20">
        <v>0.7</v>
      </c>
      <c r="Q440" s="21">
        <f t="shared" si="46"/>
        <v>2.8999999999999998E-2</v>
      </c>
    </row>
    <row r="441" spans="2:17" ht="74.25" customHeight="1" x14ac:dyDescent="0.45">
      <c r="B441" s="22" t="s">
        <v>145</v>
      </c>
      <c r="C441" s="22" t="s">
        <v>33</v>
      </c>
      <c r="D441" s="151">
        <v>409</v>
      </c>
      <c r="E441" s="20">
        <f>'Work Progress (%)'!G451</f>
        <v>0</v>
      </c>
      <c r="F441" s="20">
        <f>'Work Progress (%)'!L451</f>
        <v>0</v>
      </c>
      <c r="G441" s="20">
        <f>'Work Progress (%)'!Y451</f>
        <v>0</v>
      </c>
      <c r="H441" s="20">
        <f>'Work Progress (%)'!AD451</f>
        <v>0</v>
      </c>
      <c r="I441" s="20">
        <f>'Work Progress (%)'!AI451</f>
        <v>0</v>
      </c>
      <c r="J441" s="20">
        <f>'Work Progress (%)'!AQ451</f>
        <v>0</v>
      </c>
      <c r="K441" s="20">
        <f>'Work Progress (%)'!AV451</f>
        <v>0</v>
      </c>
      <c r="L441" s="20">
        <f>'Work Progress (%)'!BD451</f>
        <v>0</v>
      </c>
      <c r="M441" s="20">
        <v>1</v>
      </c>
      <c r="N441" s="20">
        <v>1</v>
      </c>
      <c r="O441" s="20">
        <v>0.2</v>
      </c>
      <c r="P441" s="20">
        <v>0.7</v>
      </c>
      <c r="Q441" s="21">
        <f t="shared" si="46"/>
        <v>2.8999999999999998E-2</v>
      </c>
    </row>
    <row r="442" spans="2:17" ht="74.25" customHeight="1" x14ac:dyDescent="0.45">
      <c r="B442" s="22" t="s">
        <v>145</v>
      </c>
      <c r="C442" s="22" t="s">
        <v>33</v>
      </c>
      <c r="D442" s="151">
        <v>410</v>
      </c>
      <c r="E442" s="20">
        <f>'Work Progress (%)'!G452</f>
        <v>0</v>
      </c>
      <c r="F442" s="20">
        <f>'Work Progress (%)'!L452</f>
        <v>0</v>
      </c>
      <c r="G442" s="20">
        <f>'Work Progress (%)'!Y452</f>
        <v>0</v>
      </c>
      <c r="H442" s="20">
        <f>'Work Progress (%)'!AD452</f>
        <v>0</v>
      </c>
      <c r="I442" s="20">
        <f>'Work Progress (%)'!AI452</f>
        <v>0</v>
      </c>
      <c r="J442" s="20">
        <f>'Work Progress (%)'!AQ452</f>
        <v>0</v>
      </c>
      <c r="K442" s="20">
        <f>'Work Progress (%)'!AV452</f>
        <v>0</v>
      </c>
      <c r="L442" s="20">
        <f>'Work Progress (%)'!BD452</f>
        <v>0</v>
      </c>
      <c r="M442" s="20">
        <v>1</v>
      </c>
      <c r="N442" s="20">
        <v>1</v>
      </c>
      <c r="O442" s="20">
        <v>0.2</v>
      </c>
      <c r="P442" s="20">
        <v>0.7</v>
      </c>
      <c r="Q442" s="21">
        <f t="shared" si="46"/>
        <v>2.8999999999999998E-2</v>
      </c>
    </row>
    <row r="443" spans="2:17" ht="74.25" customHeight="1" x14ac:dyDescent="0.45">
      <c r="B443" s="22" t="s">
        <v>145</v>
      </c>
      <c r="C443" s="22" t="s">
        <v>33</v>
      </c>
      <c r="D443" s="151">
        <v>411</v>
      </c>
      <c r="E443" s="20">
        <f>'Work Progress (%)'!G453</f>
        <v>0</v>
      </c>
      <c r="F443" s="20">
        <f>'Work Progress (%)'!L453</f>
        <v>0</v>
      </c>
      <c r="G443" s="20">
        <f>'Work Progress (%)'!Y453</f>
        <v>0</v>
      </c>
      <c r="H443" s="20">
        <f>'Work Progress (%)'!AD453</f>
        <v>0</v>
      </c>
      <c r="I443" s="20">
        <f>'Work Progress (%)'!AI453</f>
        <v>0</v>
      </c>
      <c r="J443" s="20">
        <f>'Work Progress (%)'!AQ453</f>
        <v>0</v>
      </c>
      <c r="K443" s="20">
        <f>'Work Progress (%)'!AV453</f>
        <v>0</v>
      </c>
      <c r="L443" s="20">
        <f>'Work Progress (%)'!BD453</f>
        <v>0</v>
      </c>
      <c r="M443" s="20">
        <v>1</v>
      </c>
      <c r="N443" s="20">
        <v>1</v>
      </c>
      <c r="O443" s="20">
        <v>0.2</v>
      </c>
      <c r="P443" s="20">
        <v>0.7</v>
      </c>
      <c r="Q443" s="21">
        <f t="shared" si="46"/>
        <v>2.8999999999999998E-2</v>
      </c>
    </row>
    <row r="444" spans="2:17" ht="74.25" customHeight="1" x14ac:dyDescent="0.45">
      <c r="B444" s="22" t="s">
        <v>145</v>
      </c>
      <c r="C444" s="22" t="s">
        <v>33</v>
      </c>
      <c r="D444" s="151">
        <v>412</v>
      </c>
      <c r="E444" s="20">
        <f>'Work Progress (%)'!G454</f>
        <v>0</v>
      </c>
      <c r="F444" s="20">
        <f>'Work Progress (%)'!L454</f>
        <v>0</v>
      </c>
      <c r="G444" s="20">
        <f>'Work Progress (%)'!Y454</f>
        <v>0</v>
      </c>
      <c r="H444" s="20">
        <f>'Work Progress (%)'!AD454</f>
        <v>0</v>
      </c>
      <c r="I444" s="20">
        <f>'Work Progress (%)'!AI454</f>
        <v>0</v>
      </c>
      <c r="J444" s="20">
        <f>'Work Progress (%)'!AQ454</f>
        <v>0</v>
      </c>
      <c r="K444" s="20">
        <f>'Work Progress (%)'!AV454</f>
        <v>0</v>
      </c>
      <c r="L444" s="20">
        <f>'Work Progress (%)'!BD454</f>
        <v>0</v>
      </c>
      <c r="M444" s="20">
        <v>1</v>
      </c>
      <c r="N444" s="20">
        <v>1</v>
      </c>
      <c r="O444" s="20">
        <v>0.2</v>
      </c>
      <c r="P444" s="20">
        <v>0.7</v>
      </c>
      <c r="Q444" s="21">
        <f t="shared" si="46"/>
        <v>2.8999999999999998E-2</v>
      </c>
    </row>
    <row r="445" spans="2:17" ht="74.25" customHeight="1" x14ac:dyDescent="0.45">
      <c r="B445" s="22" t="s">
        <v>145</v>
      </c>
      <c r="C445" s="22" t="s">
        <v>33</v>
      </c>
      <c r="D445" s="151">
        <v>413</v>
      </c>
      <c r="E445" s="20">
        <f>'Work Progress (%)'!G455</f>
        <v>0</v>
      </c>
      <c r="F445" s="20">
        <f>'Work Progress (%)'!L455</f>
        <v>0</v>
      </c>
      <c r="G445" s="20">
        <f>'Work Progress (%)'!Y455</f>
        <v>0</v>
      </c>
      <c r="H445" s="20">
        <f>'Work Progress (%)'!AD455</f>
        <v>0</v>
      </c>
      <c r="I445" s="20">
        <f>'Work Progress (%)'!AI455</f>
        <v>0</v>
      </c>
      <c r="J445" s="20">
        <f>'Work Progress (%)'!AQ455</f>
        <v>0</v>
      </c>
      <c r="K445" s="20">
        <f>'Work Progress (%)'!AV455</f>
        <v>0</v>
      </c>
      <c r="L445" s="20">
        <f>'Work Progress (%)'!BD455</f>
        <v>0</v>
      </c>
      <c r="M445" s="20">
        <v>1</v>
      </c>
      <c r="N445" s="20">
        <v>1</v>
      </c>
      <c r="O445" s="20">
        <v>0.2</v>
      </c>
      <c r="P445" s="20">
        <v>0.7</v>
      </c>
      <c r="Q445" s="21">
        <f t="shared" si="46"/>
        <v>2.8999999999999998E-2</v>
      </c>
    </row>
    <row r="446" spans="2:17" ht="74.25" customHeight="1" x14ac:dyDescent="0.45">
      <c r="B446" s="22" t="s">
        <v>145</v>
      </c>
      <c r="C446" s="22" t="s">
        <v>33</v>
      </c>
      <c r="D446" s="151">
        <v>414</v>
      </c>
      <c r="E446" s="20">
        <f>'Work Progress (%)'!G456</f>
        <v>0</v>
      </c>
      <c r="F446" s="20">
        <f>'Work Progress (%)'!L456</f>
        <v>0</v>
      </c>
      <c r="G446" s="20">
        <f>'Work Progress (%)'!Y456</f>
        <v>0</v>
      </c>
      <c r="H446" s="20">
        <f>'Work Progress (%)'!AD456</f>
        <v>0</v>
      </c>
      <c r="I446" s="20">
        <f>'Work Progress (%)'!AI456</f>
        <v>0</v>
      </c>
      <c r="J446" s="20">
        <f>'Work Progress (%)'!AQ456</f>
        <v>0</v>
      </c>
      <c r="K446" s="20">
        <f>'Work Progress (%)'!AV456</f>
        <v>0</v>
      </c>
      <c r="L446" s="20">
        <f>'Work Progress (%)'!BD456</f>
        <v>0</v>
      </c>
      <c r="M446" s="20">
        <v>1</v>
      </c>
      <c r="N446" s="20">
        <v>1</v>
      </c>
      <c r="O446" s="20">
        <v>0.2</v>
      </c>
      <c r="P446" s="20">
        <v>0.7</v>
      </c>
      <c r="Q446" s="21">
        <f t="shared" si="46"/>
        <v>2.8999999999999998E-2</v>
      </c>
    </row>
    <row r="447" spans="2:17" ht="74.25" customHeight="1" x14ac:dyDescent="0.45">
      <c r="B447" s="22" t="s">
        <v>145</v>
      </c>
      <c r="C447" s="22" t="s">
        <v>33</v>
      </c>
      <c r="D447" s="151">
        <v>415</v>
      </c>
      <c r="E447" s="20">
        <f>'Work Progress (%)'!G457</f>
        <v>0</v>
      </c>
      <c r="F447" s="20">
        <f>'Work Progress (%)'!L457</f>
        <v>0</v>
      </c>
      <c r="G447" s="20">
        <f>'Work Progress (%)'!Y457</f>
        <v>0</v>
      </c>
      <c r="H447" s="20">
        <f>'Work Progress (%)'!AD457</f>
        <v>0</v>
      </c>
      <c r="I447" s="20">
        <f>'Work Progress (%)'!AI457</f>
        <v>0</v>
      </c>
      <c r="J447" s="20">
        <f>'Work Progress (%)'!AQ457</f>
        <v>0</v>
      </c>
      <c r="K447" s="20">
        <f>'Work Progress (%)'!AV457</f>
        <v>0</v>
      </c>
      <c r="L447" s="20">
        <f>'Work Progress (%)'!BD457</f>
        <v>0</v>
      </c>
      <c r="M447" s="20">
        <v>1</v>
      </c>
      <c r="N447" s="20">
        <v>1</v>
      </c>
      <c r="O447" s="20">
        <v>0.2</v>
      </c>
      <c r="P447" s="20">
        <v>0.7</v>
      </c>
      <c r="Q447" s="21">
        <f t="shared" si="46"/>
        <v>2.8999999999999998E-2</v>
      </c>
    </row>
    <row r="448" spans="2:17" ht="74.25" customHeight="1" x14ac:dyDescent="0.45">
      <c r="B448" s="22" t="s">
        <v>145</v>
      </c>
      <c r="C448" s="22" t="s">
        <v>33</v>
      </c>
      <c r="D448" s="151">
        <v>416</v>
      </c>
      <c r="E448" s="20">
        <f>'Work Progress (%)'!G458</f>
        <v>0</v>
      </c>
      <c r="F448" s="20">
        <f>'Work Progress (%)'!L458</f>
        <v>0</v>
      </c>
      <c r="G448" s="20">
        <f>'Work Progress (%)'!Y458</f>
        <v>0</v>
      </c>
      <c r="H448" s="20">
        <f>'Work Progress (%)'!AD458</f>
        <v>0</v>
      </c>
      <c r="I448" s="20">
        <f>'Work Progress (%)'!AI458</f>
        <v>0</v>
      </c>
      <c r="J448" s="20">
        <f>'Work Progress (%)'!AQ458</f>
        <v>0</v>
      </c>
      <c r="K448" s="20">
        <f>'Work Progress (%)'!AV458</f>
        <v>0</v>
      </c>
      <c r="L448" s="20">
        <f>'Work Progress (%)'!BD458</f>
        <v>0</v>
      </c>
      <c r="M448" s="20">
        <v>1</v>
      </c>
      <c r="N448" s="20">
        <v>1</v>
      </c>
      <c r="O448" s="20">
        <v>0.2</v>
      </c>
      <c r="P448" s="20">
        <v>0.7</v>
      </c>
      <c r="Q448" s="21">
        <f t="shared" si="46"/>
        <v>2.8999999999999998E-2</v>
      </c>
    </row>
    <row r="449" spans="2:17" ht="74.25" customHeight="1" x14ac:dyDescent="0.45">
      <c r="B449" s="22" t="s">
        <v>145</v>
      </c>
      <c r="C449" s="22"/>
      <c r="D449" s="154" t="s">
        <v>34</v>
      </c>
      <c r="E449" s="141">
        <f>AVERAGE(E451:E465)</f>
        <v>0</v>
      </c>
      <c r="F449" s="141">
        <f t="shared" ref="F449:P449" si="47">AVERAGE(F451:F465)</f>
        <v>0</v>
      </c>
      <c r="G449" s="20">
        <f t="shared" si="47"/>
        <v>0</v>
      </c>
      <c r="H449" s="141">
        <f t="shared" si="47"/>
        <v>0</v>
      </c>
      <c r="I449" s="141">
        <f t="shared" si="47"/>
        <v>0</v>
      </c>
      <c r="J449" s="141">
        <f t="shared" si="47"/>
        <v>0</v>
      </c>
      <c r="K449" s="141">
        <f t="shared" si="47"/>
        <v>0</v>
      </c>
      <c r="L449" s="141">
        <f t="shared" si="47"/>
        <v>0</v>
      </c>
      <c r="M449" s="141">
        <f t="shared" si="47"/>
        <v>1</v>
      </c>
      <c r="N449" s="141">
        <f t="shared" si="47"/>
        <v>1</v>
      </c>
      <c r="O449" s="141">
        <f t="shared" si="47"/>
        <v>0.20000000000000004</v>
      </c>
      <c r="P449" s="141">
        <f t="shared" si="47"/>
        <v>0.69999999999999984</v>
      </c>
      <c r="Q449" s="14">
        <f>AVERAGE(Q450:Q465)</f>
        <v>2.9000000000000012E-2</v>
      </c>
    </row>
    <row r="450" spans="2:17" ht="74.25" customHeight="1" x14ac:dyDescent="0.45">
      <c r="B450" s="22" t="s">
        <v>145</v>
      </c>
      <c r="C450" s="22" t="s">
        <v>35</v>
      </c>
      <c r="D450" s="151">
        <v>501</v>
      </c>
      <c r="E450" s="20">
        <f>'Work Progress (%)'!G460</f>
        <v>0</v>
      </c>
      <c r="F450" s="20">
        <f>'Work Progress (%)'!L460</f>
        <v>0</v>
      </c>
      <c r="G450" s="20">
        <f>'Work Progress (%)'!Y460</f>
        <v>0</v>
      </c>
      <c r="H450" s="20">
        <f>'Work Progress (%)'!AD460</f>
        <v>0</v>
      </c>
      <c r="I450" s="20">
        <f>'Work Progress (%)'!AI460</f>
        <v>0</v>
      </c>
      <c r="J450" s="20">
        <f>'Work Progress (%)'!AQ460</f>
        <v>0</v>
      </c>
      <c r="K450" s="20">
        <f>'Work Progress (%)'!AV460</f>
        <v>0</v>
      </c>
      <c r="L450" s="20">
        <f>'Work Progress (%)'!BD460</f>
        <v>0</v>
      </c>
      <c r="M450" s="20">
        <v>1</v>
      </c>
      <c r="N450" s="20">
        <v>1</v>
      </c>
      <c r="O450" s="20">
        <v>0.2</v>
      </c>
      <c r="P450" s="20">
        <v>0.7</v>
      </c>
      <c r="Q450" s="21">
        <f t="shared" ref="Q450:Q465" si="48">SUMPRODUCT(E450:P450, E$2:P$2)</f>
        <v>2.8999999999999998E-2</v>
      </c>
    </row>
    <row r="451" spans="2:17" ht="74.25" customHeight="1" x14ac:dyDescent="0.45">
      <c r="B451" s="22" t="s">
        <v>145</v>
      </c>
      <c r="C451" s="22" t="s">
        <v>35</v>
      </c>
      <c r="D451" s="151">
        <v>502</v>
      </c>
      <c r="E451" s="20">
        <f>'Work Progress (%)'!G461</f>
        <v>0</v>
      </c>
      <c r="F451" s="20">
        <f>'Work Progress (%)'!L461</f>
        <v>0</v>
      </c>
      <c r="G451" s="20">
        <f>'Work Progress (%)'!Y461</f>
        <v>0</v>
      </c>
      <c r="H451" s="20">
        <f>'Work Progress (%)'!AD461</f>
        <v>0</v>
      </c>
      <c r="I451" s="20">
        <f>'Work Progress (%)'!AI461</f>
        <v>0</v>
      </c>
      <c r="J451" s="20">
        <f>'Work Progress (%)'!AQ461</f>
        <v>0</v>
      </c>
      <c r="K451" s="20">
        <f>'Work Progress (%)'!AV461</f>
        <v>0</v>
      </c>
      <c r="L451" s="20">
        <f>'Work Progress (%)'!BD461</f>
        <v>0</v>
      </c>
      <c r="M451" s="20">
        <v>1</v>
      </c>
      <c r="N451" s="20">
        <v>1</v>
      </c>
      <c r="O451" s="20">
        <v>0.2</v>
      </c>
      <c r="P451" s="20">
        <v>0.7</v>
      </c>
      <c r="Q451" s="21">
        <f t="shared" si="48"/>
        <v>2.8999999999999998E-2</v>
      </c>
    </row>
    <row r="452" spans="2:17" ht="74.25" customHeight="1" x14ac:dyDescent="0.45">
      <c r="B452" s="22" t="s">
        <v>145</v>
      </c>
      <c r="C452" s="22" t="s">
        <v>35</v>
      </c>
      <c r="D452" s="151">
        <v>503</v>
      </c>
      <c r="E452" s="20">
        <f>'Work Progress (%)'!G462</f>
        <v>0</v>
      </c>
      <c r="F452" s="20">
        <f>'Work Progress (%)'!L462</f>
        <v>0</v>
      </c>
      <c r="G452" s="20">
        <f>'Work Progress (%)'!Y462</f>
        <v>0</v>
      </c>
      <c r="H452" s="20">
        <f>'Work Progress (%)'!AD462</f>
        <v>0</v>
      </c>
      <c r="I452" s="20">
        <f>'Work Progress (%)'!AI462</f>
        <v>0</v>
      </c>
      <c r="J452" s="20">
        <f>'Work Progress (%)'!AQ462</f>
        <v>0</v>
      </c>
      <c r="K452" s="20">
        <f>'Work Progress (%)'!AV462</f>
        <v>0</v>
      </c>
      <c r="L452" s="20">
        <f>'Work Progress (%)'!BD462</f>
        <v>0</v>
      </c>
      <c r="M452" s="20">
        <v>1</v>
      </c>
      <c r="N452" s="20">
        <v>1</v>
      </c>
      <c r="O452" s="20">
        <v>0.2</v>
      </c>
      <c r="P452" s="20">
        <v>0.7</v>
      </c>
      <c r="Q452" s="21">
        <f t="shared" si="48"/>
        <v>2.8999999999999998E-2</v>
      </c>
    </row>
    <row r="453" spans="2:17" ht="74.25" customHeight="1" x14ac:dyDescent="0.45">
      <c r="B453" s="22" t="s">
        <v>145</v>
      </c>
      <c r="C453" s="22" t="s">
        <v>35</v>
      </c>
      <c r="D453" s="151">
        <v>504</v>
      </c>
      <c r="E453" s="20">
        <f>'Work Progress (%)'!G463</f>
        <v>0</v>
      </c>
      <c r="F453" s="20">
        <f>'Work Progress (%)'!L463</f>
        <v>0</v>
      </c>
      <c r="G453" s="20">
        <f>'Work Progress (%)'!Y463</f>
        <v>0</v>
      </c>
      <c r="H453" s="20">
        <f>'Work Progress (%)'!AD463</f>
        <v>0</v>
      </c>
      <c r="I453" s="20">
        <f>'Work Progress (%)'!AI463</f>
        <v>0</v>
      </c>
      <c r="J453" s="20">
        <f>'Work Progress (%)'!AQ463</f>
        <v>0</v>
      </c>
      <c r="K453" s="20">
        <f>'Work Progress (%)'!AV463</f>
        <v>0</v>
      </c>
      <c r="L453" s="20">
        <f>'Work Progress (%)'!BD463</f>
        <v>0</v>
      </c>
      <c r="M453" s="20">
        <v>1</v>
      </c>
      <c r="N453" s="20">
        <v>1</v>
      </c>
      <c r="O453" s="20">
        <v>0.2</v>
      </c>
      <c r="P453" s="20">
        <v>0.7</v>
      </c>
      <c r="Q453" s="21">
        <f t="shared" si="48"/>
        <v>2.8999999999999998E-2</v>
      </c>
    </row>
    <row r="454" spans="2:17" ht="74.25" customHeight="1" x14ac:dyDescent="0.45">
      <c r="B454" s="22" t="s">
        <v>145</v>
      </c>
      <c r="C454" s="22" t="s">
        <v>35</v>
      </c>
      <c r="D454" s="151">
        <v>505</v>
      </c>
      <c r="E454" s="20">
        <f>'Work Progress (%)'!G464</f>
        <v>0</v>
      </c>
      <c r="F454" s="20">
        <f>'Work Progress (%)'!L464</f>
        <v>0</v>
      </c>
      <c r="G454" s="20">
        <f>'Work Progress (%)'!Y464</f>
        <v>0</v>
      </c>
      <c r="H454" s="20">
        <f>'Work Progress (%)'!AD464</f>
        <v>0</v>
      </c>
      <c r="I454" s="20">
        <f>'Work Progress (%)'!AI464</f>
        <v>0</v>
      </c>
      <c r="J454" s="20">
        <f>'Work Progress (%)'!AQ464</f>
        <v>0</v>
      </c>
      <c r="K454" s="20">
        <f>'Work Progress (%)'!AV464</f>
        <v>0</v>
      </c>
      <c r="L454" s="20">
        <f>'Work Progress (%)'!BD464</f>
        <v>0</v>
      </c>
      <c r="M454" s="20">
        <v>1</v>
      </c>
      <c r="N454" s="20">
        <v>1</v>
      </c>
      <c r="O454" s="20">
        <v>0.2</v>
      </c>
      <c r="P454" s="20">
        <v>0.7</v>
      </c>
      <c r="Q454" s="21">
        <f t="shared" si="48"/>
        <v>2.8999999999999998E-2</v>
      </c>
    </row>
    <row r="455" spans="2:17" ht="74.25" customHeight="1" x14ac:dyDescent="0.45">
      <c r="B455" s="22" t="s">
        <v>145</v>
      </c>
      <c r="C455" s="22" t="s">
        <v>35</v>
      </c>
      <c r="D455" s="151">
        <v>506</v>
      </c>
      <c r="E455" s="20">
        <f>'Work Progress (%)'!G465</f>
        <v>0</v>
      </c>
      <c r="F455" s="20">
        <f>'Work Progress (%)'!L465</f>
        <v>0</v>
      </c>
      <c r="G455" s="20">
        <f>'Work Progress (%)'!Y465</f>
        <v>0</v>
      </c>
      <c r="H455" s="20">
        <f>'Work Progress (%)'!AD465</f>
        <v>0</v>
      </c>
      <c r="I455" s="20">
        <f>'Work Progress (%)'!AI465</f>
        <v>0</v>
      </c>
      <c r="J455" s="20">
        <f>'Work Progress (%)'!AQ465</f>
        <v>0</v>
      </c>
      <c r="K455" s="20">
        <f>'Work Progress (%)'!AV465</f>
        <v>0</v>
      </c>
      <c r="L455" s="20">
        <f>'Work Progress (%)'!BD465</f>
        <v>0</v>
      </c>
      <c r="M455" s="20">
        <v>1</v>
      </c>
      <c r="N455" s="20">
        <v>1</v>
      </c>
      <c r="O455" s="20">
        <v>0.2</v>
      </c>
      <c r="P455" s="20">
        <v>0.7</v>
      </c>
      <c r="Q455" s="21">
        <f t="shared" si="48"/>
        <v>2.8999999999999998E-2</v>
      </c>
    </row>
    <row r="456" spans="2:17" ht="74.25" customHeight="1" x14ac:dyDescent="0.45">
      <c r="B456" s="22" t="s">
        <v>145</v>
      </c>
      <c r="C456" s="22" t="s">
        <v>35</v>
      </c>
      <c r="D456" s="151">
        <v>507</v>
      </c>
      <c r="E456" s="20">
        <f>'Work Progress (%)'!G466</f>
        <v>0</v>
      </c>
      <c r="F456" s="20">
        <f>'Work Progress (%)'!L466</f>
        <v>0</v>
      </c>
      <c r="G456" s="20">
        <f>'Work Progress (%)'!Y466</f>
        <v>0</v>
      </c>
      <c r="H456" s="20">
        <f>'Work Progress (%)'!AD466</f>
        <v>0</v>
      </c>
      <c r="I456" s="20">
        <f>'Work Progress (%)'!AI466</f>
        <v>0</v>
      </c>
      <c r="J456" s="20">
        <f>'Work Progress (%)'!AQ466</f>
        <v>0</v>
      </c>
      <c r="K456" s="20">
        <f>'Work Progress (%)'!AV466</f>
        <v>0</v>
      </c>
      <c r="L456" s="20">
        <f>'Work Progress (%)'!BD466</f>
        <v>0</v>
      </c>
      <c r="M456" s="20">
        <v>1</v>
      </c>
      <c r="N456" s="20">
        <v>1</v>
      </c>
      <c r="O456" s="20">
        <v>0.2</v>
      </c>
      <c r="P456" s="20">
        <v>0.7</v>
      </c>
      <c r="Q456" s="21">
        <f t="shared" si="48"/>
        <v>2.8999999999999998E-2</v>
      </c>
    </row>
    <row r="457" spans="2:17" ht="74.25" customHeight="1" x14ac:dyDescent="0.45">
      <c r="B457" s="22" t="s">
        <v>145</v>
      </c>
      <c r="C457" s="22" t="s">
        <v>35</v>
      </c>
      <c r="D457" s="151">
        <v>508</v>
      </c>
      <c r="E457" s="20">
        <f>'Work Progress (%)'!G467</f>
        <v>0</v>
      </c>
      <c r="F457" s="20">
        <f>'Work Progress (%)'!L467</f>
        <v>0</v>
      </c>
      <c r="G457" s="20">
        <f>'Work Progress (%)'!Y467</f>
        <v>0</v>
      </c>
      <c r="H457" s="20">
        <f>'Work Progress (%)'!AD467</f>
        <v>0</v>
      </c>
      <c r="I457" s="20">
        <f>'Work Progress (%)'!AI467</f>
        <v>0</v>
      </c>
      <c r="J457" s="20">
        <f>'Work Progress (%)'!AQ467</f>
        <v>0</v>
      </c>
      <c r="K457" s="20">
        <f>'Work Progress (%)'!AV467</f>
        <v>0</v>
      </c>
      <c r="L457" s="20">
        <f>'Work Progress (%)'!BD467</f>
        <v>0</v>
      </c>
      <c r="M457" s="20">
        <v>1</v>
      </c>
      <c r="N457" s="20">
        <v>1</v>
      </c>
      <c r="O457" s="20">
        <v>0.2</v>
      </c>
      <c r="P457" s="20">
        <v>0.7</v>
      </c>
      <c r="Q457" s="21">
        <f t="shared" si="48"/>
        <v>2.8999999999999998E-2</v>
      </c>
    </row>
    <row r="458" spans="2:17" ht="74.25" customHeight="1" x14ac:dyDescent="0.45">
      <c r="B458" s="22" t="s">
        <v>145</v>
      </c>
      <c r="C458" s="22" t="s">
        <v>35</v>
      </c>
      <c r="D458" s="151">
        <v>509</v>
      </c>
      <c r="E458" s="20">
        <f>'Work Progress (%)'!G468</f>
        <v>0</v>
      </c>
      <c r="F458" s="20">
        <f>'Work Progress (%)'!L468</f>
        <v>0</v>
      </c>
      <c r="G458" s="20">
        <f>'Work Progress (%)'!Y468</f>
        <v>0</v>
      </c>
      <c r="H458" s="20">
        <f>'Work Progress (%)'!AD468</f>
        <v>0</v>
      </c>
      <c r="I458" s="20">
        <f>'Work Progress (%)'!AI468</f>
        <v>0</v>
      </c>
      <c r="J458" s="20">
        <f>'Work Progress (%)'!AQ468</f>
        <v>0</v>
      </c>
      <c r="K458" s="20">
        <f>'Work Progress (%)'!AV468</f>
        <v>0</v>
      </c>
      <c r="L458" s="20">
        <f>'Work Progress (%)'!BD468</f>
        <v>0</v>
      </c>
      <c r="M458" s="20">
        <v>1</v>
      </c>
      <c r="N458" s="20">
        <v>1</v>
      </c>
      <c r="O458" s="20">
        <v>0.2</v>
      </c>
      <c r="P458" s="20">
        <v>0.7</v>
      </c>
      <c r="Q458" s="21">
        <f t="shared" si="48"/>
        <v>2.8999999999999998E-2</v>
      </c>
    </row>
    <row r="459" spans="2:17" ht="74.25" customHeight="1" x14ac:dyDescent="0.45">
      <c r="B459" s="22" t="s">
        <v>145</v>
      </c>
      <c r="C459" s="22" t="s">
        <v>35</v>
      </c>
      <c r="D459" s="151">
        <v>510</v>
      </c>
      <c r="E459" s="20">
        <f>'Work Progress (%)'!G469</f>
        <v>0</v>
      </c>
      <c r="F459" s="20">
        <f>'Work Progress (%)'!L469</f>
        <v>0</v>
      </c>
      <c r="G459" s="20">
        <f>'Work Progress (%)'!Y469</f>
        <v>0</v>
      </c>
      <c r="H459" s="20">
        <f>'Work Progress (%)'!AD469</f>
        <v>0</v>
      </c>
      <c r="I459" s="20">
        <f>'Work Progress (%)'!AI469</f>
        <v>0</v>
      </c>
      <c r="J459" s="20">
        <f>'Work Progress (%)'!AQ469</f>
        <v>0</v>
      </c>
      <c r="K459" s="20">
        <f>'Work Progress (%)'!AV469</f>
        <v>0</v>
      </c>
      <c r="L459" s="20">
        <f>'Work Progress (%)'!BD469</f>
        <v>0</v>
      </c>
      <c r="M459" s="20">
        <v>1</v>
      </c>
      <c r="N459" s="20">
        <v>1</v>
      </c>
      <c r="O459" s="20">
        <v>0.2</v>
      </c>
      <c r="P459" s="20">
        <v>0.7</v>
      </c>
      <c r="Q459" s="21">
        <f t="shared" si="48"/>
        <v>2.8999999999999998E-2</v>
      </c>
    </row>
    <row r="460" spans="2:17" ht="74.25" customHeight="1" x14ac:dyDescent="0.45">
      <c r="B460" s="22" t="s">
        <v>145</v>
      </c>
      <c r="C460" s="22" t="s">
        <v>35</v>
      </c>
      <c r="D460" s="151">
        <v>511</v>
      </c>
      <c r="E460" s="20">
        <f>'Work Progress (%)'!G470</f>
        <v>0</v>
      </c>
      <c r="F460" s="20">
        <f>'Work Progress (%)'!L470</f>
        <v>0</v>
      </c>
      <c r="G460" s="20">
        <f>'Work Progress (%)'!Y470</f>
        <v>0</v>
      </c>
      <c r="H460" s="20">
        <f>'Work Progress (%)'!AD470</f>
        <v>0</v>
      </c>
      <c r="I460" s="20">
        <f>'Work Progress (%)'!AI470</f>
        <v>0</v>
      </c>
      <c r="J460" s="20">
        <f>'Work Progress (%)'!AQ470</f>
        <v>0</v>
      </c>
      <c r="K460" s="20">
        <f>'Work Progress (%)'!AV470</f>
        <v>0</v>
      </c>
      <c r="L460" s="20">
        <f>'Work Progress (%)'!BD470</f>
        <v>0</v>
      </c>
      <c r="M460" s="20">
        <v>1</v>
      </c>
      <c r="N460" s="20">
        <v>1</v>
      </c>
      <c r="O460" s="20">
        <v>0.2</v>
      </c>
      <c r="P460" s="20">
        <v>0.7</v>
      </c>
      <c r="Q460" s="21">
        <f t="shared" si="48"/>
        <v>2.8999999999999998E-2</v>
      </c>
    </row>
    <row r="461" spans="2:17" ht="74.25" customHeight="1" x14ac:dyDescent="0.45">
      <c r="B461" s="22" t="s">
        <v>145</v>
      </c>
      <c r="C461" s="22" t="s">
        <v>35</v>
      </c>
      <c r="D461" s="151">
        <v>512</v>
      </c>
      <c r="E461" s="20">
        <f>'Work Progress (%)'!G471</f>
        <v>0</v>
      </c>
      <c r="F461" s="20">
        <f>'Work Progress (%)'!L471</f>
        <v>0</v>
      </c>
      <c r="G461" s="20">
        <f>'Work Progress (%)'!Y471</f>
        <v>0</v>
      </c>
      <c r="H461" s="20">
        <f>'Work Progress (%)'!AD471</f>
        <v>0</v>
      </c>
      <c r="I461" s="20">
        <f>'Work Progress (%)'!AI471</f>
        <v>0</v>
      </c>
      <c r="J461" s="20">
        <f>'Work Progress (%)'!AQ471</f>
        <v>0</v>
      </c>
      <c r="K461" s="20">
        <f>'Work Progress (%)'!AV471</f>
        <v>0</v>
      </c>
      <c r="L461" s="20">
        <f>'Work Progress (%)'!BD471</f>
        <v>0</v>
      </c>
      <c r="M461" s="20">
        <v>1</v>
      </c>
      <c r="N461" s="20">
        <v>1</v>
      </c>
      <c r="O461" s="20">
        <v>0.2</v>
      </c>
      <c r="P461" s="20">
        <v>0.7</v>
      </c>
      <c r="Q461" s="21">
        <f t="shared" si="48"/>
        <v>2.8999999999999998E-2</v>
      </c>
    </row>
    <row r="462" spans="2:17" ht="74.25" customHeight="1" x14ac:dyDescent="0.45">
      <c r="B462" s="22" t="s">
        <v>145</v>
      </c>
      <c r="C462" s="22" t="s">
        <v>35</v>
      </c>
      <c r="D462" s="151">
        <v>513</v>
      </c>
      <c r="E462" s="20">
        <f>'Work Progress (%)'!G472</f>
        <v>0</v>
      </c>
      <c r="F462" s="20">
        <f>'Work Progress (%)'!L472</f>
        <v>0</v>
      </c>
      <c r="G462" s="20">
        <f>'Work Progress (%)'!Y472</f>
        <v>0</v>
      </c>
      <c r="H462" s="20">
        <f>'Work Progress (%)'!AD472</f>
        <v>0</v>
      </c>
      <c r="I462" s="20">
        <f>'Work Progress (%)'!AI472</f>
        <v>0</v>
      </c>
      <c r="J462" s="20">
        <f>'Work Progress (%)'!AQ472</f>
        <v>0</v>
      </c>
      <c r="K462" s="20">
        <f>'Work Progress (%)'!AV472</f>
        <v>0</v>
      </c>
      <c r="L462" s="20">
        <f>'Work Progress (%)'!BD472</f>
        <v>0</v>
      </c>
      <c r="M462" s="20">
        <v>1</v>
      </c>
      <c r="N462" s="20">
        <v>1</v>
      </c>
      <c r="O462" s="20">
        <v>0.2</v>
      </c>
      <c r="P462" s="20">
        <v>0.7</v>
      </c>
      <c r="Q462" s="21">
        <f t="shared" si="48"/>
        <v>2.8999999999999998E-2</v>
      </c>
    </row>
    <row r="463" spans="2:17" ht="74.25" customHeight="1" x14ac:dyDescent="0.45">
      <c r="B463" s="22" t="s">
        <v>145</v>
      </c>
      <c r="C463" s="22" t="s">
        <v>35</v>
      </c>
      <c r="D463" s="151">
        <v>514</v>
      </c>
      <c r="E463" s="20">
        <f>'Work Progress (%)'!G473</f>
        <v>0</v>
      </c>
      <c r="F463" s="20">
        <f>'Work Progress (%)'!L473</f>
        <v>0</v>
      </c>
      <c r="G463" s="20">
        <f>'Work Progress (%)'!Y473</f>
        <v>0</v>
      </c>
      <c r="H463" s="20">
        <f>'Work Progress (%)'!AD473</f>
        <v>0</v>
      </c>
      <c r="I463" s="20">
        <f>'Work Progress (%)'!AI473</f>
        <v>0</v>
      </c>
      <c r="J463" s="20">
        <f>'Work Progress (%)'!AQ473</f>
        <v>0</v>
      </c>
      <c r="K463" s="20">
        <f>'Work Progress (%)'!AV473</f>
        <v>0</v>
      </c>
      <c r="L463" s="20">
        <f>'Work Progress (%)'!BD473</f>
        <v>0</v>
      </c>
      <c r="M463" s="20">
        <v>1</v>
      </c>
      <c r="N463" s="20">
        <v>1</v>
      </c>
      <c r="O463" s="20">
        <v>0.2</v>
      </c>
      <c r="P463" s="20">
        <v>0.7</v>
      </c>
      <c r="Q463" s="21">
        <f t="shared" si="48"/>
        <v>2.8999999999999998E-2</v>
      </c>
    </row>
    <row r="464" spans="2:17" ht="74.25" customHeight="1" x14ac:dyDescent="0.45">
      <c r="B464" s="22" t="s">
        <v>145</v>
      </c>
      <c r="C464" s="22" t="s">
        <v>35</v>
      </c>
      <c r="D464" s="151">
        <v>515</v>
      </c>
      <c r="E464" s="20">
        <f>'Work Progress (%)'!G474</f>
        <v>0</v>
      </c>
      <c r="F464" s="20">
        <f>'Work Progress (%)'!L474</f>
        <v>0</v>
      </c>
      <c r="G464" s="20">
        <f>'Work Progress (%)'!Y474</f>
        <v>0</v>
      </c>
      <c r="H464" s="20">
        <f>'Work Progress (%)'!AD474</f>
        <v>0</v>
      </c>
      <c r="I464" s="20">
        <f>'Work Progress (%)'!AI474</f>
        <v>0</v>
      </c>
      <c r="J464" s="20">
        <f>'Work Progress (%)'!AQ474</f>
        <v>0</v>
      </c>
      <c r="K464" s="20">
        <f>'Work Progress (%)'!AV474</f>
        <v>0</v>
      </c>
      <c r="L464" s="20">
        <f>'Work Progress (%)'!BD474</f>
        <v>0</v>
      </c>
      <c r="M464" s="20">
        <v>1</v>
      </c>
      <c r="N464" s="20">
        <v>1</v>
      </c>
      <c r="O464" s="20">
        <v>0.2</v>
      </c>
      <c r="P464" s="20">
        <v>0.7</v>
      </c>
      <c r="Q464" s="21">
        <f t="shared" si="48"/>
        <v>2.8999999999999998E-2</v>
      </c>
    </row>
    <row r="465" spans="2:17" ht="74.25" customHeight="1" x14ac:dyDescent="0.45">
      <c r="B465" s="22" t="s">
        <v>145</v>
      </c>
      <c r="C465" s="22" t="s">
        <v>35</v>
      </c>
      <c r="D465" s="151">
        <v>516</v>
      </c>
      <c r="E465" s="20">
        <f>'Work Progress (%)'!G475</f>
        <v>0</v>
      </c>
      <c r="F465" s="20">
        <f>'Work Progress (%)'!L475</f>
        <v>0</v>
      </c>
      <c r="G465" s="20">
        <f>'Work Progress (%)'!Y475</f>
        <v>0</v>
      </c>
      <c r="H465" s="20">
        <f>'Work Progress (%)'!AD475</f>
        <v>0</v>
      </c>
      <c r="I465" s="20">
        <f>'Work Progress (%)'!AI475</f>
        <v>0</v>
      </c>
      <c r="J465" s="20">
        <f>'Work Progress (%)'!AQ475</f>
        <v>0</v>
      </c>
      <c r="K465" s="20">
        <f>'Work Progress (%)'!AV475</f>
        <v>0</v>
      </c>
      <c r="L465" s="20">
        <f>'Work Progress (%)'!BD475</f>
        <v>0</v>
      </c>
      <c r="M465" s="20">
        <v>1</v>
      </c>
      <c r="N465" s="20">
        <v>1</v>
      </c>
      <c r="O465" s="20">
        <v>0.2</v>
      </c>
      <c r="P465" s="20">
        <v>0.7</v>
      </c>
      <c r="Q465" s="21">
        <f t="shared" si="48"/>
        <v>2.8999999999999998E-2</v>
      </c>
    </row>
    <row r="466" spans="2:17" ht="74.25" customHeight="1" x14ac:dyDescent="0.45">
      <c r="B466" s="22" t="s">
        <v>145</v>
      </c>
      <c r="C466" s="22"/>
      <c r="D466" s="154" t="s">
        <v>36</v>
      </c>
      <c r="E466" s="141">
        <f>AVERAGE(E468:E482)</f>
        <v>0</v>
      </c>
      <c r="F466" s="141">
        <f t="shared" ref="F466:P466" si="49">AVERAGE(F468:F482)</f>
        <v>0</v>
      </c>
      <c r="G466" s="20">
        <f t="shared" si="49"/>
        <v>0</v>
      </c>
      <c r="H466" s="141">
        <f t="shared" si="49"/>
        <v>0</v>
      </c>
      <c r="I466" s="141">
        <f t="shared" si="49"/>
        <v>0</v>
      </c>
      <c r="J466" s="141">
        <f t="shared" si="49"/>
        <v>0</v>
      </c>
      <c r="K466" s="141">
        <f t="shared" si="49"/>
        <v>0</v>
      </c>
      <c r="L466" s="141">
        <f t="shared" si="49"/>
        <v>0</v>
      </c>
      <c r="M466" s="141">
        <f t="shared" si="49"/>
        <v>1</v>
      </c>
      <c r="N466" s="141">
        <f t="shared" si="49"/>
        <v>1</v>
      </c>
      <c r="O466" s="141">
        <f t="shared" si="49"/>
        <v>0.20000000000000004</v>
      </c>
      <c r="P466" s="141">
        <f t="shared" si="49"/>
        <v>0.69999999999999984</v>
      </c>
      <c r="Q466" s="14">
        <f>AVERAGE(Q467:Q482)</f>
        <v>2.9000000000000012E-2</v>
      </c>
    </row>
    <row r="467" spans="2:17" ht="74.25" customHeight="1" x14ac:dyDescent="0.45">
      <c r="B467" s="22" t="s">
        <v>145</v>
      </c>
      <c r="C467" s="22" t="s">
        <v>37</v>
      </c>
      <c r="D467" s="151">
        <v>601</v>
      </c>
      <c r="E467" s="20">
        <f>'Work Progress (%)'!G477</f>
        <v>0</v>
      </c>
      <c r="F467" s="20">
        <f>'Work Progress (%)'!L477</f>
        <v>0</v>
      </c>
      <c r="G467" s="20">
        <f>'Work Progress (%)'!Y477</f>
        <v>0</v>
      </c>
      <c r="H467" s="20">
        <f>'Work Progress (%)'!AD477</f>
        <v>0</v>
      </c>
      <c r="I467" s="20">
        <f>'Work Progress (%)'!AI477</f>
        <v>0</v>
      </c>
      <c r="J467" s="20">
        <f>'Work Progress (%)'!AQ477</f>
        <v>0</v>
      </c>
      <c r="K467" s="20">
        <f>'Work Progress (%)'!AV477</f>
        <v>0</v>
      </c>
      <c r="L467" s="20">
        <f>'Work Progress (%)'!BD477</f>
        <v>0</v>
      </c>
      <c r="M467" s="20">
        <v>1</v>
      </c>
      <c r="N467" s="20">
        <v>1</v>
      </c>
      <c r="O467" s="20">
        <v>0.2</v>
      </c>
      <c r="P467" s="20">
        <v>0.7</v>
      </c>
      <c r="Q467" s="21">
        <f t="shared" ref="Q467:Q482" si="50">SUMPRODUCT(E467:P467, E$2:P$2)</f>
        <v>2.8999999999999998E-2</v>
      </c>
    </row>
    <row r="468" spans="2:17" ht="74.25" customHeight="1" x14ac:dyDescent="0.45">
      <c r="B468" s="22" t="s">
        <v>145</v>
      </c>
      <c r="C468" s="22" t="s">
        <v>37</v>
      </c>
      <c r="D468" s="151">
        <v>602</v>
      </c>
      <c r="E468" s="20">
        <f>'Work Progress (%)'!G478</f>
        <v>0</v>
      </c>
      <c r="F468" s="20">
        <f>'Work Progress (%)'!L478</f>
        <v>0</v>
      </c>
      <c r="G468" s="20">
        <f>'Work Progress (%)'!Y478</f>
        <v>0</v>
      </c>
      <c r="H468" s="20">
        <f>'Work Progress (%)'!AD478</f>
        <v>0</v>
      </c>
      <c r="I468" s="20">
        <f>'Work Progress (%)'!AI478</f>
        <v>0</v>
      </c>
      <c r="J468" s="20">
        <f>'Work Progress (%)'!AQ478</f>
        <v>0</v>
      </c>
      <c r="K468" s="20">
        <f>'Work Progress (%)'!AV478</f>
        <v>0</v>
      </c>
      <c r="L468" s="20">
        <f>'Work Progress (%)'!BD478</f>
        <v>0</v>
      </c>
      <c r="M468" s="20">
        <v>1</v>
      </c>
      <c r="N468" s="20">
        <v>1</v>
      </c>
      <c r="O468" s="20">
        <v>0.2</v>
      </c>
      <c r="P468" s="20">
        <v>0.7</v>
      </c>
      <c r="Q468" s="21">
        <f t="shared" si="50"/>
        <v>2.8999999999999998E-2</v>
      </c>
    </row>
    <row r="469" spans="2:17" ht="74.25" customHeight="1" x14ac:dyDescent="0.45">
      <c r="B469" s="22" t="s">
        <v>145</v>
      </c>
      <c r="C469" s="22" t="s">
        <v>37</v>
      </c>
      <c r="D469" s="151">
        <v>603</v>
      </c>
      <c r="E469" s="20">
        <f>'Work Progress (%)'!G479</f>
        <v>0</v>
      </c>
      <c r="F469" s="20">
        <f>'Work Progress (%)'!L479</f>
        <v>0</v>
      </c>
      <c r="G469" s="20">
        <f>'Work Progress (%)'!Y479</f>
        <v>0</v>
      </c>
      <c r="H469" s="20">
        <f>'Work Progress (%)'!AD479</f>
        <v>0</v>
      </c>
      <c r="I469" s="20">
        <f>'Work Progress (%)'!AI479</f>
        <v>0</v>
      </c>
      <c r="J469" s="20">
        <f>'Work Progress (%)'!AQ479</f>
        <v>0</v>
      </c>
      <c r="K469" s="20">
        <f>'Work Progress (%)'!AV479</f>
        <v>0</v>
      </c>
      <c r="L469" s="20">
        <f>'Work Progress (%)'!BD479</f>
        <v>0</v>
      </c>
      <c r="M469" s="20">
        <v>1</v>
      </c>
      <c r="N469" s="20">
        <v>1</v>
      </c>
      <c r="O469" s="20">
        <v>0.2</v>
      </c>
      <c r="P469" s="20">
        <v>0.7</v>
      </c>
      <c r="Q469" s="21">
        <f t="shared" si="50"/>
        <v>2.8999999999999998E-2</v>
      </c>
    </row>
    <row r="470" spans="2:17" ht="74.25" customHeight="1" x14ac:dyDescent="0.45">
      <c r="B470" s="22" t="s">
        <v>145</v>
      </c>
      <c r="C470" s="22" t="s">
        <v>37</v>
      </c>
      <c r="D470" s="151">
        <v>604</v>
      </c>
      <c r="E470" s="20">
        <f>'Work Progress (%)'!G480</f>
        <v>0</v>
      </c>
      <c r="F470" s="20">
        <f>'Work Progress (%)'!L480</f>
        <v>0</v>
      </c>
      <c r="G470" s="20">
        <f>'Work Progress (%)'!Y480</f>
        <v>0</v>
      </c>
      <c r="H470" s="20">
        <f>'Work Progress (%)'!AD480</f>
        <v>0</v>
      </c>
      <c r="I470" s="20">
        <f>'Work Progress (%)'!AI480</f>
        <v>0</v>
      </c>
      <c r="J470" s="20">
        <f>'Work Progress (%)'!AQ480</f>
        <v>0</v>
      </c>
      <c r="K470" s="20">
        <f>'Work Progress (%)'!AV480</f>
        <v>0</v>
      </c>
      <c r="L470" s="20">
        <f>'Work Progress (%)'!BD480</f>
        <v>0</v>
      </c>
      <c r="M470" s="20">
        <v>1</v>
      </c>
      <c r="N470" s="20">
        <v>1</v>
      </c>
      <c r="O470" s="20">
        <v>0.2</v>
      </c>
      <c r="P470" s="20">
        <v>0.7</v>
      </c>
      <c r="Q470" s="21">
        <f t="shared" si="50"/>
        <v>2.8999999999999998E-2</v>
      </c>
    </row>
    <row r="471" spans="2:17" ht="74.25" customHeight="1" x14ac:dyDescent="0.45">
      <c r="B471" s="22" t="s">
        <v>145</v>
      </c>
      <c r="C471" s="22" t="s">
        <v>37</v>
      </c>
      <c r="D471" s="151">
        <v>605</v>
      </c>
      <c r="E471" s="20">
        <f>'Work Progress (%)'!G481</f>
        <v>0</v>
      </c>
      <c r="F471" s="20">
        <f>'Work Progress (%)'!L481</f>
        <v>0</v>
      </c>
      <c r="G471" s="20">
        <f>'Work Progress (%)'!Y481</f>
        <v>0</v>
      </c>
      <c r="H471" s="20">
        <f>'Work Progress (%)'!AD481</f>
        <v>0</v>
      </c>
      <c r="I471" s="20">
        <f>'Work Progress (%)'!AI481</f>
        <v>0</v>
      </c>
      <c r="J471" s="20">
        <f>'Work Progress (%)'!AQ481</f>
        <v>0</v>
      </c>
      <c r="K471" s="20">
        <f>'Work Progress (%)'!AV481</f>
        <v>0</v>
      </c>
      <c r="L471" s="20">
        <f>'Work Progress (%)'!BD481</f>
        <v>0</v>
      </c>
      <c r="M471" s="20">
        <v>1</v>
      </c>
      <c r="N471" s="20">
        <v>1</v>
      </c>
      <c r="O471" s="20">
        <v>0.2</v>
      </c>
      <c r="P471" s="20">
        <v>0.7</v>
      </c>
      <c r="Q471" s="21">
        <f t="shared" si="50"/>
        <v>2.8999999999999998E-2</v>
      </c>
    </row>
    <row r="472" spans="2:17" ht="74.25" customHeight="1" x14ac:dyDescent="0.45">
      <c r="B472" s="22" t="s">
        <v>145</v>
      </c>
      <c r="C472" s="22" t="s">
        <v>37</v>
      </c>
      <c r="D472" s="151">
        <v>606</v>
      </c>
      <c r="E472" s="20">
        <f>'Work Progress (%)'!G482</f>
        <v>0</v>
      </c>
      <c r="F472" s="20">
        <f>'Work Progress (%)'!L482</f>
        <v>0</v>
      </c>
      <c r="G472" s="20">
        <f>'Work Progress (%)'!Y482</f>
        <v>0</v>
      </c>
      <c r="H472" s="20">
        <f>'Work Progress (%)'!AD482</f>
        <v>0</v>
      </c>
      <c r="I472" s="20">
        <f>'Work Progress (%)'!AI482</f>
        <v>0</v>
      </c>
      <c r="J472" s="20">
        <f>'Work Progress (%)'!AQ482</f>
        <v>0</v>
      </c>
      <c r="K472" s="20">
        <f>'Work Progress (%)'!AV482</f>
        <v>0</v>
      </c>
      <c r="L472" s="20">
        <f>'Work Progress (%)'!BD482</f>
        <v>0</v>
      </c>
      <c r="M472" s="20">
        <v>1</v>
      </c>
      <c r="N472" s="20">
        <v>1</v>
      </c>
      <c r="O472" s="20">
        <v>0.2</v>
      </c>
      <c r="P472" s="20">
        <v>0.7</v>
      </c>
      <c r="Q472" s="21">
        <f t="shared" si="50"/>
        <v>2.8999999999999998E-2</v>
      </c>
    </row>
    <row r="473" spans="2:17" ht="74.25" customHeight="1" x14ac:dyDescent="0.45">
      <c r="B473" s="22" t="s">
        <v>145</v>
      </c>
      <c r="C473" s="22" t="s">
        <v>37</v>
      </c>
      <c r="D473" s="151">
        <v>607</v>
      </c>
      <c r="E473" s="20">
        <f>'Work Progress (%)'!G483</f>
        <v>0</v>
      </c>
      <c r="F473" s="20">
        <f>'Work Progress (%)'!L483</f>
        <v>0</v>
      </c>
      <c r="G473" s="20">
        <f>'Work Progress (%)'!Y483</f>
        <v>0</v>
      </c>
      <c r="H473" s="20">
        <f>'Work Progress (%)'!AD483</f>
        <v>0</v>
      </c>
      <c r="I473" s="20">
        <f>'Work Progress (%)'!AI483</f>
        <v>0</v>
      </c>
      <c r="J473" s="20">
        <f>'Work Progress (%)'!AQ483</f>
        <v>0</v>
      </c>
      <c r="K473" s="20">
        <f>'Work Progress (%)'!AV483</f>
        <v>0</v>
      </c>
      <c r="L473" s="20">
        <f>'Work Progress (%)'!BD483</f>
        <v>0</v>
      </c>
      <c r="M473" s="20">
        <v>1</v>
      </c>
      <c r="N473" s="20">
        <v>1</v>
      </c>
      <c r="O473" s="20">
        <v>0.2</v>
      </c>
      <c r="P473" s="20">
        <v>0.7</v>
      </c>
      <c r="Q473" s="21">
        <f t="shared" si="50"/>
        <v>2.8999999999999998E-2</v>
      </c>
    </row>
    <row r="474" spans="2:17" ht="74.25" customHeight="1" x14ac:dyDescent="0.45">
      <c r="B474" s="22" t="s">
        <v>145</v>
      </c>
      <c r="C474" s="22" t="s">
        <v>37</v>
      </c>
      <c r="D474" s="151">
        <v>608</v>
      </c>
      <c r="E474" s="20">
        <f>'Work Progress (%)'!G484</f>
        <v>0</v>
      </c>
      <c r="F474" s="20">
        <f>'Work Progress (%)'!L484</f>
        <v>0</v>
      </c>
      <c r="G474" s="20">
        <f>'Work Progress (%)'!Y484</f>
        <v>0</v>
      </c>
      <c r="H474" s="20">
        <f>'Work Progress (%)'!AD484</f>
        <v>0</v>
      </c>
      <c r="I474" s="20">
        <f>'Work Progress (%)'!AI484</f>
        <v>0</v>
      </c>
      <c r="J474" s="20">
        <f>'Work Progress (%)'!AQ484</f>
        <v>0</v>
      </c>
      <c r="K474" s="20">
        <f>'Work Progress (%)'!AV484</f>
        <v>0</v>
      </c>
      <c r="L474" s="20">
        <f>'Work Progress (%)'!BD484</f>
        <v>0</v>
      </c>
      <c r="M474" s="20">
        <v>1</v>
      </c>
      <c r="N474" s="20">
        <v>1</v>
      </c>
      <c r="O474" s="20">
        <v>0.2</v>
      </c>
      <c r="P474" s="20">
        <v>0.7</v>
      </c>
      <c r="Q474" s="21">
        <f t="shared" si="50"/>
        <v>2.8999999999999998E-2</v>
      </c>
    </row>
    <row r="475" spans="2:17" ht="74.25" customHeight="1" x14ac:dyDescent="0.45">
      <c r="B475" s="22" t="s">
        <v>145</v>
      </c>
      <c r="C475" s="22" t="s">
        <v>37</v>
      </c>
      <c r="D475" s="151">
        <v>609</v>
      </c>
      <c r="E475" s="20">
        <f>'Work Progress (%)'!G485</f>
        <v>0</v>
      </c>
      <c r="F475" s="20">
        <f>'Work Progress (%)'!L485</f>
        <v>0</v>
      </c>
      <c r="G475" s="20">
        <f>'Work Progress (%)'!Y485</f>
        <v>0</v>
      </c>
      <c r="H475" s="20">
        <f>'Work Progress (%)'!AD485</f>
        <v>0</v>
      </c>
      <c r="I475" s="20">
        <f>'Work Progress (%)'!AI485</f>
        <v>0</v>
      </c>
      <c r="J475" s="20">
        <f>'Work Progress (%)'!AQ485</f>
        <v>0</v>
      </c>
      <c r="K475" s="20">
        <f>'Work Progress (%)'!AV485</f>
        <v>0</v>
      </c>
      <c r="L475" s="20">
        <f>'Work Progress (%)'!BD485</f>
        <v>0</v>
      </c>
      <c r="M475" s="20">
        <v>1</v>
      </c>
      <c r="N475" s="20">
        <v>1</v>
      </c>
      <c r="O475" s="20">
        <v>0.2</v>
      </c>
      <c r="P475" s="20">
        <v>0.7</v>
      </c>
      <c r="Q475" s="21">
        <f t="shared" si="50"/>
        <v>2.8999999999999998E-2</v>
      </c>
    </row>
    <row r="476" spans="2:17" ht="74.25" customHeight="1" x14ac:dyDescent="0.45">
      <c r="B476" s="22" t="s">
        <v>145</v>
      </c>
      <c r="C476" s="22" t="s">
        <v>37</v>
      </c>
      <c r="D476" s="151">
        <v>610</v>
      </c>
      <c r="E476" s="20">
        <f>'Work Progress (%)'!G486</f>
        <v>0</v>
      </c>
      <c r="F476" s="20">
        <f>'Work Progress (%)'!L486</f>
        <v>0</v>
      </c>
      <c r="G476" s="20">
        <f>'Work Progress (%)'!Y486</f>
        <v>0</v>
      </c>
      <c r="H476" s="20">
        <f>'Work Progress (%)'!AD486</f>
        <v>0</v>
      </c>
      <c r="I476" s="20">
        <f>'Work Progress (%)'!AI486</f>
        <v>0</v>
      </c>
      <c r="J476" s="20">
        <f>'Work Progress (%)'!AQ486</f>
        <v>0</v>
      </c>
      <c r="K476" s="20">
        <f>'Work Progress (%)'!AV486</f>
        <v>0</v>
      </c>
      <c r="L476" s="20">
        <f>'Work Progress (%)'!BD486</f>
        <v>0</v>
      </c>
      <c r="M476" s="20">
        <v>1</v>
      </c>
      <c r="N476" s="20">
        <v>1</v>
      </c>
      <c r="O476" s="20">
        <v>0.2</v>
      </c>
      <c r="P476" s="20">
        <v>0.7</v>
      </c>
      <c r="Q476" s="21">
        <f t="shared" si="50"/>
        <v>2.8999999999999998E-2</v>
      </c>
    </row>
    <row r="477" spans="2:17" ht="74.25" customHeight="1" x14ac:dyDescent="0.45">
      <c r="B477" s="22" t="s">
        <v>145</v>
      </c>
      <c r="C477" s="22" t="s">
        <v>37</v>
      </c>
      <c r="D477" s="151">
        <v>611</v>
      </c>
      <c r="E477" s="20">
        <f>'Work Progress (%)'!G487</f>
        <v>0</v>
      </c>
      <c r="F477" s="20">
        <f>'Work Progress (%)'!L487</f>
        <v>0</v>
      </c>
      <c r="G477" s="20">
        <f>'Work Progress (%)'!Y487</f>
        <v>0</v>
      </c>
      <c r="H477" s="20">
        <f>'Work Progress (%)'!AD487</f>
        <v>0</v>
      </c>
      <c r="I477" s="20">
        <f>'Work Progress (%)'!AI487</f>
        <v>0</v>
      </c>
      <c r="J477" s="20">
        <f>'Work Progress (%)'!AQ487</f>
        <v>0</v>
      </c>
      <c r="K477" s="20">
        <f>'Work Progress (%)'!AV487</f>
        <v>0</v>
      </c>
      <c r="L477" s="20">
        <f>'Work Progress (%)'!BD487</f>
        <v>0</v>
      </c>
      <c r="M477" s="20">
        <v>1</v>
      </c>
      <c r="N477" s="20">
        <v>1</v>
      </c>
      <c r="O477" s="20">
        <v>0.2</v>
      </c>
      <c r="P477" s="20">
        <v>0.7</v>
      </c>
      <c r="Q477" s="21">
        <f t="shared" si="50"/>
        <v>2.8999999999999998E-2</v>
      </c>
    </row>
    <row r="478" spans="2:17" ht="74.25" customHeight="1" x14ac:dyDescent="0.45">
      <c r="B478" s="22" t="s">
        <v>145</v>
      </c>
      <c r="C478" s="22" t="s">
        <v>37</v>
      </c>
      <c r="D478" s="151">
        <v>612</v>
      </c>
      <c r="E478" s="20">
        <f>'Work Progress (%)'!G488</f>
        <v>0</v>
      </c>
      <c r="F478" s="20">
        <f>'Work Progress (%)'!L488</f>
        <v>0</v>
      </c>
      <c r="G478" s="20">
        <f>'Work Progress (%)'!Y488</f>
        <v>0</v>
      </c>
      <c r="H478" s="20">
        <f>'Work Progress (%)'!AD488</f>
        <v>0</v>
      </c>
      <c r="I478" s="20">
        <f>'Work Progress (%)'!AI488</f>
        <v>0</v>
      </c>
      <c r="J478" s="20">
        <f>'Work Progress (%)'!AQ488</f>
        <v>0</v>
      </c>
      <c r="K478" s="20">
        <f>'Work Progress (%)'!AV488</f>
        <v>0</v>
      </c>
      <c r="L478" s="20">
        <f>'Work Progress (%)'!BD488</f>
        <v>0</v>
      </c>
      <c r="M478" s="20">
        <v>1</v>
      </c>
      <c r="N478" s="20">
        <v>1</v>
      </c>
      <c r="O478" s="20">
        <v>0.2</v>
      </c>
      <c r="P478" s="20">
        <v>0.7</v>
      </c>
      <c r="Q478" s="21">
        <f t="shared" si="50"/>
        <v>2.8999999999999998E-2</v>
      </c>
    </row>
    <row r="479" spans="2:17" ht="74.25" customHeight="1" x14ac:dyDescent="0.45">
      <c r="B479" s="22" t="s">
        <v>145</v>
      </c>
      <c r="C479" s="22" t="s">
        <v>37</v>
      </c>
      <c r="D479" s="151">
        <v>613</v>
      </c>
      <c r="E479" s="20">
        <f>'Work Progress (%)'!G489</f>
        <v>0</v>
      </c>
      <c r="F479" s="20">
        <f>'Work Progress (%)'!L489</f>
        <v>0</v>
      </c>
      <c r="G479" s="20">
        <f>'Work Progress (%)'!Y489</f>
        <v>0</v>
      </c>
      <c r="H479" s="20">
        <f>'Work Progress (%)'!AD489</f>
        <v>0</v>
      </c>
      <c r="I479" s="20">
        <f>'Work Progress (%)'!AI489</f>
        <v>0</v>
      </c>
      <c r="J479" s="20">
        <f>'Work Progress (%)'!AQ489</f>
        <v>0</v>
      </c>
      <c r="K479" s="20">
        <f>'Work Progress (%)'!AV489</f>
        <v>0</v>
      </c>
      <c r="L479" s="20">
        <f>'Work Progress (%)'!BD489</f>
        <v>0</v>
      </c>
      <c r="M479" s="20">
        <v>1</v>
      </c>
      <c r="N479" s="20">
        <v>1</v>
      </c>
      <c r="O479" s="20">
        <v>0.2</v>
      </c>
      <c r="P479" s="20">
        <v>0.7</v>
      </c>
      <c r="Q479" s="21">
        <f t="shared" si="50"/>
        <v>2.8999999999999998E-2</v>
      </c>
    </row>
    <row r="480" spans="2:17" ht="74.25" customHeight="1" x14ac:dyDescent="0.45">
      <c r="B480" s="22" t="s">
        <v>145</v>
      </c>
      <c r="C480" s="22" t="s">
        <v>37</v>
      </c>
      <c r="D480" s="151">
        <v>614</v>
      </c>
      <c r="E480" s="20">
        <f>'Work Progress (%)'!G490</f>
        <v>0</v>
      </c>
      <c r="F480" s="20">
        <f>'Work Progress (%)'!L490</f>
        <v>0</v>
      </c>
      <c r="G480" s="20">
        <f>'Work Progress (%)'!Y490</f>
        <v>0</v>
      </c>
      <c r="H480" s="20">
        <f>'Work Progress (%)'!AD490</f>
        <v>0</v>
      </c>
      <c r="I480" s="20">
        <f>'Work Progress (%)'!AI490</f>
        <v>0</v>
      </c>
      <c r="J480" s="20">
        <f>'Work Progress (%)'!AQ490</f>
        <v>0</v>
      </c>
      <c r="K480" s="20">
        <f>'Work Progress (%)'!AV490</f>
        <v>0</v>
      </c>
      <c r="L480" s="20">
        <f>'Work Progress (%)'!BD490</f>
        <v>0</v>
      </c>
      <c r="M480" s="20">
        <v>1</v>
      </c>
      <c r="N480" s="20">
        <v>1</v>
      </c>
      <c r="O480" s="20">
        <v>0.2</v>
      </c>
      <c r="P480" s="20">
        <v>0.7</v>
      </c>
      <c r="Q480" s="21">
        <f t="shared" si="50"/>
        <v>2.8999999999999998E-2</v>
      </c>
    </row>
    <row r="481" spans="2:17" ht="74.25" customHeight="1" x14ac:dyDescent="0.45">
      <c r="B481" s="22" t="s">
        <v>145</v>
      </c>
      <c r="C481" s="22" t="s">
        <v>37</v>
      </c>
      <c r="D481" s="151">
        <v>615</v>
      </c>
      <c r="E481" s="20">
        <f>'Work Progress (%)'!G491</f>
        <v>0</v>
      </c>
      <c r="F481" s="20">
        <f>'Work Progress (%)'!L491</f>
        <v>0</v>
      </c>
      <c r="G481" s="20">
        <f>'Work Progress (%)'!Y491</f>
        <v>0</v>
      </c>
      <c r="H481" s="20">
        <f>'Work Progress (%)'!AD491</f>
        <v>0</v>
      </c>
      <c r="I481" s="20">
        <f>'Work Progress (%)'!AI491</f>
        <v>0</v>
      </c>
      <c r="J481" s="20">
        <f>'Work Progress (%)'!AQ491</f>
        <v>0</v>
      </c>
      <c r="K481" s="20">
        <f>'Work Progress (%)'!AV491</f>
        <v>0</v>
      </c>
      <c r="L481" s="20">
        <f>'Work Progress (%)'!BD491</f>
        <v>0</v>
      </c>
      <c r="M481" s="20">
        <v>1</v>
      </c>
      <c r="N481" s="20">
        <v>1</v>
      </c>
      <c r="O481" s="20">
        <v>0.2</v>
      </c>
      <c r="P481" s="20">
        <v>0.7</v>
      </c>
      <c r="Q481" s="21">
        <f t="shared" si="50"/>
        <v>2.8999999999999998E-2</v>
      </c>
    </row>
    <row r="482" spans="2:17" ht="74.25" customHeight="1" x14ac:dyDescent="0.45">
      <c r="B482" s="22" t="s">
        <v>145</v>
      </c>
      <c r="C482" s="22" t="s">
        <v>37</v>
      </c>
      <c r="D482" s="151">
        <v>616</v>
      </c>
      <c r="E482" s="20">
        <f>'Work Progress (%)'!G492</f>
        <v>0</v>
      </c>
      <c r="F482" s="20">
        <f>'Work Progress (%)'!L492</f>
        <v>0</v>
      </c>
      <c r="G482" s="20">
        <f>'Work Progress (%)'!Y492</f>
        <v>0</v>
      </c>
      <c r="H482" s="20">
        <f>'Work Progress (%)'!AD492</f>
        <v>0</v>
      </c>
      <c r="I482" s="20">
        <f>'Work Progress (%)'!AI492</f>
        <v>0</v>
      </c>
      <c r="J482" s="20">
        <f>'Work Progress (%)'!AQ492</f>
        <v>0</v>
      </c>
      <c r="K482" s="20">
        <f>'Work Progress (%)'!AV492</f>
        <v>0</v>
      </c>
      <c r="L482" s="20">
        <f>'Work Progress (%)'!BD492</f>
        <v>0</v>
      </c>
      <c r="M482" s="20">
        <v>1</v>
      </c>
      <c r="N482" s="20">
        <v>1</v>
      </c>
      <c r="O482" s="20">
        <v>0.2</v>
      </c>
      <c r="P482" s="20">
        <v>0.7</v>
      </c>
      <c r="Q482" s="21">
        <f t="shared" si="50"/>
        <v>2.8999999999999998E-2</v>
      </c>
    </row>
    <row r="483" spans="2:17" ht="74.25" customHeight="1" x14ac:dyDescent="0.45">
      <c r="B483" s="22" t="s">
        <v>145</v>
      </c>
      <c r="C483" s="22"/>
      <c r="D483" s="154" t="s">
        <v>38</v>
      </c>
      <c r="E483" s="141">
        <f>AVERAGE(E485:E499)</f>
        <v>0</v>
      </c>
      <c r="F483" s="141">
        <f t="shared" ref="F483:P483" si="51">AVERAGE(F485:F499)</f>
        <v>0</v>
      </c>
      <c r="G483" s="20">
        <f t="shared" si="51"/>
        <v>0</v>
      </c>
      <c r="H483" s="141">
        <f t="shared" si="51"/>
        <v>0</v>
      </c>
      <c r="I483" s="141">
        <f t="shared" si="51"/>
        <v>0</v>
      </c>
      <c r="J483" s="141">
        <f t="shared" si="51"/>
        <v>0</v>
      </c>
      <c r="K483" s="141">
        <f t="shared" si="51"/>
        <v>0</v>
      </c>
      <c r="L483" s="141">
        <f t="shared" si="51"/>
        <v>0</v>
      </c>
      <c r="M483" s="141">
        <f t="shared" si="51"/>
        <v>1</v>
      </c>
      <c r="N483" s="141">
        <f t="shared" si="51"/>
        <v>1</v>
      </c>
      <c r="O483" s="141">
        <f t="shared" si="51"/>
        <v>0.20000000000000004</v>
      </c>
      <c r="P483" s="141">
        <f t="shared" si="51"/>
        <v>0.69999999999999984</v>
      </c>
      <c r="Q483" s="14">
        <f>AVERAGE(Q484:Q499)</f>
        <v>2.9000000000000012E-2</v>
      </c>
    </row>
    <row r="484" spans="2:17" ht="74.25" customHeight="1" x14ac:dyDescent="0.45">
      <c r="B484" s="22" t="s">
        <v>145</v>
      </c>
      <c r="C484" s="22" t="s">
        <v>39</v>
      </c>
      <c r="D484" s="151">
        <v>701</v>
      </c>
      <c r="E484" s="20">
        <f>'Work Progress (%)'!G494</f>
        <v>0</v>
      </c>
      <c r="F484" s="20">
        <f>'Work Progress (%)'!L494</f>
        <v>0</v>
      </c>
      <c r="G484" s="20">
        <f>'Work Progress (%)'!Y494</f>
        <v>0</v>
      </c>
      <c r="H484" s="20">
        <f>'Work Progress (%)'!AD494</f>
        <v>0</v>
      </c>
      <c r="I484" s="20">
        <f>'Work Progress (%)'!AI494</f>
        <v>0</v>
      </c>
      <c r="J484" s="20">
        <f>'Work Progress (%)'!AQ494</f>
        <v>0</v>
      </c>
      <c r="K484" s="20">
        <f>'Work Progress (%)'!AV494</f>
        <v>0</v>
      </c>
      <c r="L484" s="20">
        <f>'Work Progress (%)'!BD494</f>
        <v>0</v>
      </c>
      <c r="M484" s="20">
        <v>1</v>
      </c>
      <c r="N484" s="20">
        <v>1</v>
      </c>
      <c r="O484" s="20">
        <v>0.2</v>
      </c>
      <c r="P484" s="20">
        <v>0.7</v>
      </c>
      <c r="Q484" s="21">
        <f t="shared" ref="Q484:Q499" si="52">SUMPRODUCT(E484:P484, E$2:P$2)</f>
        <v>2.8999999999999998E-2</v>
      </c>
    </row>
    <row r="485" spans="2:17" ht="74.25" customHeight="1" x14ac:dyDescent="0.45">
      <c r="B485" s="22" t="s">
        <v>145</v>
      </c>
      <c r="C485" s="22" t="s">
        <v>39</v>
      </c>
      <c r="D485" s="151">
        <v>702</v>
      </c>
      <c r="E485" s="20">
        <f>'Work Progress (%)'!G495</f>
        <v>0</v>
      </c>
      <c r="F485" s="20">
        <f>'Work Progress (%)'!L495</f>
        <v>0</v>
      </c>
      <c r="G485" s="20">
        <f>'Work Progress (%)'!Y495</f>
        <v>0</v>
      </c>
      <c r="H485" s="20">
        <f>'Work Progress (%)'!AD495</f>
        <v>0</v>
      </c>
      <c r="I485" s="20">
        <f>'Work Progress (%)'!AI495</f>
        <v>0</v>
      </c>
      <c r="J485" s="20">
        <f>'Work Progress (%)'!AQ495</f>
        <v>0</v>
      </c>
      <c r="K485" s="20">
        <f>'Work Progress (%)'!AV495</f>
        <v>0</v>
      </c>
      <c r="L485" s="20">
        <f>'Work Progress (%)'!BD495</f>
        <v>0</v>
      </c>
      <c r="M485" s="20">
        <v>1</v>
      </c>
      <c r="N485" s="20">
        <v>1</v>
      </c>
      <c r="O485" s="20">
        <v>0.2</v>
      </c>
      <c r="P485" s="20">
        <v>0.7</v>
      </c>
      <c r="Q485" s="21">
        <f t="shared" si="52"/>
        <v>2.8999999999999998E-2</v>
      </c>
    </row>
    <row r="486" spans="2:17" ht="74.25" customHeight="1" x14ac:dyDescent="0.45">
      <c r="B486" s="22" t="s">
        <v>145</v>
      </c>
      <c r="C486" s="22" t="s">
        <v>39</v>
      </c>
      <c r="D486" s="151">
        <v>703</v>
      </c>
      <c r="E486" s="20">
        <f>'Work Progress (%)'!G496</f>
        <v>0</v>
      </c>
      <c r="F486" s="20">
        <f>'Work Progress (%)'!L496</f>
        <v>0</v>
      </c>
      <c r="G486" s="20">
        <f>'Work Progress (%)'!Y496</f>
        <v>0</v>
      </c>
      <c r="H486" s="20">
        <f>'Work Progress (%)'!AD496</f>
        <v>0</v>
      </c>
      <c r="I486" s="20">
        <f>'Work Progress (%)'!AI496</f>
        <v>0</v>
      </c>
      <c r="J486" s="20">
        <f>'Work Progress (%)'!AQ496</f>
        <v>0</v>
      </c>
      <c r="K486" s="20">
        <f>'Work Progress (%)'!AV496</f>
        <v>0</v>
      </c>
      <c r="L486" s="20">
        <f>'Work Progress (%)'!BD496</f>
        <v>0</v>
      </c>
      <c r="M486" s="20">
        <v>1</v>
      </c>
      <c r="N486" s="20">
        <v>1</v>
      </c>
      <c r="O486" s="20">
        <v>0.2</v>
      </c>
      <c r="P486" s="20">
        <v>0.7</v>
      </c>
      <c r="Q486" s="21">
        <f t="shared" si="52"/>
        <v>2.8999999999999998E-2</v>
      </c>
    </row>
    <row r="487" spans="2:17" ht="74.25" customHeight="1" x14ac:dyDescent="0.45">
      <c r="B487" s="22" t="s">
        <v>145</v>
      </c>
      <c r="C487" s="22" t="s">
        <v>39</v>
      </c>
      <c r="D487" s="151">
        <v>704</v>
      </c>
      <c r="E487" s="20">
        <f>'Work Progress (%)'!G497</f>
        <v>0</v>
      </c>
      <c r="F487" s="20">
        <f>'Work Progress (%)'!L497</f>
        <v>0</v>
      </c>
      <c r="G487" s="20">
        <f>'Work Progress (%)'!Y497</f>
        <v>0</v>
      </c>
      <c r="H487" s="20">
        <f>'Work Progress (%)'!AD497</f>
        <v>0</v>
      </c>
      <c r="I487" s="20">
        <f>'Work Progress (%)'!AI497</f>
        <v>0</v>
      </c>
      <c r="J487" s="20">
        <f>'Work Progress (%)'!AQ497</f>
        <v>0</v>
      </c>
      <c r="K487" s="20">
        <f>'Work Progress (%)'!AV497</f>
        <v>0</v>
      </c>
      <c r="L487" s="20">
        <f>'Work Progress (%)'!BD497</f>
        <v>0</v>
      </c>
      <c r="M487" s="20">
        <v>1</v>
      </c>
      <c r="N487" s="20">
        <v>1</v>
      </c>
      <c r="O487" s="20">
        <v>0.2</v>
      </c>
      <c r="P487" s="20">
        <v>0.7</v>
      </c>
      <c r="Q487" s="21">
        <f t="shared" si="52"/>
        <v>2.8999999999999998E-2</v>
      </c>
    </row>
    <row r="488" spans="2:17" ht="74.25" customHeight="1" x14ac:dyDescent="0.45">
      <c r="B488" s="22" t="s">
        <v>145</v>
      </c>
      <c r="C488" s="22" t="s">
        <v>39</v>
      </c>
      <c r="D488" s="151">
        <v>705</v>
      </c>
      <c r="E488" s="20">
        <f>'Work Progress (%)'!G498</f>
        <v>0</v>
      </c>
      <c r="F488" s="20">
        <f>'Work Progress (%)'!L498</f>
        <v>0</v>
      </c>
      <c r="G488" s="20">
        <f>'Work Progress (%)'!Y498</f>
        <v>0</v>
      </c>
      <c r="H488" s="20">
        <f>'Work Progress (%)'!AD498</f>
        <v>0</v>
      </c>
      <c r="I488" s="20">
        <f>'Work Progress (%)'!AI498</f>
        <v>0</v>
      </c>
      <c r="J488" s="20">
        <f>'Work Progress (%)'!AQ498</f>
        <v>0</v>
      </c>
      <c r="K488" s="20">
        <f>'Work Progress (%)'!AV498</f>
        <v>0</v>
      </c>
      <c r="L488" s="20">
        <f>'Work Progress (%)'!BD498</f>
        <v>0</v>
      </c>
      <c r="M488" s="20">
        <v>1</v>
      </c>
      <c r="N488" s="20">
        <v>1</v>
      </c>
      <c r="O488" s="20">
        <v>0.2</v>
      </c>
      <c r="P488" s="20">
        <v>0.7</v>
      </c>
      <c r="Q488" s="21">
        <f t="shared" si="52"/>
        <v>2.8999999999999998E-2</v>
      </c>
    </row>
    <row r="489" spans="2:17" ht="74.25" customHeight="1" x14ac:dyDescent="0.45">
      <c r="B489" s="22" t="s">
        <v>145</v>
      </c>
      <c r="C489" s="22" t="s">
        <v>39</v>
      </c>
      <c r="D489" s="151">
        <v>706</v>
      </c>
      <c r="E489" s="20">
        <f>'Work Progress (%)'!G499</f>
        <v>0</v>
      </c>
      <c r="F489" s="20">
        <f>'Work Progress (%)'!L499</f>
        <v>0</v>
      </c>
      <c r="G489" s="20">
        <f>'Work Progress (%)'!Y499</f>
        <v>0</v>
      </c>
      <c r="H489" s="20">
        <f>'Work Progress (%)'!AD499</f>
        <v>0</v>
      </c>
      <c r="I489" s="20">
        <f>'Work Progress (%)'!AI499</f>
        <v>0</v>
      </c>
      <c r="J489" s="20">
        <f>'Work Progress (%)'!AQ499</f>
        <v>0</v>
      </c>
      <c r="K489" s="20">
        <f>'Work Progress (%)'!AV499</f>
        <v>0</v>
      </c>
      <c r="L489" s="20">
        <f>'Work Progress (%)'!BD499</f>
        <v>0</v>
      </c>
      <c r="M489" s="20">
        <v>1</v>
      </c>
      <c r="N489" s="20">
        <v>1</v>
      </c>
      <c r="O489" s="20">
        <v>0.2</v>
      </c>
      <c r="P489" s="20">
        <v>0.7</v>
      </c>
      <c r="Q489" s="21">
        <f t="shared" si="52"/>
        <v>2.8999999999999998E-2</v>
      </c>
    </row>
    <row r="490" spans="2:17" ht="74.25" customHeight="1" x14ac:dyDescent="0.45">
      <c r="B490" s="22" t="s">
        <v>145</v>
      </c>
      <c r="C490" s="22" t="s">
        <v>39</v>
      </c>
      <c r="D490" s="151">
        <v>707</v>
      </c>
      <c r="E490" s="20">
        <f>'Work Progress (%)'!G500</f>
        <v>0</v>
      </c>
      <c r="F490" s="20">
        <f>'Work Progress (%)'!L500</f>
        <v>0</v>
      </c>
      <c r="G490" s="20">
        <f>'Work Progress (%)'!Y500</f>
        <v>0</v>
      </c>
      <c r="H490" s="20">
        <f>'Work Progress (%)'!AD500</f>
        <v>0</v>
      </c>
      <c r="I490" s="20">
        <f>'Work Progress (%)'!AI500</f>
        <v>0</v>
      </c>
      <c r="J490" s="20">
        <f>'Work Progress (%)'!AQ500</f>
        <v>0</v>
      </c>
      <c r="K490" s="20">
        <f>'Work Progress (%)'!AV500</f>
        <v>0</v>
      </c>
      <c r="L490" s="20">
        <f>'Work Progress (%)'!BD500</f>
        <v>0</v>
      </c>
      <c r="M490" s="20">
        <v>1</v>
      </c>
      <c r="N490" s="20">
        <v>1</v>
      </c>
      <c r="O490" s="20">
        <v>0.2</v>
      </c>
      <c r="P490" s="20">
        <v>0.7</v>
      </c>
      <c r="Q490" s="21">
        <f t="shared" si="52"/>
        <v>2.8999999999999998E-2</v>
      </c>
    </row>
    <row r="491" spans="2:17" ht="74.25" customHeight="1" x14ac:dyDescent="0.45">
      <c r="B491" s="22" t="s">
        <v>145</v>
      </c>
      <c r="C491" s="22" t="s">
        <v>39</v>
      </c>
      <c r="D491" s="151">
        <v>708</v>
      </c>
      <c r="E491" s="20">
        <f>'Work Progress (%)'!G501</f>
        <v>0</v>
      </c>
      <c r="F491" s="20">
        <f>'Work Progress (%)'!L501</f>
        <v>0</v>
      </c>
      <c r="G491" s="20">
        <f>'Work Progress (%)'!Y501</f>
        <v>0</v>
      </c>
      <c r="H491" s="20">
        <f>'Work Progress (%)'!AD501</f>
        <v>0</v>
      </c>
      <c r="I491" s="20">
        <f>'Work Progress (%)'!AI501</f>
        <v>0</v>
      </c>
      <c r="J491" s="20">
        <f>'Work Progress (%)'!AQ501</f>
        <v>0</v>
      </c>
      <c r="K491" s="20">
        <f>'Work Progress (%)'!AV501</f>
        <v>0</v>
      </c>
      <c r="L491" s="20">
        <f>'Work Progress (%)'!BD501</f>
        <v>0</v>
      </c>
      <c r="M491" s="20">
        <v>1</v>
      </c>
      <c r="N491" s="20">
        <v>1</v>
      </c>
      <c r="O491" s="20">
        <v>0.2</v>
      </c>
      <c r="P491" s="20">
        <v>0.7</v>
      </c>
      <c r="Q491" s="21">
        <f t="shared" si="52"/>
        <v>2.8999999999999998E-2</v>
      </c>
    </row>
    <row r="492" spans="2:17" ht="74.25" customHeight="1" x14ac:dyDescent="0.45">
      <c r="B492" s="22" t="s">
        <v>145</v>
      </c>
      <c r="C492" s="22" t="s">
        <v>39</v>
      </c>
      <c r="D492" s="151">
        <v>709</v>
      </c>
      <c r="E492" s="20">
        <f>'Work Progress (%)'!G502</f>
        <v>0</v>
      </c>
      <c r="F492" s="20">
        <f>'Work Progress (%)'!L502</f>
        <v>0</v>
      </c>
      <c r="G492" s="20">
        <f>'Work Progress (%)'!Y502</f>
        <v>0</v>
      </c>
      <c r="H492" s="20">
        <f>'Work Progress (%)'!AD502</f>
        <v>0</v>
      </c>
      <c r="I492" s="20">
        <f>'Work Progress (%)'!AI502</f>
        <v>0</v>
      </c>
      <c r="J492" s="20">
        <f>'Work Progress (%)'!AQ502</f>
        <v>0</v>
      </c>
      <c r="K492" s="20">
        <f>'Work Progress (%)'!AV502</f>
        <v>0</v>
      </c>
      <c r="L492" s="20">
        <f>'Work Progress (%)'!BD502</f>
        <v>0</v>
      </c>
      <c r="M492" s="20">
        <v>1</v>
      </c>
      <c r="N492" s="20">
        <v>1</v>
      </c>
      <c r="O492" s="20">
        <v>0.2</v>
      </c>
      <c r="P492" s="20">
        <v>0.7</v>
      </c>
      <c r="Q492" s="21">
        <f t="shared" si="52"/>
        <v>2.8999999999999998E-2</v>
      </c>
    </row>
    <row r="493" spans="2:17" ht="74.25" customHeight="1" x14ac:dyDescent="0.45">
      <c r="B493" s="22" t="s">
        <v>145</v>
      </c>
      <c r="C493" s="22" t="s">
        <v>39</v>
      </c>
      <c r="D493" s="151">
        <v>710</v>
      </c>
      <c r="E493" s="20">
        <f>'Work Progress (%)'!G503</f>
        <v>0</v>
      </c>
      <c r="F493" s="20">
        <f>'Work Progress (%)'!L503</f>
        <v>0</v>
      </c>
      <c r="G493" s="20">
        <f>'Work Progress (%)'!Y503</f>
        <v>0</v>
      </c>
      <c r="H493" s="20">
        <f>'Work Progress (%)'!AD503</f>
        <v>0</v>
      </c>
      <c r="I493" s="20">
        <f>'Work Progress (%)'!AI503</f>
        <v>0</v>
      </c>
      <c r="J493" s="20">
        <f>'Work Progress (%)'!AQ503</f>
        <v>0</v>
      </c>
      <c r="K493" s="20">
        <f>'Work Progress (%)'!AV503</f>
        <v>0</v>
      </c>
      <c r="L493" s="20">
        <f>'Work Progress (%)'!BD503</f>
        <v>0</v>
      </c>
      <c r="M493" s="20">
        <v>1</v>
      </c>
      <c r="N493" s="20">
        <v>1</v>
      </c>
      <c r="O493" s="20">
        <v>0.2</v>
      </c>
      <c r="P493" s="20">
        <v>0.7</v>
      </c>
      <c r="Q493" s="21">
        <f t="shared" si="52"/>
        <v>2.8999999999999998E-2</v>
      </c>
    </row>
    <row r="494" spans="2:17" ht="74.25" customHeight="1" x14ac:dyDescent="0.45">
      <c r="B494" s="22" t="s">
        <v>145</v>
      </c>
      <c r="C494" s="22" t="s">
        <v>39</v>
      </c>
      <c r="D494" s="151">
        <v>711</v>
      </c>
      <c r="E494" s="20">
        <f>'Work Progress (%)'!G504</f>
        <v>0</v>
      </c>
      <c r="F494" s="20">
        <f>'Work Progress (%)'!L504</f>
        <v>0</v>
      </c>
      <c r="G494" s="20">
        <f>'Work Progress (%)'!Y504</f>
        <v>0</v>
      </c>
      <c r="H494" s="20">
        <f>'Work Progress (%)'!AD504</f>
        <v>0</v>
      </c>
      <c r="I494" s="20">
        <f>'Work Progress (%)'!AI504</f>
        <v>0</v>
      </c>
      <c r="J494" s="20">
        <f>'Work Progress (%)'!AQ504</f>
        <v>0</v>
      </c>
      <c r="K494" s="20">
        <f>'Work Progress (%)'!AV504</f>
        <v>0</v>
      </c>
      <c r="L494" s="20">
        <f>'Work Progress (%)'!BD504</f>
        <v>0</v>
      </c>
      <c r="M494" s="20">
        <v>1</v>
      </c>
      <c r="N494" s="20">
        <v>1</v>
      </c>
      <c r="O494" s="20">
        <v>0.2</v>
      </c>
      <c r="P494" s="20">
        <v>0.7</v>
      </c>
      <c r="Q494" s="21">
        <f t="shared" si="52"/>
        <v>2.8999999999999998E-2</v>
      </c>
    </row>
    <row r="495" spans="2:17" ht="74.25" customHeight="1" x14ac:dyDescent="0.45">
      <c r="B495" s="22" t="s">
        <v>145</v>
      </c>
      <c r="C495" s="22" t="s">
        <v>39</v>
      </c>
      <c r="D495" s="151">
        <v>712</v>
      </c>
      <c r="E495" s="20">
        <f>'Work Progress (%)'!G505</f>
        <v>0</v>
      </c>
      <c r="F495" s="20">
        <f>'Work Progress (%)'!L505</f>
        <v>0</v>
      </c>
      <c r="G495" s="20">
        <f>'Work Progress (%)'!Y505</f>
        <v>0</v>
      </c>
      <c r="H495" s="20">
        <f>'Work Progress (%)'!AD505</f>
        <v>0</v>
      </c>
      <c r="I495" s="20">
        <f>'Work Progress (%)'!AI505</f>
        <v>0</v>
      </c>
      <c r="J495" s="20">
        <f>'Work Progress (%)'!AQ505</f>
        <v>0</v>
      </c>
      <c r="K495" s="20">
        <f>'Work Progress (%)'!AV505</f>
        <v>0</v>
      </c>
      <c r="L495" s="20">
        <f>'Work Progress (%)'!BD505</f>
        <v>0</v>
      </c>
      <c r="M495" s="20">
        <v>1</v>
      </c>
      <c r="N495" s="20">
        <v>1</v>
      </c>
      <c r="O495" s="20">
        <v>0.2</v>
      </c>
      <c r="P495" s="20">
        <v>0.7</v>
      </c>
      <c r="Q495" s="21">
        <f t="shared" si="52"/>
        <v>2.8999999999999998E-2</v>
      </c>
    </row>
    <row r="496" spans="2:17" ht="74.25" customHeight="1" x14ac:dyDescent="0.45">
      <c r="B496" s="22" t="s">
        <v>145</v>
      </c>
      <c r="C496" s="22" t="s">
        <v>39</v>
      </c>
      <c r="D496" s="151">
        <v>713</v>
      </c>
      <c r="E496" s="20">
        <f>'Work Progress (%)'!G506</f>
        <v>0</v>
      </c>
      <c r="F496" s="20">
        <f>'Work Progress (%)'!L506</f>
        <v>0</v>
      </c>
      <c r="G496" s="20">
        <f>'Work Progress (%)'!Y506</f>
        <v>0</v>
      </c>
      <c r="H496" s="20">
        <f>'Work Progress (%)'!AD506</f>
        <v>0</v>
      </c>
      <c r="I496" s="20">
        <f>'Work Progress (%)'!AI506</f>
        <v>0</v>
      </c>
      <c r="J496" s="20">
        <f>'Work Progress (%)'!AQ506</f>
        <v>0</v>
      </c>
      <c r="K496" s="20">
        <f>'Work Progress (%)'!AV506</f>
        <v>0</v>
      </c>
      <c r="L496" s="20">
        <f>'Work Progress (%)'!BD506</f>
        <v>0</v>
      </c>
      <c r="M496" s="20">
        <v>1</v>
      </c>
      <c r="N496" s="20">
        <v>1</v>
      </c>
      <c r="O496" s="20">
        <v>0.2</v>
      </c>
      <c r="P496" s="20">
        <v>0.7</v>
      </c>
      <c r="Q496" s="21">
        <f t="shared" si="52"/>
        <v>2.8999999999999998E-2</v>
      </c>
    </row>
    <row r="497" spans="2:17" ht="74.25" customHeight="1" x14ac:dyDescent="0.45">
      <c r="B497" s="22" t="s">
        <v>145</v>
      </c>
      <c r="C497" s="22" t="s">
        <v>39</v>
      </c>
      <c r="D497" s="151">
        <v>714</v>
      </c>
      <c r="E497" s="20">
        <f>'Work Progress (%)'!G507</f>
        <v>0</v>
      </c>
      <c r="F497" s="20">
        <f>'Work Progress (%)'!L507</f>
        <v>0</v>
      </c>
      <c r="G497" s="20">
        <f>'Work Progress (%)'!Y507</f>
        <v>0</v>
      </c>
      <c r="H497" s="20">
        <f>'Work Progress (%)'!AD507</f>
        <v>0</v>
      </c>
      <c r="I497" s="20">
        <f>'Work Progress (%)'!AI507</f>
        <v>0</v>
      </c>
      <c r="J497" s="20">
        <f>'Work Progress (%)'!AQ507</f>
        <v>0</v>
      </c>
      <c r="K497" s="20">
        <f>'Work Progress (%)'!AV507</f>
        <v>0</v>
      </c>
      <c r="L497" s="20">
        <f>'Work Progress (%)'!BD507</f>
        <v>0</v>
      </c>
      <c r="M497" s="20">
        <v>1</v>
      </c>
      <c r="N497" s="20">
        <v>1</v>
      </c>
      <c r="O497" s="20">
        <v>0.2</v>
      </c>
      <c r="P497" s="20">
        <v>0.7</v>
      </c>
      <c r="Q497" s="21">
        <f t="shared" si="52"/>
        <v>2.8999999999999998E-2</v>
      </c>
    </row>
    <row r="498" spans="2:17" ht="74.25" customHeight="1" x14ac:dyDescent="0.45">
      <c r="B498" s="22" t="s">
        <v>145</v>
      </c>
      <c r="C498" s="22" t="s">
        <v>39</v>
      </c>
      <c r="D498" s="151">
        <v>715</v>
      </c>
      <c r="E498" s="20">
        <f>'Work Progress (%)'!G508</f>
        <v>0</v>
      </c>
      <c r="F498" s="20">
        <f>'Work Progress (%)'!L508</f>
        <v>0</v>
      </c>
      <c r="G498" s="20">
        <f>'Work Progress (%)'!Y508</f>
        <v>0</v>
      </c>
      <c r="H498" s="20">
        <f>'Work Progress (%)'!AD508</f>
        <v>0</v>
      </c>
      <c r="I498" s="20">
        <f>'Work Progress (%)'!AI508</f>
        <v>0</v>
      </c>
      <c r="J498" s="20">
        <f>'Work Progress (%)'!AQ508</f>
        <v>0</v>
      </c>
      <c r="K498" s="20">
        <f>'Work Progress (%)'!AV508</f>
        <v>0</v>
      </c>
      <c r="L498" s="20">
        <f>'Work Progress (%)'!BD508</f>
        <v>0</v>
      </c>
      <c r="M498" s="20">
        <v>1</v>
      </c>
      <c r="N498" s="20">
        <v>1</v>
      </c>
      <c r="O498" s="20">
        <v>0.2</v>
      </c>
      <c r="P498" s="20">
        <v>0.7</v>
      </c>
      <c r="Q498" s="21">
        <f t="shared" si="52"/>
        <v>2.8999999999999998E-2</v>
      </c>
    </row>
    <row r="499" spans="2:17" ht="74.25" customHeight="1" x14ac:dyDescent="0.45">
      <c r="B499" s="22" t="s">
        <v>145</v>
      </c>
      <c r="C499" s="22" t="s">
        <v>39</v>
      </c>
      <c r="D499" s="151">
        <v>716</v>
      </c>
      <c r="E499" s="20">
        <f>'Work Progress (%)'!G509</f>
        <v>0</v>
      </c>
      <c r="F499" s="20">
        <f>'Work Progress (%)'!L509</f>
        <v>0</v>
      </c>
      <c r="G499" s="20">
        <f>'Work Progress (%)'!Y509</f>
        <v>0</v>
      </c>
      <c r="H499" s="20">
        <f>'Work Progress (%)'!AD509</f>
        <v>0</v>
      </c>
      <c r="I499" s="20">
        <f>'Work Progress (%)'!AI509</f>
        <v>0</v>
      </c>
      <c r="J499" s="20">
        <f>'Work Progress (%)'!AQ509</f>
        <v>0</v>
      </c>
      <c r="K499" s="20">
        <f>'Work Progress (%)'!AV509</f>
        <v>0</v>
      </c>
      <c r="L499" s="20">
        <f>'Work Progress (%)'!BD509</f>
        <v>0</v>
      </c>
      <c r="M499" s="20">
        <v>1</v>
      </c>
      <c r="N499" s="20">
        <v>1</v>
      </c>
      <c r="O499" s="20">
        <v>0.2</v>
      </c>
      <c r="P499" s="20">
        <v>0.7</v>
      </c>
      <c r="Q499" s="21">
        <f t="shared" si="52"/>
        <v>2.8999999999999998E-2</v>
      </c>
    </row>
    <row r="500" spans="2:17" ht="74.25" customHeight="1" x14ac:dyDescent="0.45">
      <c r="B500" s="22" t="s">
        <v>145</v>
      </c>
      <c r="C500" s="22"/>
      <c r="D500" s="154" t="s">
        <v>40</v>
      </c>
      <c r="E500" s="141">
        <f>AVERAGE(E502:E516)</f>
        <v>0</v>
      </c>
      <c r="F500" s="141">
        <f t="shared" ref="F500:P500" si="53">AVERAGE(F502:F516)</f>
        <v>0</v>
      </c>
      <c r="G500" s="20">
        <f t="shared" si="53"/>
        <v>0</v>
      </c>
      <c r="H500" s="141">
        <f t="shared" si="53"/>
        <v>0</v>
      </c>
      <c r="I500" s="141">
        <f t="shared" si="53"/>
        <v>0</v>
      </c>
      <c r="J500" s="141">
        <f t="shared" si="53"/>
        <v>0</v>
      </c>
      <c r="K500" s="141">
        <f t="shared" si="53"/>
        <v>0</v>
      </c>
      <c r="L500" s="141">
        <f t="shared" si="53"/>
        <v>0</v>
      </c>
      <c r="M500" s="141">
        <f t="shared" si="53"/>
        <v>1</v>
      </c>
      <c r="N500" s="141">
        <f t="shared" si="53"/>
        <v>1</v>
      </c>
      <c r="O500" s="141">
        <f t="shared" si="53"/>
        <v>0.20000000000000004</v>
      </c>
      <c r="P500" s="141">
        <f t="shared" si="53"/>
        <v>0.69999999999999984</v>
      </c>
      <c r="Q500" s="13">
        <f>AVERAGE(Q501:Q516)</f>
        <v>2.9000000000000012E-2</v>
      </c>
    </row>
    <row r="501" spans="2:17" ht="74.25" customHeight="1" x14ac:dyDescent="0.45">
      <c r="B501" s="22" t="s">
        <v>145</v>
      </c>
      <c r="C501" s="22" t="s">
        <v>41</v>
      </c>
      <c r="D501" s="151">
        <v>801</v>
      </c>
      <c r="E501" s="20">
        <f>'Work Progress (%)'!G511</f>
        <v>0</v>
      </c>
      <c r="F501" s="20">
        <f>'Work Progress (%)'!L511</f>
        <v>0</v>
      </c>
      <c r="G501" s="20">
        <f>'Work Progress (%)'!Y511</f>
        <v>0</v>
      </c>
      <c r="H501" s="20">
        <f>'Work Progress (%)'!AD511</f>
        <v>0</v>
      </c>
      <c r="I501" s="20">
        <f>'Work Progress (%)'!AI511</f>
        <v>0</v>
      </c>
      <c r="J501" s="20">
        <f>'Work Progress (%)'!AQ511</f>
        <v>0</v>
      </c>
      <c r="K501" s="20">
        <f>'Work Progress (%)'!AV511</f>
        <v>0</v>
      </c>
      <c r="L501" s="20">
        <f>'Work Progress (%)'!BD511</f>
        <v>0</v>
      </c>
      <c r="M501" s="20">
        <v>1</v>
      </c>
      <c r="N501" s="20">
        <v>1</v>
      </c>
      <c r="O501" s="20">
        <v>0.2</v>
      </c>
      <c r="P501" s="20">
        <v>0.7</v>
      </c>
      <c r="Q501" s="21">
        <f t="shared" ref="Q501:Q516" si="54">SUMPRODUCT(E501:P501, E$2:P$2)</f>
        <v>2.8999999999999998E-2</v>
      </c>
    </row>
    <row r="502" spans="2:17" ht="74.25" customHeight="1" x14ac:dyDescent="0.45">
      <c r="B502" s="22" t="s">
        <v>145</v>
      </c>
      <c r="C502" s="22" t="s">
        <v>41</v>
      </c>
      <c r="D502" s="151">
        <v>802</v>
      </c>
      <c r="E502" s="20">
        <f>'Work Progress (%)'!G512</f>
        <v>0</v>
      </c>
      <c r="F502" s="20">
        <f>'Work Progress (%)'!L512</f>
        <v>0</v>
      </c>
      <c r="G502" s="20">
        <f>'Work Progress (%)'!Y512</f>
        <v>0</v>
      </c>
      <c r="H502" s="20">
        <f>'Work Progress (%)'!AD512</f>
        <v>0</v>
      </c>
      <c r="I502" s="20">
        <f>'Work Progress (%)'!AI512</f>
        <v>0</v>
      </c>
      <c r="J502" s="20">
        <f>'Work Progress (%)'!AQ512</f>
        <v>0</v>
      </c>
      <c r="K502" s="20">
        <f>'Work Progress (%)'!AV512</f>
        <v>0</v>
      </c>
      <c r="L502" s="20">
        <f>'Work Progress (%)'!BD512</f>
        <v>0</v>
      </c>
      <c r="M502" s="20">
        <v>1</v>
      </c>
      <c r="N502" s="20">
        <v>1</v>
      </c>
      <c r="O502" s="20">
        <v>0.2</v>
      </c>
      <c r="P502" s="20">
        <v>0.7</v>
      </c>
      <c r="Q502" s="21">
        <f t="shared" si="54"/>
        <v>2.8999999999999998E-2</v>
      </c>
    </row>
    <row r="503" spans="2:17" ht="74.25" customHeight="1" x14ac:dyDescent="0.45">
      <c r="B503" s="22" t="s">
        <v>145</v>
      </c>
      <c r="C503" s="22" t="s">
        <v>41</v>
      </c>
      <c r="D503" s="151">
        <v>803</v>
      </c>
      <c r="E503" s="20">
        <f>'Work Progress (%)'!G513</f>
        <v>0</v>
      </c>
      <c r="F503" s="20">
        <f>'Work Progress (%)'!L513</f>
        <v>0</v>
      </c>
      <c r="G503" s="20">
        <f>'Work Progress (%)'!Y513</f>
        <v>0</v>
      </c>
      <c r="H503" s="20">
        <f>'Work Progress (%)'!AD513</f>
        <v>0</v>
      </c>
      <c r="I503" s="20">
        <f>'Work Progress (%)'!AI513</f>
        <v>0</v>
      </c>
      <c r="J503" s="20">
        <f>'Work Progress (%)'!AQ513</f>
        <v>0</v>
      </c>
      <c r="K503" s="20">
        <f>'Work Progress (%)'!AV513</f>
        <v>0</v>
      </c>
      <c r="L503" s="20">
        <f>'Work Progress (%)'!BD513</f>
        <v>0</v>
      </c>
      <c r="M503" s="20">
        <v>1</v>
      </c>
      <c r="N503" s="20">
        <v>1</v>
      </c>
      <c r="O503" s="20">
        <v>0.2</v>
      </c>
      <c r="P503" s="20">
        <v>0.7</v>
      </c>
      <c r="Q503" s="21">
        <f t="shared" si="54"/>
        <v>2.8999999999999998E-2</v>
      </c>
    </row>
    <row r="504" spans="2:17" ht="74.25" customHeight="1" x14ac:dyDescent="0.45">
      <c r="B504" s="22" t="s">
        <v>145</v>
      </c>
      <c r="C504" s="22" t="s">
        <v>41</v>
      </c>
      <c r="D504" s="151">
        <v>804</v>
      </c>
      <c r="E504" s="20">
        <f>'Work Progress (%)'!G514</f>
        <v>0</v>
      </c>
      <c r="F504" s="20">
        <f>'Work Progress (%)'!L514</f>
        <v>0</v>
      </c>
      <c r="G504" s="20">
        <f>'Work Progress (%)'!Y514</f>
        <v>0</v>
      </c>
      <c r="H504" s="20">
        <f>'Work Progress (%)'!AD514</f>
        <v>0</v>
      </c>
      <c r="I504" s="20">
        <f>'Work Progress (%)'!AI514</f>
        <v>0</v>
      </c>
      <c r="J504" s="20">
        <f>'Work Progress (%)'!AQ514</f>
        <v>0</v>
      </c>
      <c r="K504" s="20">
        <f>'Work Progress (%)'!AV514</f>
        <v>0</v>
      </c>
      <c r="L504" s="20">
        <f>'Work Progress (%)'!BD514</f>
        <v>0</v>
      </c>
      <c r="M504" s="20">
        <v>1</v>
      </c>
      <c r="N504" s="20">
        <v>1</v>
      </c>
      <c r="O504" s="20">
        <v>0.2</v>
      </c>
      <c r="P504" s="20">
        <v>0.7</v>
      </c>
      <c r="Q504" s="21">
        <f t="shared" si="54"/>
        <v>2.8999999999999998E-2</v>
      </c>
    </row>
    <row r="505" spans="2:17" ht="74.25" customHeight="1" x14ac:dyDescent="0.45">
      <c r="B505" s="22" t="s">
        <v>145</v>
      </c>
      <c r="C505" s="22" t="s">
        <v>41</v>
      </c>
      <c r="D505" s="151">
        <v>805</v>
      </c>
      <c r="E505" s="20">
        <f>'Work Progress (%)'!G515</f>
        <v>0</v>
      </c>
      <c r="F505" s="20">
        <f>'Work Progress (%)'!L515</f>
        <v>0</v>
      </c>
      <c r="G505" s="20">
        <f>'Work Progress (%)'!Y515</f>
        <v>0</v>
      </c>
      <c r="H505" s="20">
        <f>'Work Progress (%)'!AD515</f>
        <v>0</v>
      </c>
      <c r="I505" s="20">
        <f>'Work Progress (%)'!AI515</f>
        <v>0</v>
      </c>
      <c r="J505" s="20">
        <f>'Work Progress (%)'!AQ515</f>
        <v>0</v>
      </c>
      <c r="K505" s="20">
        <f>'Work Progress (%)'!AV515</f>
        <v>0</v>
      </c>
      <c r="L505" s="20">
        <f>'Work Progress (%)'!BD515</f>
        <v>0</v>
      </c>
      <c r="M505" s="20">
        <v>1</v>
      </c>
      <c r="N505" s="20">
        <v>1</v>
      </c>
      <c r="O505" s="20">
        <v>0.2</v>
      </c>
      <c r="P505" s="20">
        <v>0.7</v>
      </c>
      <c r="Q505" s="21">
        <f t="shared" si="54"/>
        <v>2.8999999999999998E-2</v>
      </c>
    </row>
    <row r="506" spans="2:17" ht="74.25" customHeight="1" x14ac:dyDescent="0.45">
      <c r="B506" s="22" t="s">
        <v>145</v>
      </c>
      <c r="C506" s="22" t="s">
        <v>41</v>
      </c>
      <c r="D506" s="151">
        <v>806</v>
      </c>
      <c r="E506" s="20">
        <f>'Work Progress (%)'!G516</f>
        <v>0</v>
      </c>
      <c r="F506" s="20">
        <f>'Work Progress (%)'!L516</f>
        <v>0</v>
      </c>
      <c r="G506" s="20">
        <f>'Work Progress (%)'!Y516</f>
        <v>0</v>
      </c>
      <c r="H506" s="20">
        <f>'Work Progress (%)'!AD516</f>
        <v>0</v>
      </c>
      <c r="I506" s="20">
        <f>'Work Progress (%)'!AI516</f>
        <v>0</v>
      </c>
      <c r="J506" s="20">
        <f>'Work Progress (%)'!AQ516</f>
        <v>0</v>
      </c>
      <c r="K506" s="20">
        <f>'Work Progress (%)'!AV516</f>
        <v>0</v>
      </c>
      <c r="L506" s="20">
        <f>'Work Progress (%)'!BD516</f>
        <v>0</v>
      </c>
      <c r="M506" s="20">
        <v>1</v>
      </c>
      <c r="N506" s="20">
        <v>1</v>
      </c>
      <c r="O506" s="20">
        <v>0.2</v>
      </c>
      <c r="P506" s="20">
        <v>0.7</v>
      </c>
      <c r="Q506" s="21">
        <f t="shared" si="54"/>
        <v>2.8999999999999998E-2</v>
      </c>
    </row>
    <row r="507" spans="2:17" ht="74.25" customHeight="1" x14ac:dyDescent="0.45">
      <c r="B507" s="22" t="s">
        <v>145</v>
      </c>
      <c r="C507" s="22" t="s">
        <v>41</v>
      </c>
      <c r="D507" s="151">
        <v>807</v>
      </c>
      <c r="E507" s="20">
        <f>'Work Progress (%)'!G517</f>
        <v>0</v>
      </c>
      <c r="F507" s="20">
        <f>'Work Progress (%)'!L517</f>
        <v>0</v>
      </c>
      <c r="G507" s="20">
        <f>'Work Progress (%)'!Y517</f>
        <v>0</v>
      </c>
      <c r="H507" s="20">
        <f>'Work Progress (%)'!AD517</f>
        <v>0</v>
      </c>
      <c r="I507" s="20">
        <f>'Work Progress (%)'!AI517</f>
        <v>0</v>
      </c>
      <c r="J507" s="20">
        <f>'Work Progress (%)'!AQ517</f>
        <v>0</v>
      </c>
      <c r="K507" s="20">
        <f>'Work Progress (%)'!AV517</f>
        <v>0</v>
      </c>
      <c r="L507" s="20">
        <f>'Work Progress (%)'!BD517</f>
        <v>0</v>
      </c>
      <c r="M507" s="20">
        <v>1</v>
      </c>
      <c r="N507" s="20">
        <v>1</v>
      </c>
      <c r="O507" s="20">
        <v>0.2</v>
      </c>
      <c r="P507" s="20">
        <v>0.7</v>
      </c>
      <c r="Q507" s="21">
        <f t="shared" si="54"/>
        <v>2.8999999999999998E-2</v>
      </c>
    </row>
    <row r="508" spans="2:17" ht="74.25" customHeight="1" x14ac:dyDescent="0.45">
      <c r="B508" s="22" t="s">
        <v>145</v>
      </c>
      <c r="C508" s="22" t="s">
        <v>41</v>
      </c>
      <c r="D508" s="151">
        <v>808</v>
      </c>
      <c r="E508" s="20">
        <f>'Work Progress (%)'!G518</f>
        <v>0</v>
      </c>
      <c r="F508" s="20">
        <f>'Work Progress (%)'!L518</f>
        <v>0</v>
      </c>
      <c r="G508" s="20">
        <f>'Work Progress (%)'!Y518</f>
        <v>0</v>
      </c>
      <c r="H508" s="20">
        <f>'Work Progress (%)'!AD518</f>
        <v>0</v>
      </c>
      <c r="I508" s="20">
        <f>'Work Progress (%)'!AI518</f>
        <v>0</v>
      </c>
      <c r="J508" s="20">
        <f>'Work Progress (%)'!AQ518</f>
        <v>0</v>
      </c>
      <c r="K508" s="20">
        <f>'Work Progress (%)'!AV518</f>
        <v>0</v>
      </c>
      <c r="L508" s="20">
        <f>'Work Progress (%)'!BD518</f>
        <v>0</v>
      </c>
      <c r="M508" s="20">
        <v>1</v>
      </c>
      <c r="N508" s="20">
        <v>1</v>
      </c>
      <c r="O508" s="20">
        <v>0.2</v>
      </c>
      <c r="P508" s="20">
        <v>0.7</v>
      </c>
      <c r="Q508" s="21">
        <f t="shared" si="54"/>
        <v>2.8999999999999998E-2</v>
      </c>
    </row>
    <row r="509" spans="2:17" ht="74.25" customHeight="1" x14ac:dyDescent="0.45">
      <c r="B509" s="22" t="s">
        <v>145</v>
      </c>
      <c r="C509" s="22" t="s">
        <v>41</v>
      </c>
      <c r="D509" s="151">
        <v>809</v>
      </c>
      <c r="E509" s="20">
        <f>'Work Progress (%)'!G519</f>
        <v>0</v>
      </c>
      <c r="F509" s="20">
        <f>'Work Progress (%)'!L519</f>
        <v>0</v>
      </c>
      <c r="G509" s="20">
        <f>'Work Progress (%)'!Y519</f>
        <v>0</v>
      </c>
      <c r="H509" s="20">
        <f>'Work Progress (%)'!AD519</f>
        <v>0</v>
      </c>
      <c r="I509" s="20">
        <f>'Work Progress (%)'!AI519</f>
        <v>0</v>
      </c>
      <c r="J509" s="20">
        <f>'Work Progress (%)'!AQ519</f>
        <v>0</v>
      </c>
      <c r="K509" s="20">
        <f>'Work Progress (%)'!AV519</f>
        <v>0</v>
      </c>
      <c r="L509" s="20">
        <f>'Work Progress (%)'!BD519</f>
        <v>0</v>
      </c>
      <c r="M509" s="20">
        <v>1</v>
      </c>
      <c r="N509" s="20">
        <v>1</v>
      </c>
      <c r="O509" s="20">
        <v>0.2</v>
      </c>
      <c r="P509" s="20">
        <v>0.7</v>
      </c>
      <c r="Q509" s="21">
        <f t="shared" si="54"/>
        <v>2.8999999999999998E-2</v>
      </c>
    </row>
    <row r="510" spans="2:17" ht="74.25" customHeight="1" x14ac:dyDescent="0.45">
      <c r="B510" s="22" t="s">
        <v>145</v>
      </c>
      <c r="C510" s="22" t="s">
        <v>41</v>
      </c>
      <c r="D510" s="151">
        <v>810</v>
      </c>
      <c r="E510" s="20">
        <f>'Work Progress (%)'!G520</f>
        <v>0</v>
      </c>
      <c r="F510" s="20">
        <f>'Work Progress (%)'!L520</f>
        <v>0</v>
      </c>
      <c r="G510" s="20">
        <f>'Work Progress (%)'!Y520</f>
        <v>0</v>
      </c>
      <c r="H510" s="20">
        <f>'Work Progress (%)'!AD520</f>
        <v>0</v>
      </c>
      <c r="I510" s="20">
        <f>'Work Progress (%)'!AI520</f>
        <v>0</v>
      </c>
      <c r="J510" s="20">
        <f>'Work Progress (%)'!AQ520</f>
        <v>0</v>
      </c>
      <c r="K510" s="20">
        <f>'Work Progress (%)'!AV520</f>
        <v>0</v>
      </c>
      <c r="L510" s="20">
        <f>'Work Progress (%)'!BD520</f>
        <v>0</v>
      </c>
      <c r="M510" s="20">
        <v>1</v>
      </c>
      <c r="N510" s="20">
        <v>1</v>
      </c>
      <c r="O510" s="20">
        <v>0.2</v>
      </c>
      <c r="P510" s="20">
        <v>0.7</v>
      </c>
      <c r="Q510" s="21">
        <f t="shared" si="54"/>
        <v>2.8999999999999998E-2</v>
      </c>
    </row>
    <row r="511" spans="2:17" ht="74.25" customHeight="1" x14ac:dyDescent="0.45">
      <c r="B511" s="22" t="s">
        <v>145</v>
      </c>
      <c r="C511" s="22" t="s">
        <v>41</v>
      </c>
      <c r="D511" s="151">
        <v>811</v>
      </c>
      <c r="E511" s="20">
        <f>'Work Progress (%)'!G521</f>
        <v>0</v>
      </c>
      <c r="F511" s="20">
        <f>'Work Progress (%)'!L521</f>
        <v>0</v>
      </c>
      <c r="G511" s="20">
        <f>'Work Progress (%)'!Y521</f>
        <v>0</v>
      </c>
      <c r="H511" s="20">
        <f>'Work Progress (%)'!AD521</f>
        <v>0</v>
      </c>
      <c r="I511" s="20">
        <f>'Work Progress (%)'!AI521</f>
        <v>0</v>
      </c>
      <c r="J511" s="20">
        <f>'Work Progress (%)'!AQ521</f>
        <v>0</v>
      </c>
      <c r="K511" s="20">
        <f>'Work Progress (%)'!AV521</f>
        <v>0</v>
      </c>
      <c r="L511" s="20">
        <f>'Work Progress (%)'!BD521</f>
        <v>0</v>
      </c>
      <c r="M511" s="20">
        <v>1</v>
      </c>
      <c r="N511" s="20">
        <v>1</v>
      </c>
      <c r="O511" s="20">
        <v>0.2</v>
      </c>
      <c r="P511" s="20">
        <v>0.7</v>
      </c>
      <c r="Q511" s="21">
        <f t="shared" si="54"/>
        <v>2.8999999999999998E-2</v>
      </c>
    </row>
    <row r="512" spans="2:17" ht="74.25" customHeight="1" x14ac:dyDescent="0.45">
      <c r="B512" s="22" t="s">
        <v>145</v>
      </c>
      <c r="C512" s="22" t="s">
        <v>41</v>
      </c>
      <c r="D512" s="151">
        <v>812</v>
      </c>
      <c r="E512" s="20">
        <f>'Work Progress (%)'!G522</f>
        <v>0</v>
      </c>
      <c r="F512" s="20">
        <f>'Work Progress (%)'!L522</f>
        <v>0</v>
      </c>
      <c r="G512" s="20">
        <f>'Work Progress (%)'!Y522</f>
        <v>0</v>
      </c>
      <c r="H512" s="20">
        <f>'Work Progress (%)'!AD522</f>
        <v>0</v>
      </c>
      <c r="I512" s="20">
        <f>'Work Progress (%)'!AI522</f>
        <v>0</v>
      </c>
      <c r="J512" s="20">
        <f>'Work Progress (%)'!AQ522</f>
        <v>0</v>
      </c>
      <c r="K512" s="20">
        <f>'Work Progress (%)'!AV522</f>
        <v>0</v>
      </c>
      <c r="L512" s="20">
        <f>'Work Progress (%)'!BD522</f>
        <v>0</v>
      </c>
      <c r="M512" s="20">
        <v>1</v>
      </c>
      <c r="N512" s="20">
        <v>1</v>
      </c>
      <c r="O512" s="20">
        <v>0.2</v>
      </c>
      <c r="P512" s="20">
        <v>0.7</v>
      </c>
      <c r="Q512" s="21">
        <f t="shared" si="54"/>
        <v>2.8999999999999998E-2</v>
      </c>
    </row>
    <row r="513" spans="2:17" ht="74.25" customHeight="1" x14ac:dyDescent="0.45">
      <c r="B513" s="22" t="s">
        <v>145</v>
      </c>
      <c r="C513" s="22" t="s">
        <v>41</v>
      </c>
      <c r="D513" s="151">
        <v>813</v>
      </c>
      <c r="E513" s="20">
        <f>'Work Progress (%)'!G523</f>
        <v>0</v>
      </c>
      <c r="F513" s="20">
        <f>'Work Progress (%)'!L523</f>
        <v>0</v>
      </c>
      <c r="G513" s="20">
        <f>'Work Progress (%)'!Y523</f>
        <v>0</v>
      </c>
      <c r="H513" s="20">
        <f>'Work Progress (%)'!AD523</f>
        <v>0</v>
      </c>
      <c r="I513" s="20">
        <f>'Work Progress (%)'!AI523</f>
        <v>0</v>
      </c>
      <c r="J513" s="20">
        <f>'Work Progress (%)'!AQ523</f>
        <v>0</v>
      </c>
      <c r="K513" s="20">
        <f>'Work Progress (%)'!AV523</f>
        <v>0</v>
      </c>
      <c r="L513" s="20">
        <f>'Work Progress (%)'!BD523</f>
        <v>0</v>
      </c>
      <c r="M513" s="20">
        <v>1</v>
      </c>
      <c r="N513" s="20">
        <v>1</v>
      </c>
      <c r="O513" s="20">
        <v>0.2</v>
      </c>
      <c r="P513" s="20">
        <v>0.7</v>
      </c>
      <c r="Q513" s="21">
        <f t="shared" si="54"/>
        <v>2.8999999999999998E-2</v>
      </c>
    </row>
    <row r="514" spans="2:17" ht="74.25" customHeight="1" x14ac:dyDescent="0.45">
      <c r="B514" s="22" t="s">
        <v>145</v>
      </c>
      <c r="C514" s="22" t="s">
        <v>41</v>
      </c>
      <c r="D514" s="151">
        <v>814</v>
      </c>
      <c r="E514" s="20">
        <f>'Work Progress (%)'!G524</f>
        <v>0</v>
      </c>
      <c r="F514" s="20">
        <f>'Work Progress (%)'!L524</f>
        <v>0</v>
      </c>
      <c r="G514" s="20">
        <f>'Work Progress (%)'!Y524</f>
        <v>0</v>
      </c>
      <c r="H514" s="20">
        <f>'Work Progress (%)'!AD524</f>
        <v>0</v>
      </c>
      <c r="I514" s="20">
        <f>'Work Progress (%)'!AI524</f>
        <v>0</v>
      </c>
      <c r="J514" s="20">
        <f>'Work Progress (%)'!AQ524</f>
        <v>0</v>
      </c>
      <c r="K514" s="20">
        <f>'Work Progress (%)'!AV524</f>
        <v>0</v>
      </c>
      <c r="L514" s="20">
        <f>'Work Progress (%)'!BD524</f>
        <v>0</v>
      </c>
      <c r="M514" s="20">
        <v>1</v>
      </c>
      <c r="N514" s="20">
        <v>1</v>
      </c>
      <c r="O514" s="20">
        <v>0.2</v>
      </c>
      <c r="P514" s="20">
        <v>0.7</v>
      </c>
      <c r="Q514" s="21">
        <f t="shared" si="54"/>
        <v>2.8999999999999998E-2</v>
      </c>
    </row>
    <row r="515" spans="2:17" ht="74.25" customHeight="1" x14ac:dyDescent="0.45">
      <c r="B515" s="22" t="s">
        <v>145</v>
      </c>
      <c r="C515" s="22" t="s">
        <v>41</v>
      </c>
      <c r="D515" s="151">
        <v>815</v>
      </c>
      <c r="E515" s="20">
        <f>'Work Progress (%)'!G525</f>
        <v>0</v>
      </c>
      <c r="F515" s="20">
        <f>'Work Progress (%)'!L525</f>
        <v>0</v>
      </c>
      <c r="G515" s="20">
        <f>'Work Progress (%)'!Y525</f>
        <v>0</v>
      </c>
      <c r="H515" s="20">
        <f>'Work Progress (%)'!AD525</f>
        <v>0</v>
      </c>
      <c r="I515" s="20">
        <f>'Work Progress (%)'!AI525</f>
        <v>0</v>
      </c>
      <c r="J515" s="20">
        <f>'Work Progress (%)'!AQ525</f>
        <v>0</v>
      </c>
      <c r="K515" s="20">
        <f>'Work Progress (%)'!AV525</f>
        <v>0</v>
      </c>
      <c r="L515" s="20">
        <f>'Work Progress (%)'!BD525</f>
        <v>0</v>
      </c>
      <c r="M515" s="20">
        <v>1</v>
      </c>
      <c r="N515" s="20">
        <v>1</v>
      </c>
      <c r="O515" s="20">
        <v>0.2</v>
      </c>
      <c r="P515" s="20">
        <v>0.7</v>
      </c>
      <c r="Q515" s="21">
        <f t="shared" si="54"/>
        <v>2.8999999999999998E-2</v>
      </c>
    </row>
    <row r="516" spans="2:17" ht="74.25" customHeight="1" x14ac:dyDescent="0.45">
      <c r="B516" s="22" t="s">
        <v>145</v>
      </c>
      <c r="C516" s="22" t="s">
        <v>41</v>
      </c>
      <c r="D516" s="151">
        <v>816</v>
      </c>
      <c r="E516" s="20">
        <f>'Work Progress (%)'!G526</f>
        <v>0</v>
      </c>
      <c r="F516" s="20">
        <f>'Work Progress (%)'!L526</f>
        <v>0</v>
      </c>
      <c r="G516" s="20">
        <f>'Work Progress (%)'!Y526</f>
        <v>0</v>
      </c>
      <c r="H516" s="20">
        <f>'Work Progress (%)'!AD526</f>
        <v>0</v>
      </c>
      <c r="I516" s="20">
        <f>'Work Progress (%)'!AI526</f>
        <v>0</v>
      </c>
      <c r="J516" s="20">
        <f>'Work Progress (%)'!AQ526</f>
        <v>0</v>
      </c>
      <c r="K516" s="20">
        <f>'Work Progress (%)'!AV526</f>
        <v>0</v>
      </c>
      <c r="L516" s="20">
        <f>'Work Progress (%)'!BD526</f>
        <v>0</v>
      </c>
      <c r="M516" s="20">
        <v>1</v>
      </c>
      <c r="N516" s="20">
        <v>1</v>
      </c>
      <c r="O516" s="20">
        <v>0.2</v>
      </c>
      <c r="P516" s="20">
        <v>0.7</v>
      </c>
      <c r="Q516" s="21">
        <f t="shared" si="54"/>
        <v>2.8999999999999998E-2</v>
      </c>
    </row>
    <row r="517" spans="2:17" ht="74.25" customHeight="1" x14ac:dyDescent="0.45">
      <c r="B517" s="22" t="s">
        <v>145</v>
      </c>
      <c r="C517" s="22"/>
      <c r="D517" s="154" t="s">
        <v>42</v>
      </c>
      <c r="E517" s="141">
        <f>AVERAGE(E519:E533)</f>
        <v>0</v>
      </c>
      <c r="F517" s="141">
        <f t="shared" ref="F517:P517" si="55">AVERAGE(F519:F533)</f>
        <v>0</v>
      </c>
      <c r="G517" s="20">
        <f t="shared" si="55"/>
        <v>0</v>
      </c>
      <c r="H517" s="141">
        <f t="shared" si="55"/>
        <v>0</v>
      </c>
      <c r="I517" s="141">
        <f t="shared" si="55"/>
        <v>0</v>
      </c>
      <c r="J517" s="141">
        <f t="shared" si="55"/>
        <v>0</v>
      </c>
      <c r="K517" s="141">
        <f t="shared" si="55"/>
        <v>0</v>
      </c>
      <c r="L517" s="141">
        <f t="shared" si="55"/>
        <v>0</v>
      </c>
      <c r="M517" s="141">
        <f t="shared" si="55"/>
        <v>1</v>
      </c>
      <c r="N517" s="141">
        <f t="shared" si="55"/>
        <v>1</v>
      </c>
      <c r="O517" s="141">
        <f t="shared" si="55"/>
        <v>0.20000000000000004</v>
      </c>
      <c r="P517" s="141">
        <f t="shared" si="55"/>
        <v>0.69999999999999984</v>
      </c>
      <c r="Q517" s="14">
        <f>AVERAGE(Q518:Q533)</f>
        <v>2.9000000000000012E-2</v>
      </c>
    </row>
    <row r="518" spans="2:17" ht="74.25" customHeight="1" x14ac:dyDescent="0.45">
      <c r="B518" s="22" t="s">
        <v>145</v>
      </c>
      <c r="C518" s="22" t="s">
        <v>43</v>
      </c>
      <c r="D518" s="151">
        <v>901</v>
      </c>
      <c r="E518" s="20">
        <f>'Work Progress (%)'!G528</f>
        <v>0</v>
      </c>
      <c r="F518" s="20">
        <f>'Work Progress (%)'!L528</f>
        <v>0</v>
      </c>
      <c r="G518" s="20">
        <f>'Work Progress (%)'!Y528</f>
        <v>0</v>
      </c>
      <c r="H518" s="20">
        <f>'Work Progress (%)'!AD528</f>
        <v>0</v>
      </c>
      <c r="I518" s="20">
        <f>'Work Progress (%)'!AI528</f>
        <v>0</v>
      </c>
      <c r="J518" s="20">
        <f>'Work Progress (%)'!AQ528</f>
        <v>0</v>
      </c>
      <c r="K518" s="20">
        <f>'Work Progress (%)'!AV528</f>
        <v>0</v>
      </c>
      <c r="L518" s="20">
        <f>'Work Progress (%)'!BD528</f>
        <v>0</v>
      </c>
      <c r="M518" s="20">
        <v>1</v>
      </c>
      <c r="N518" s="20">
        <v>1</v>
      </c>
      <c r="O518" s="20">
        <v>0.2</v>
      </c>
      <c r="P518" s="20">
        <v>0.7</v>
      </c>
      <c r="Q518" s="21">
        <f t="shared" ref="Q518:Q533" si="56">SUMPRODUCT(E518:P518, E$2:P$2)</f>
        <v>2.8999999999999998E-2</v>
      </c>
    </row>
    <row r="519" spans="2:17" ht="74.25" customHeight="1" x14ac:dyDescent="0.45">
      <c r="B519" s="22" t="s">
        <v>145</v>
      </c>
      <c r="C519" s="22" t="s">
        <v>43</v>
      </c>
      <c r="D519" s="151">
        <v>902</v>
      </c>
      <c r="E519" s="20">
        <f>'Work Progress (%)'!G529</f>
        <v>0</v>
      </c>
      <c r="F519" s="20">
        <f>'Work Progress (%)'!L529</f>
        <v>0</v>
      </c>
      <c r="G519" s="20">
        <f>'Work Progress (%)'!Y529</f>
        <v>0</v>
      </c>
      <c r="H519" s="20">
        <f>'Work Progress (%)'!AD529</f>
        <v>0</v>
      </c>
      <c r="I519" s="20">
        <f>'Work Progress (%)'!AI529</f>
        <v>0</v>
      </c>
      <c r="J519" s="20">
        <f>'Work Progress (%)'!AQ529</f>
        <v>0</v>
      </c>
      <c r="K519" s="20">
        <f>'Work Progress (%)'!AV529</f>
        <v>0</v>
      </c>
      <c r="L519" s="20">
        <f>'Work Progress (%)'!BD529</f>
        <v>0</v>
      </c>
      <c r="M519" s="20">
        <v>1</v>
      </c>
      <c r="N519" s="20">
        <v>1</v>
      </c>
      <c r="O519" s="20">
        <v>0.2</v>
      </c>
      <c r="P519" s="20">
        <v>0.7</v>
      </c>
      <c r="Q519" s="21">
        <f t="shared" si="56"/>
        <v>2.8999999999999998E-2</v>
      </c>
    </row>
    <row r="520" spans="2:17" ht="74.25" customHeight="1" x14ac:dyDescent="0.45">
      <c r="B520" s="22" t="s">
        <v>145</v>
      </c>
      <c r="C520" s="22" t="s">
        <v>43</v>
      </c>
      <c r="D520" s="151">
        <v>903</v>
      </c>
      <c r="E520" s="20">
        <f>'Work Progress (%)'!G530</f>
        <v>0</v>
      </c>
      <c r="F520" s="20">
        <f>'Work Progress (%)'!L530</f>
        <v>0</v>
      </c>
      <c r="G520" s="20">
        <f>'Work Progress (%)'!Y530</f>
        <v>0</v>
      </c>
      <c r="H520" s="20">
        <f>'Work Progress (%)'!AD530</f>
        <v>0</v>
      </c>
      <c r="I520" s="20">
        <f>'Work Progress (%)'!AI530</f>
        <v>0</v>
      </c>
      <c r="J520" s="20">
        <f>'Work Progress (%)'!AQ530</f>
        <v>0</v>
      </c>
      <c r="K520" s="20">
        <f>'Work Progress (%)'!AV530</f>
        <v>0</v>
      </c>
      <c r="L520" s="20">
        <f>'Work Progress (%)'!BD530</f>
        <v>0</v>
      </c>
      <c r="M520" s="20">
        <v>1</v>
      </c>
      <c r="N520" s="20">
        <v>1</v>
      </c>
      <c r="O520" s="20">
        <v>0.2</v>
      </c>
      <c r="P520" s="20">
        <v>0.7</v>
      </c>
      <c r="Q520" s="21">
        <f t="shared" si="56"/>
        <v>2.8999999999999998E-2</v>
      </c>
    </row>
    <row r="521" spans="2:17" ht="74.25" customHeight="1" x14ac:dyDescent="0.45">
      <c r="B521" s="22" t="s">
        <v>145</v>
      </c>
      <c r="C521" s="22" t="s">
        <v>43</v>
      </c>
      <c r="D521" s="151">
        <v>904</v>
      </c>
      <c r="E521" s="20">
        <f>'Work Progress (%)'!G531</f>
        <v>0</v>
      </c>
      <c r="F521" s="20">
        <f>'Work Progress (%)'!L531</f>
        <v>0</v>
      </c>
      <c r="G521" s="20">
        <f>'Work Progress (%)'!Y531</f>
        <v>0</v>
      </c>
      <c r="H521" s="20">
        <f>'Work Progress (%)'!AD531</f>
        <v>0</v>
      </c>
      <c r="I521" s="20">
        <f>'Work Progress (%)'!AI531</f>
        <v>0</v>
      </c>
      <c r="J521" s="20">
        <f>'Work Progress (%)'!AQ531</f>
        <v>0</v>
      </c>
      <c r="K521" s="20">
        <f>'Work Progress (%)'!AV531</f>
        <v>0</v>
      </c>
      <c r="L521" s="20">
        <f>'Work Progress (%)'!BD531</f>
        <v>0</v>
      </c>
      <c r="M521" s="20">
        <v>1</v>
      </c>
      <c r="N521" s="20">
        <v>1</v>
      </c>
      <c r="O521" s="20">
        <v>0.2</v>
      </c>
      <c r="P521" s="20">
        <v>0.7</v>
      </c>
      <c r="Q521" s="21">
        <f t="shared" si="56"/>
        <v>2.8999999999999998E-2</v>
      </c>
    </row>
    <row r="522" spans="2:17" ht="74.25" customHeight="1" x14ac:dyDescent="0.45">
      <c r="B522" s="22" t="s">
        <v>145</v>
      </c>
      <c r="C522" s="22" t="s">
        <v>43</v>
      </c>
      <c r="D522" s="151">
        <v>905</v>
      </c>
      <c r="E522" s="20">
        <f>'Work Progress (%)'!G532</f>
        <v>0</v>
      </c>
      <c r="F522" s="20">
        <f>'Work Progress (%)'!L532</f>
        <v>0</v>
      </c>
      <c r="G522" s="20">
        <f>'Work Progress (%)'!Y532</f>
        <v>0</v>
      </c>
      <c r="H522" s="20">
        <f>'Work Progress (%)'!AD532</f>
        <v>0</v>
      </c>
      <c r="I522" s="20">
        <f>'Work Progress (%)'!AI532</f>
        <v>0</v>
      </c>
      <c r="J522" s="20">
        <f>'Work Progress (%)'!AQ532</f>
        <v>0</v>
      </c>
      <c r="K522" s="20">
        <f>'Work Progress (%)'!AV532</f>
        <v>0</v>
      </c>
      <c r="L522" s="20">
        <f>'Work Progress (%)'!BD532</f>
        <v>0</v>
      </c>
      <c r="M522" s="20">
        <v>1</v>
      </c>
      <c r="N522" s="20">
        <v>1</v>
      </c>
      <c r="O522" s="20">
        <v>0.2</v>
      </c>
      <c r="P522" s="20">
        <v>0.7</v>
      </c>
      <c r="Q522" s="21">
        <f t="shared" si="56"/>
        <v>2.8999999999999998E-2</v>
      </c>
    </row>
    <row r="523" spans="2:17" ht="74.25" customHeight="1" x14ac:dyDescent="0.45">
      <c r="B523" s="22" t="s">
        <v>145</v>
      </c>
      <c r="C523" s="22" t="s">
        <v>43</v>
      </c>
      <c r="D523" s="151">
        <v>906</v>
      </c>
      <c r="E523" s="20">
        <f>'Work Progress (%)'!G533</f>
        <v>0</v>
      </c>
      <c r="F523" s="20">
        <f>'Work Progress (%)'!L533</f>
        <v>0</v>
      </c>
      <c r="G523" s="20">
        <f>'Work Progress (%)'!Y533</f>
        <v>0</v>
      </c>
      <c r="H523" s="20">
        <f>'Work Progress (%)'!AD533</f>
        <v>0</v>
      </c>
      <c r="I523" s="20">
        <f>'Work Progress (%)'!AI533</f>
        <v>0</v>
      </c>
      <c r="J523" s="20">
        <f>'Work Progress (%)'!AQ533</f>
        <v>0</v>
      </c>
      <c r="K523" s="20">
        <f>'Work Progress (%)'!AV533</f>
        <v>0</v>
      </c>
      <c r="L523" s="20">
        <f>'Work Progress (%)'!BD533</f>
        <v>0</v>
      </c>
      <c r="M523" s="20">
        <v>1</v>
      </c>
      <c r="N523" s="20">
        <v>1</v>
      </c>
      <c r="O523" s="20">
        <v>0.2</v>
      </c>
      <c r="P523" s="20">
        <v>0.7</v>
      </c>
      <c r="Q523" s="21">
        <f t="shared" si="56"/>
        <v>2.8999999999999998E-2</v>
      </c>
    </row>
    <row r="524" spans="2:17" ht="74.25" customHeight="1" x14ac:dyDescent="0.45">
      <c r="B524" s="22" t="s">
        <v>145</v>
      </c>
      <c r="C524" s="22" t="s">
        <v>43</v>
      </c>
      <c r="D524" s="151">
        <v>907</v>
      </c>
      <c r="E524" s="20">
        <f>'Work Progress (%)'!G534</f>
        <v>0</v>
      </c>
      <c r="F524" s="20">
        <f>'Work Progress (%)'!L534</f>
        <v>0</v>
      </c>
      <c r="G524" s="20">
        <f>'Work Progress (%)'!Y534</f>
        <v>0</v>
      </c>
      <c r="H524" s="20">
        <f>'Work Progress (%)'!AD534</f>
        <v>0</v>
      </c>
      <c r="I524" s="20">
        <f>'Work Progress (%)'!AI534</f>
        <v>0</v>
      </c>
      <c r="J524" s="20">
        <f>'Work Progress (%)'!AQ534</f>
        <v>0</v>
      </c>
      <c r="K524" s="20">
        <f>'Work Progress (%)'!AV534</f>
        <v>0</v>
      </c>
      <c r="L524" s="20">
        <f>'Work Progress (%)'!BD534</f>
        <v>0</v>
      </c>
      <c r="M524" s="20">
        <v>1</v>
      </c>
      <c r="N524" s="20">
        <v>1</v>
      </c>
      <c r="O524" s="20">
        <v>0.2</v>
      </c>
      <c r="P524" s="20">
        <v>0.7</v>
      </c>
      <c r="Q524" s="21">
        <f t="shared" si="56"/>
        <v>2.8999999999999998E-2</v>
      </c>
    </row>
    <row r="525" spans="2:17" ht="74.25" customHeight="1" x14ac:dyDescent="0.45">
      <c r="B525" s="22" t="s">
        <v>145</v>
      </c>
      <c r="C525" s="22" t="s">
        <v>43</v>
      </c>
      <c r="D525" s="151">
        <v>908</v>
      </c>
      <c r="E525" s="20">
        <f>'Work Progress (%)'!G535</f>
        <v>0</v>
      </c>
      <c r="F525" s="20">
        <f>'Work Progress (%)'!L535</f>
        <v>0</v>
      </c>
      <c r="G525" s="20">
        <f>'Work Progress (%)'!Y535</f>
        <v>0</v>
      </c>
      <c r="H525" s="20">
        <f>'Work Progress (%)'!AD535</f>
        <v>0</v>
      </c>
      <c r="I525" s="20">
        <f>'Work Progress (%)'!AI535</f>
        <v>0</v>
      </c>
      <c r="J525" s="20">
        <f>'Work Progress (%)'!AQ535</f>
        <v>0</v>
      </c>
      <c r="K525" s="20">
        <f>'Work Progress (%)'!AV535</f>
        <v>0</v>
      </c>
      <c r="L525" s="20">
        <f>'Work Progress (%)'!BD535</f>
        <v>0</v>
      </c>
      <c r="M525" s="20">
        <v>1</v>
      </c>
      <c r="N525" s="20">
        <v>1</v>
      </c>
      <c r="O525" s="20">
        <v>0.2</v>
      </c>
      <c r="P525" s="20">
        <v>0.7</v>
      </c>
      <c r="Q525" s="21">
        <f t="shared" si="56"/>
        <v>2.8999999999999998E-2</v>
      </c>
    </row>
    <row r="526" spans="2:17" ht="74.25" customHeight="1" x14ac:dyDescent="0.45">
      <c r="B526" s="22" t="s">
        <v>145</v>
      </c>
      <c r="C526" s="22" t="s">
        <v>43</v>
      </c>
      <c r="D526" s="151">
        <v>909</v>
      </c>
      <c r="E526" s="20">
        <f>'Work Progress (%)'!G536</f>
        <v>0</v>
      </c>
      <c r="F526" s="20">
        <f>'Work Progress (%)'!L536</f>
        <v>0</v>
      </c>
      <c r="G526" s="20">
        <f>'Work Progress (%)'!Y536</f>
        <v>0</v>
      </c>
      <c r="H526" s="20">
        <f>'Work Progress (%)'!AD536</f>
        <v>0</v>
      </c>
      <c r="I526" s="20">
        <f>'Work Progress (%)'!AI536</f>
        <v>0</v>
      </c>
      <c r="J526" s="20">
        <f>'Work Progress (%)'!AQ536</f>
        <v>0</v>
      </c>
      <c r="K526" s="20">
        <f>'Work Progress (%)'!AV536</f>
        <v>0</v>
      </c>
      <c r="L526" s="20">
        <f>'Work Progress (%)'!BD536</f>
        <v>0</v>
      </c>
      <c r="M526" s="20">
        <v>1</v>
      </c>
      <c r="N526" s="20">
        <v>1</v>
      </c>
      <c r="O526" s="20">
        <v>0.2</v>
      </c>
      <c r="P526" s="20">
        <v>0.7</v>
      </c>
      <c r="Q526" s="21">
        <f t="shared" si="56"/>
        <v>2.8999999999999998E-2</v>
      </c>
    </row>
    <row r="527" spans="2:17" ht="74.25" customHeight="1" x14ac:dyDescent="0.45">
      <c r="B527" s="22" t="s">
        <v>145</v>
      </c>
      <c r="C527" s="22" t="s">
        <v>43</v>
      </c>
      <c r="D527" s="151">
        <v>910</v>
      </c>
      <c r="E527" s="20">
        <f>'Work Progress (%)'!G537</f>
        <v>0</v>
      </c>
      <c r="F527" s="20">
        <f>'Work Progress (%)'!L537</f>
        <v>0</v>
      </c>
      <c r="G527" s="20">
        <f>'Work Progress (%)'!Y537</f>
        <v>0</v>
      </c>
      <c r="H527" s="20">
        <f>'Work Progress (%)'!AD537</f>
        <v>0</v>
      </c>
      <c r="I527" s="20">
        <f>'Work Progress (%)'!AI537</f>
        <v>0</v>
      </c>
      <c r="J527" s="20">
        <f>'Work Progress (%)'!AQ537</f>
        <v>0</v>
      </c>
      <c r="K527" s="20">
        <f>'Work Progress (%)'!AV537</f>
        <v>0</v>
      </c>
      <c r="L527" s="20">
        <f>'Work Progress (%)'!BD537</f>
        <v>0</v>
      </c>
      <c r="M527" s="20">
        <v>1</v>
      </c>
      <c r="N527" s="20">
        <v>1</v>
      </c>
      <c r="O527" s="20">
        <v>0.2</v>
      </c>
      <c r="P527" s="20">
        <v>0.7</v>
      </c>
      <c r="Q527" s="21">
        <f t="shared" si="56"/>
        <v>2.8999999999999998E-2</v>
      </c>
    </row>
    <row r="528" spans="2:17" ht="74.25" customHeight="1" x14ac:dyDescent="0.45">
      <c r="B528" s="22" t="s">
        <v>145</v>
      </c>
      <c r="C528" s="22" t="s">
        <v>43</v>
      </c>
      <c r="D528" s="151">
        <v>911</v>
      </c>
      <c r="E528" s="20">
        <f>'Work Progress (%)'!G538</f>
        <v>0</v>
      </c>
      <c r="F528" s="20">
        <f>'Work Progress (%)'!L538</f>
        <v>0</v>
      </c>
      <c r="G528" s="20">
        <f>'Work Progress (%)'!Y538</f>
        <v>0</v>
      </c>
      <c r="H528" s="20">
        <f>'Work Progress (%)'!AD538</f>
        <v>0</v>
      </c>
      <c r="I528" s="20">
        <f>'Work Progress (%)'!AI538</f>
        <v>0</v>
      </c>
      <c r="J528" s="20">
        <f>'Work Progress (%)'!AQ538</f>
        <v>0</v>
      </c>
      <c r="K528" s="20">
        <f>'Work Progress (%)'!AV538</f>
        <v>0</v>
      </c>
      <c r="L528" s="20">
        <f>'Work Progress (%)'!BD538</f>
        <v>0</v>
      </c>
      <c r="M528" s="20">
        <v>1</v>
      </c>
      <c r="N528" s="20">
        <v>1</v>
      </c>
      <c r="O528" s="20">
        <v>0.2</v>
      </c>
      <c r="P528" s="20">
        <v>0.7</v>
      </c>
      <c r="Q528" s="21">
        <f t="shared" si="56"/>
        <v>2.8999999999999998E-2</v>
      </c>
    </row>
    <row r="529" spans="2:17" ht="74.25" customHeight="1" x14ac:dyDescent="0.45">
      <c r="B529" s="22" t="s">
        <v>145</v>
      </c>
      <c r="C529" s="22" t="s">
        <v>43</v>
      </c>
      <c r="D529" s="151">
        <v>912</v>
      </c>
      <c r="E529" s="20">
        <f>'Work Progress (%)'!G539</f>
        <v>0</v>
      </c>
      <c r="F529" s="20">
        <f>'Work Progress (%)'!L539</f>
        <v>0</v>
      </c>
      <c r="G529" s="20">
        <f>'Work Progress (%)'!Y539</f>
        <v>0</v>
      </c>
      <c r="H529" s="20">
        <f>'Work Progress (%)'!AD539</f>
        <v>0</v>
      </c>
      <c r="I529" s="20">
        <f>'Work Progress (%)'!AI539</f>
        <v>0</v>
      </c>
      <c r="J529" s="20">
        <f>'Work Progress (%)'!AQ539</f>
        <v>0</v>
      </c>
      <c r="K529" s="20">
        <f>'Work Progress (%)'!AV539</f>
        <v>0</v>
      </c>
      <c r="L529" s="20">
        <f>'Work Progress (%)'!BD539</f>
        <v>0</v>
      </c>
      <c r="M529" s="20">
        <v>1</v>
      </c>
      <c r="N529" s="20">
        <v>1</v>
      </c>
      <c r="O529" s="20">
        <v>0.2</v>
      </c>
      <c r="P529" s="20">
        <v>0.7</v>
      </c>
      <c r="Q529" s="21">
        <f t="shared" si="56"/>
        <v>2.8999999999999998E-2</v>
      </c>
    </row>
    <row r="530" spans="2:17" ht="74.25" customHeight="1" x14ac:dyDescent="0.45">
      <c r="B530" s="22" t="s">
        <v>145</v>
      </c>
      <c r="C530" s="22" t="s">
        <v>43</v>
      </c>
      <c r="D530" s="151">
        <v>913</v>
      </c>
      <c r="E530" s="20">
        <f>'Work Progress (%)'!G540</f>
        <v>0</v>
      </c>
      <c r="F530" s="20">
        <f>'Work Progress (%)'!L540</f>
        <v>0</v>
      </c>
      <c r="G530" s="20">
        <f>'Work Progress (%)'!Y540</f>
        <v>0</v>
      </c>
      <c r="H530" s="20">
        <f>'Work Progress (%)'!AD540</f>
        <v>0</v>
      </c>
      <c r="I530" s="20">
        <f>'Work Progress (%)'!AI540</f>
        <v>0</v>
      </c>
      <c r="J530" s="20">
        <f>'Work Progress (%)'!AQ540</f>
        <v>0</v>
      </c>
      <c r="K530" s="20">
        <f>'Work Progress (%)'!AV540</f>
        <v>0</v>
      </c>
      <c r="L530" s="20">
        <f>'Work Progress (%)'!BD540</f>
        <v>0</v>
      </c>
      <c r="M530" s="20">
        <v>1</v>
      </c>
      <c r="N530" s="20">
        <v>1</v>
      </c>
      <c r="O530" s="20">
        <v>0.2</v>
      </c>
      <c r="P530" s="20">
        <v>0.7</v>
      </c>
      <c r="Q530" s="21">
        <f t="shared" si="56"/>
        <v>2.8999999999999998E-2</v>
      </c>
    </row>
    <row r="531" spans="2:17" ht="74.25" customHeight="1" x14ac:dyDescent="0.45">
      <c r="B531" s="22" t="s">
        <v>145</v>
      </c>
      <c r="C531" s="22" t="s">
        <v>43</v>
      </c>
      <c r="D531" s="151">
        <v>914</v>
      </c>
      <c r="E531" s="20">
        <f>'Work Progress (%)'!G541</f>
        <v>0</v>
      </c>
      <c r="F531" s="20">
        <f>'Work Progress (%)'!L541</f>
        <v>0</v>
      </c>
      <c r="G531" s="20">
        <f>'Work Progress (%)'!Y541</f>
        <v>0</v>
      </c>
      <c r="H531" s="20">
        <f>'Work Progress (%)'!AD541</f>
        <v>0</v>
      </c>
      <c r="I531" s="20">
        <f>'Work Progress (%)'!AI541</f>
        <v>0</v>
      </c>
      <c r="J531" s="20">
        <f>'Work Progress (%)'!AQ541</f>
        <v>0</v>
      </c>
      <c r="K531" s="20">
        <f>'Work Progress (%)'!AV541</f>
        <v>0</v>
      </c>
      <c r="L531" s="20">
        <f>'Work Progress (%)'!BD541</f>
        <v>0</v>
      </c>
      <c r="M531" s="20">
        <v>1</v>
      </c>
      <c r="N531" s="20">
        <v>1</v>
      </c>
      <c r="O531" s="20">
        <v>0.2</v>
      </c>
      <c r="P531" s="20">
        <v>0.7</v>
      </c>
      <c r="Q531" s="21">
        <f t="shared" si="56"/>
        <v>2.8999999999999998E-2</v>
      </c>
    </row>
    <row r="532" spans="2:17" ht="74.25" customHeight="1" x14ac:dyDescent="0.45">
      <c r="B532" s="22" t="s">
        <v>145</v>
      </c>
      <c r="C532" s="22" t="s">
        <v>43</v>
      </c>
      <c r="D532" s="151">
        <v>915</v>
      </c>
      <c r="E532" s="20">
        <f>'Work Progress (%)'!G542</f>
        <v>0</v>
      </c>
      <c r="F532" s="20">
        <f>'Work Progress (%)'!L542</f>
        <v>0</v>
      </c>
      <c r="G532" s="20">
        <f>'Work Progress (%)'!Y542</f>
        <v>0</v>
      </c>
      <c r="H532" s="20">
        <f>'Work Progress (%)'!AD542</f>
        <v>0</v>
      </c>
      <c r="I532" s="20">
        <f>'Work Progress (%)'!AI542</f>
        <v>0</v>
      </c>
      <c r="J532" s="20">
        <f>'Work Progress (%)'!AQ542</f>
        <v>0</v>
      </c>
      <c r="K532" s="20">
        <f>'Work Progress (%)'!AV542</f>
        <v>0</v>
      </c>
      <c r="L532" s="20">
        <f>'Work Progress (%)'!BD542</f>
        <v>0</v>
      </c>
      <c r="M532" s="20">
        <v>1</v>
      </c>
      <c r="N532" s="20">
        <v>1</v>
      </c>
      <c r="O532" s="20">
        <v>0.2</v>
      </c>
      <c r="P532" s="20">
        <v>0.7</v>
      </c>
      <c r="Q532" s="21">
        <f t="shared" si="56"/>
        <v>2.8999999999999998E-2</v>
      </c>
    </row>
    <row r="533" spans="2:17" ht="74.25" customHeight="1" x14ac:dyDescent="0.45">
      <c r="B533" s="22" t="s">
        <v>145</v>
      </c>
      <c r="C533" s="22" t="s">
        <v>43</v>
      </c>
      <c r="D533" s="151">
        <v>916</v>
      </c>
      <c r="E533" s="20">
        <f>'Work Progress (%)'!G543</f>
        <v>0</v>
      </c>
      <c r="F533" s="20">
        <f>'Work Progress (%)'!L543</f>
        <v>0</v>
      </c>
      <c r="G533" s="20">
        <f>'Work Progress (%)'!Y543</f>
        <v>0</v>
      </c>
      <c r="H533" s="20">
        <f>'Work Progress (%)'!AD543</f>
        <v>0</v>
      </c>
      <c r="I533" s="20">
        <f>'Work Progress (%)'!AI543</f>
        <v>0</v>
      </c>
      <c r="J533" s="20">
        <f>'Work Progress (%)'!AQ543</f>
        <v>0</v>
      </c>
      <c r="K533" s="20">
        <f>'Work Progress (%)'!AV543</f>
        <v>0</v>
      </c>
      <c r="L533" s="20">
        <f>'Work Progress (%)'!BD543</f>
        <v>0</v>
      </c>
      <c r="M533" s="20">
        <v>1</v>
      </c>
      <c r="N533" s="20">
        <v>1</v>
      </c>
      <c r="O533" s="20">
        <v>0.2</v>
      </c>
      <c r="P533" s="20">
        <v>0.7</v>
      </c>
      <c r="Q533" s="21">
        <f t="shared" si="56"/>
        <v>2.8999999999999998E-2</v>
      </c>
    </row>
    <row r="534" spans="2:17" ht="74.25" customHeight="1" x14ac:dyDescent="0.45">
      <c r="B534" s="22" t="s">
        <v>145</v>
      </c>
      <c r="C534" s="22"/>
      <c r="D534" s="154" t="s">
        <v>44</v>
      </c>
      <c r="E534" s="141">
        <f>AVERAGE(E536:E550)</f>
        <v>0</v>
      </c>
      <c r="F534" s="141">
        <f t="shared" ref="F534:P534" si="57">AVERAGE(F536:F550)</f>
        <v>0</v>
      </c>
      <c r="G534" s="20">
        <f t="shared" si="57"/>
        <v>0</v>
      </c>
      <c r="H534" s="141">
        <f t="shared" si="57"/>
        <v>0</v>
      </c>
      <c r="I534" s="141">
        <f t="shared" si="57"/>
        <v>0</v>
      </c>
      <c r="J534" s="141">
        <f t="shared" si="57"/>
        <v>0</v>
      </c>
      <c r="K534" s="141">
        <f t="shared" si="57"/>
        <v>0</v>
      </c>
      <c r="L534" s="141">
        <f t="shared" si="57"/>
        <v>0</v>
      </c>
      <c r="M534" s="141">
        <f t="shared" si="57"/>
        <v>1</v>
      </c>
      <c r="N534" s="141">
        <f t="shared" si="57"/>
        <v>1</v>
      </c>
      <c r="O534" s="141">
        <f t="shared" si="57"/>
        <v>0.20000000000000004</v>
      </c>
      <c r="P534" s="141">
        <f t="shared" si="57"/>
        <v>0.69999999999999984</v>
      </c>
      <c r="Q534" s="13">
        <f>AVERAGE(Q535:Q550)</f>
        <v>2.9000000000000012E-2</v>
      </c>
    </row>
    <row r="535" spans="2:17" ht="74.25" customHeight="1" x14ac:dyDescent="0.45">
      <c r="B535" s="22" t="s">
        <v>145</v>
      </c>
      <c r="C535" s="22" t="s">
        <v>45</v>
      </c>
      <c r="D535" s="151">
        <v>1001</v>
      </c>
      <c r="E535" s="20">
        <f>'Work Progress (%)'!G545</f>
        <v>0</v>
      </c>
      <c r="F535" s="20">
        <f>'Work Progress (%)'!L545</f>
        <v>0</v>
      </c>
      <c r="G535" s="20">
        <f>'Work Progress (%)'!Y545</f>
        <v>0</v>
      </c>
      <c r="H535" s="20">
        <f>'Work Progress (%)'!AD545</f>
        <v>0</v>
      </c>
      <c r="I535" s="20">
        <f>'Work Progress (%)'!AI545</f>
        <v>0</v>
      </c>
      <c r="J535" s="20">
        <f>'Work Progress (%)'!AQ545</f>
        <v>0</v>
      </c>
      <c r="K535" s="20">
        <f>'Work Progress (%)'!AV545</f>
        <v>0</v>
      </c>
      <c r="L535" s="20">
        <f>'Work Progress (%)'!BD545</f>
        <v>0</v>
      </c>
      <c r="M535" s="20">
        <v>1</v>
      </c>
      <c r="N535" s="20">
        <v>1</v>
      </c>
      <c r="O535" s="20">
        <v>0.2</v>
      </c>
      <c r="P535" s="20">
        <v>0.7</v>
      </c>
      <c r="Q535" s="21">
        <f t="shared" ref="Q535:Q550" si="58">SUMPRODUCT(E535:P535, E$2:P$2)</f>
        <v>2.8999999999999998E-2</v>
      </c>
    </row>
    <row r="536" spans="2:17" ht="74.25" customHeight="1" x14ac:dyDescent="0.45">
      <c r="B536" s="22" t="s">
        <v>145</v>
      </c>
      <c r="C536" s="22" t="s">
        <v>45</v>
      </c>
      <c r="D536" s="151">
        <v>1002</v>
      </c>
      <c r="E536" s="20">
        <f>'Work Progress (%)'!G546</f>
        <v>0</v>
      </c>
      <c r="F536" s="20">
        <f>'Work Progress (%)'!L546</f>
        <v>0</v>
      </c>
      <c r="G536" s="20">
        <f>'Work Progress (%)'!Y546</f>
        <v>0</v>
      </c>
      <c r="H536" s="20">
        <f>'Work Progress (%)'!AD546</f>
        <v>0</v>
      </c>
      <c r="I536" s="20">
        <f>'Work Progress (%)'!AI546</f>
        <v>0</v>
      </c>
      <c r="J536" s="20">
        <f>'Work Progress (%)'!AQ546</f>
        <v>0</v>
      </c>
      <c r="K536" s="20">
        <f>'Work Progress (%)'!AV546</f>
        <v>0</v>
      </c>
      <c r="L536" s="20">
        <f>'Work Progress (%)'!BD546</f>
        <v>0</v>
      </c>
      <c r="M536" s="20">
        <v>1</v>
      </c>
      <c r="N536" s="20">
        <v>1</v>
      </c>
      <c r="O536" s="20">
        <v>0.2</v>
      </c>
      <c r="P536" s="20">
        <v>0.7</v>
      </c>
      <c r="Q536" s="21">
        <f t="shared" si="58"/>
        <v>2.8999999999999998E-2</v>
      </c>
    </row>
    <row r="537" spans="2:17" ht="74.25" customHeight="1" x14ac:dyDescent="0.45">
      <c r="B537" s="22" t="s">
        <v>145</v>
      </c>
      <c r="C537" s="22" t="s">
        <v>45</v>
      </c>
      <c r="D537" s="151">
        <v>1003</v>
      </c>
      <c r="E537" s="20">
        <f>'Work Progress (%)'!G547</f>
        <v>0</v>
      </c>
      <c r="F537" s="20">
        <f>'Work Progress (%)'!L547</f>
        <v>0</v>
      </c>
      <c r="G537" s="20">
        <f>'Work Progress (%)'!Y547</f>
        <v>0</v>
      </c>
      <c r="H537" s="20">
        <f>'Work Progress (%)'!AD547</f>
        <v>0</v>
      </c>
      <c r="I537" s="20">
        <f>'Work Progress (%)'!AI547</f>
        <v>0</v>
      </c>
      <c r="J537" s="20">
        <f>'Work Progress (%)'!AQ547</f>
        <v>0</v>
      </c>
      <c r="K537" s="20">
        <f>'Work Progress (%)'!AV547</f>
        <v>0</v>
      </c>
      <c r="L537" s="20">
        <f>'Work Progress (%)'!BD547</f>
        <v>0</v>
      </c>
      <c r="M537" s="20">
        <v>1</v>
      </c>
      <c r="N537" s="20">
        <v>1</v>
      </c>
      <c r="O537" s="20">
        <v>0.2</v>
      </c>
      <c r="P537" s="20">
        <v>0.7</v>
      </c>
      <c r="Q537" s="21">
        <f t="shared" si="58"/>
        <v>2.8999999999999998E-2</v>
      </c>
    </row>
    <row r="538" spans="2:17" ht="74.25" customHeight="1" x14ac:dyDescent="0.45">
      <c r="B538" s="22" t="s">
        <v>145</v>
      </c>
      <c r="C538" s="22" t="s">
        <v>45</v>
      </c>
      <c r="D538" s="151">
        <v>1004</v>
      </c>
      <c r="E538" s="20">
        <f>'Work Progress (%)'!G548</f>
        <v>0</v>
      </c>
      <c r="F538" s="20">
        <f>'Work Progress (%)'!L548</f>
        <v>0</v>
      </c>
      <c r="G538" s="20">
        <f>'Work Progress (%)'!Y548</f>
        <v>0</v>
      </c>
      <c r="H538" s="20">
        <f>'Work Progress (%)'!AD548</f>
        <v>0</v>
      </c>
      <c r="I538" s="20">
        <f>'Work Progress (%)'!AI548</f>
        <v>0</v>
      </c>
      <c r="J538" s="20">
        <f>'Work Progress (%)'!AQ548</f>
        <v>0</v>
      </c>
      <c r="K538" s="20">
        <f>'Work Progress (%)'!AV548</f>
        <v>0</v>
      </c>
      <c r="L538" s="20">
        <f>'Work Progress (%)'!BD548</f>
        <v>0</v>
      </c>
      <c r="M538" s="20">
        <v>1</v>
      </c>
      <c r="N538" s="20">
        <v>1</v>
      </c>
      <c r="O538" s="20">
        <v>0.2</v>
      </c>
      <c r="P538" s="20">
        <v>0.7</v>
      </c>
      <c r="Q538" s="21">
        <f t="shared" si="58"/>
        <v>2.8999999999999998E-2</v>
      </c>
    </row>
    <row r="539" spans="2:17" ht="74.25" customHeight="1" x14ac:dyDescent="0.45">
      <c r="B539" s="22" t="s">
        <v>145</v>
      </c>
      <c r="C539" s="22" t="s">
        <v>45</v>
      </c>
      <c r="D539" s="151">
        <v>1005</v>
      </c>
      <c r="E539" s="20">
        <f>'Work Progress (%)'!G549</f>
        <v>0</v>
      </c>
      <c r="F539" s="20">
        <f>'Work Progress (%)'!L549</f>
        <v>0</v>
      </c>
      <c r="G539" s="20">
        <f>'Work Progress (%)'!Y549</f>
        <v>0</v>
      </c>
      <c r="H539" s="20">
        <f>'Work Progress (%)'!AD549</f>
        <v>0</v>
      </c>
      <c r="I539" s="20">
        <f>'Work Progress (%)'!AI549</f>
        <v>0</v>
      </c>
      <c r="J539" s="20">
        <f>'Work Progress (%)'!AQ549</f>
        <v>0</v>
      </c>
      <c r="K539" s="20">
        <f>'Work Progress (%)'!AV549</f>
        <v>0</v>
      </c>
      <c r="L539" s="20">
        <f>'Work Progress (%)'!BD549</f>
        <v>0</v>
      </c>
      <c r="M539" s="20">
        <v>1</v>
      </c>
      <c r="N539" s="20">
        <v>1</v>
      </c>
      <c r="O539" s="20">
        <v>0.2</v>
      </c>
      <c r="P539" s="20">
        <v>0.7</v>
      </c>
      <c r="Q539" s="21">
        <f t="shared" si="58"/>
        <v>2.8999999999999998E-2</v>
      </c>
    </row>
    <row r="540" spans="2:17" ht="74.25" customHeight="1" x14ac:dyDescent="0.45">
      <c r="B540" s="22" t="s">
        <v>145</v>
      </c>
      <c r="C540" s="22" t="s">
        <v>45</v>
      </c>
      <c r="D540" s="151">
        <v>1006</v>
      </c>
      <c r="E540" s="20">
        <f>'Work Progress (%)'!G550</f>
        <v>0</v>
      </c>
      <c r="F540" s="20">
        <f>'Work Progress (%)'!L550</f>
        <v>0</v>
      </c>
      <c r="G540" s="20">
        <f>'Work Progress (%)'!Y550</f>
        <v>0</v>
      </c>
      <c r="H540" s="20">
        <f>'Work Progress (%)'!AD550</f>
        <v>0</v>
      </c>
      <c r="I540" s="20">
        <f>'Work Progress (%)'!AI550</f>
        <v>0</v>
      </c>
      <c r="J540" s="20">
        <f>'Work Progress (%)'!AQ550</f>
        <v>0</v>
      </c>
      <c r="K540" s="20">
        <f>'Work Progress (%)'!AV550</f>
        <v>0</v>
      </c>
      <c r="L540" s="20">
        <f>'Work Progress (%)'!BD550</f>
        <v>0</v>
      </c>
      <c r="M540" s="20">
        <v>1</v>
      </c>
      <c r="N540" s="20">
        <v>1</v>
      </c>
      <c r="O540" s="20">
        <v>0.2</v>
      </c>
      <c r="P540" s="20">
        <v>0.7</v>
      </c>
      <c r="Q540" s="21">
        <f t="shared" si="58"/>
        <v>2.8999999999999998E-2</v>
      </c>
    </row>
    <row r="541" spans="2:17" ht="74.25" customHeight="1" x14ac:dyDescent="0.45">
      <c r="B541" s="22" t="s">
        <v>145</v>
      </c>
      <c r="C541" s="22" t="s">
        <v>45</v>
      </c>
      <c r="D541" s="151">
        <v>1007</v>
      </c>
      <c r="E541" s="20">
        <f>'Work Progress (%)'!G551</f>
        <v>0</v>
      </c>
      <c r="F541" s="20">
        <f>'Work Progress (%)'!L551</f>
        <v>0</v>
      </c>
      <c r="G541" s="20">
        <f>'Work Progress (%)'!Y551</f>
        <v>0</v>
      </c>
      <c r="H541" s="20">
        <f>'Work Progress (%)'!AD551</f>
        <v>0</v>
      </c>
      <c r="I541" s="20">
        <f>'Work Progress (%)'!AI551</f>
        <v>0</v>
      </c>
      <c r="J541" s="20">
        <f>'Work Progress (%)'!AQ551</f>
        <v>0</v>
      </c>
      <c r="K541" s="20">
        <f>'Work Progress (%)'!AV551</f>
        <v>0</v>
      </c>
      <c r="L541" s="20">
        <f>'Work Progress (%)'!BD551</f>
        <v>0</v>
      </c>
      <c r="M541" s="20">
        <v>1</v>
      </c>
      <c r="N541" s="20">
        <v>1</v>
      </c>
      <c r="O541" s="20">
        <v>0.2</v>
      </c>
      <c r="P541" s="20">
        <v>0.7</v>
      </c>
      <c r="Q541" s="21">
        <f t="shared" si="58"/>
        <v>2.8999999999999998E-2</v>
      </c>
    </row>
    <row r="542" spans="2:17" ht="74.25" customHeight="1" x14ac:dyDescent="0.45">
      <c r="B542" s="22" t="s">
        <v>145</v>
      </c>
      <c r="C542" s="22" t="s">
        <v>45</v>
      </c>
      <c r="D542" s="151">
        <v>1008</v>
      </c>
      <c r="E542" s="20">
        <f>'Work Progress (%)'!G552</f>
        <v>0</v>
      </c>
      <c r="F542" s="20">
        <f>'Work Progress (%)'!L552</f>
        <v>0</v>
      </c>
      <c r="G542" s="20">
        <f>'Work Progress (%)'!Y552</f>
        <v>0</v>
      </c>
      <c r="H542" s="20">
        <f>'Work Progress (%)'!AD552</f>
        <v>0</v>
      </c>
      <c r="I542" s="20">
        <f>'Work Progress (%)'!AI552</f>
        <v>0</v>
      </c>
      <c r="J542" s="20">
        <f>'Work Progress (%)'!AQ552</f>
        <v>0</v>
      </c>
      <c r="K542" s="20">
        <f>'Work Progress (%)'!AV552</f>
        <v>0</v>
      </c>
      <c r="L542" s="20">
        <f>'Work Progress (%)'!BD552</f>
        <v>0</v>
      </c>
      <c r="M542" s="20">
        <v>1</v>
      </c>
      <c r="N542" s="20">
        <v>1</v>
      </c>
      <c r="O542" s="20">
        <v>0.2</v>
      </c>
      <c r="P542" s="20">
        <v>0.7</v>
      </c>
      <c r="Q542" s="21">
        <f t="shared" si="58"/>
        <v>2.8999999999999998E-2</v>
      </c>
    </row>
    <row r="543" spans="2:17" ht="74.25" customHeight="1" x14ac:dyDescent="0.45">
      <c r="B543" s="22" t="s">
        <v>145</v>
      </c>
      <c r="C543" s="22" t="s">
        <v>45</v>
      </c>
      <c r="D543" s="151">
        <v>1009</v>
      </c>
      <c r="E543" s="20">
        <f>'Work Progress (%)'!G553</f>
        <v>0</v>
      </c>
      <c r="F543" s="20">
        <f>'Work Progress (%)'!L553</f>
        <v>0</v>
      </c>
      <c r="G543" s="20">
        <f>'Work Progress (%)'!Y553</f>
        <v>0</v>
      </c>
      <c r="H543" s="20">
        <f>'Work Progress (%)'!AD553</f>
        <v>0</v>
      </c>
      <c r="I543" s="20">
        <f>'Work Progress (%)'!AI553</f>
        <v>0</v>
      </c>
      <c r="J543" s="20">
        <f>'Work Progress (%)'!AQ553</f>
        <v>0</v>
      </c>
      <c r="K543" s="20">
        <f>'Work Progress (%)'!AV553</f>
        <v>0</v>
      </c>
      <c r="L543" s="20">
        <f>'Work Progress (%)'!BD553</f>
        <v>0</v>
      </c>
      <c r="M543" s="20">
        <v>1</v>
      </c>
      <c r="N543" s="20">
        <v>1</v>
      </c>
      <c r="O543" s="20">
        <v>0.2</v>
      </c>
      <c r="P543" s="20">
        <v>0.7</v>
      </c>
      <c r="Q543" s="21">
        <f t="shared" si="58"/>
        <v>2.8999999999999998E-2</v>
      </c>
    </row>
    <row r="544" spans="2:17" ht="74.25" customHeight="1" x14ac:dyDescent="0.45">
      <c r="B544" s="22" t="s">
        <v>145</v>
      </c>
      <c r="C544" s="22" t="s">
        <v>45</v>
      </c>
      <c r="D544" s="151">
        <v>1010</v>
      </c>
      <c r="E544" s="20">
        <f>'Work Progress (%)'!G554</f>
        <v>0</v>
      </c>
      <c r="F544" s="20">
        <f>'Work Progress (%)'!L554</f>
        <v>0</v>
      </c>
      <c r="G544" s="20">
        <f>'Work Progress (%)'!Y554</f>
        <v>0</v>
      </c>
      <c r="H544" s="20">
        <f>'Work Progress (%)'!AD554</f>
        <v>0</v>
      </c>
      <c r="I544" s="20">
        <f>'Work Progress (%)'!AI554</f>
        <v>0</v>
      </c>
      <c r="J544" s="20">
        <f>'Work Progress (%)'!AQ554</f>
        <v>0</v>
      </c>
      <c r="K544" s="20">
        <f>'Work Progress (%)'!AV554</f>
        <v>0</v>
      </c>
      <c r="L544" s="20">
        <f>'Work Progress (%)'!BD554</f>
        <v>0</v>
      </c>
      <c r="M544" s="20">
        <v>1</v>
      </c>
      <c r="N544" s="20">
        <v>1</v>
      </c>
      <c r="O544" s="20">
        <v>0.2</v>
      </c>
      <c r="P544" s="20">
        <v>0.7</v>
      </c>
      <c r="Q544" s="21">
        <f t="shared" si="58"/>
        <v>2.8999999999999998E-2</v>
      </c>
    </row>
    <row r="545" spans="2:17" ht="74.25" customHeight="1" x14ac:dyDescent="0.45">
      <c r="B545" s="22" t="s">
        <v>145</v>
      </c>
      <c r="C545" s="22" t="s">
        <v>45</v>
      </c>
      <c r="D545" s="151">
        <v>1011</v>
      </c>
      <c r="E545" s="20">
        <f>'Work Progress (%)'!G555</f>
        <v>0</v>
      </c>
      <c r="F545" s="20">
        <f>'Work Progress (%)'!L555</f>
        <v>0</v>
      </c>
      <c r="G545" s="20">
        <f>'Work Progress (%)'!Y555</f>
        <v>0</v>
      </c>
      <c r="H545" s="20">
        <f>'Work Progress (%)'!AD555</f>
        <v>0</v>
      </c>
      <c r="I545" s="20">
        <f>'Work Progress (%)'!AI555</f>
        <v>0</v>
      </c>
      <c r="J545" s="20">
        <f>'Work Progress (%)'!AQ555</f>
        <v>0</v>
      </c>
      <c r="K545" s="20">
        <f>'Work Progress (%)'!AV555</f>
        <v>0</v>
      </c>
      <c r="L545" s="20">
        <f>'Work Progress (%)'!BD555</f>
        <v>0</v>
      </c>
      <c r="M545" s="20">
        <v>1</v>
      </c>
      <c r="N545" s="20">
        <v>1</v>
      </c>
      <c r="O545" s="20">
        <v>0.2</v>
      </c>
      <c r="P545" s="20">
        <v>0.7</v>
      </c>
      <c r="Q545" s="21">
        <f t="shared" si="58"/>
        <v>2.8999999999999998E-2</v>
      </c>
    </row>
    <row r="546" spans="2:17" ht="74.25" customHeight="1" x14ac:dyDescent="0.45">
      <c r="B546" s="22" t="s">
        <v>145</v>
      </c>
      <c r="C546" s="22" t="s">
        <v>45</v>
      </c>
      <c r="D546" s="151">
        <v>1012</v>
      </c>
      <c r="E546" s="20">
        <f>'Work Progress (%)'!G556</f>
        <v>0</v>
      </c>
      <c r="F546" s="20">
        <f>'Work Progress (%)'!L556</f>
        <v>0</v>
      </c>
      <c r="G546" s="20">
        <f>'Work Progress (%)'!Y556</f>
        <v>0</v>
      </c>
      <c r="H546" s="20">
        <f>'Work Progress (%)'!AD556</f>
        <v>0</v>
      </c>
      <c r="I546" s="20">
        <f>'Work Progress (%)'!AI556</f>
        <v>0</v>
      </c>
      <c r="J546" s="20">
        <f>'Work Progress (%)'!AQ556</f>
        <v>0</v>
      </c>
      <c r="K546" s="20">
        <f>'Work Progress (%)'!AV556</f>
        <v>0</v>
      </c>
      <c r="L546" s="20">
        <f>'Work Progress (%)'!BD556</f>
        <v>0</v>
      </c>
      <c r="M546" s="20">
        <v>1</v>
      </c>
      <c r="N546" s="20">
        <v>1</v>
      </c>
      <c r="O546" s="20">
        <v>0.2</v>
      </c>
      <c r="P546" s="20">
        <v>0.7</v>
      </c>
      <c r="Q546" s="21">
        <f t="shared" si="58"/>
        <v>2.8999999999999998E-2</v>
      </c>
    </row>
    <row r="547" spans="2:17" ht="74.25" customHeight="1" x14ac:dyDescent="0.45">
      <c r="B547" s="22" t="s">
        <v>145</v>
      </c>
      <c r="C547" s="22" t="s">
        <v>45</v>
      </c>
      <c r="D547" s="151">
        <v>1013</v>
      </c>
      <c r="E547" s="20">
        <f>'Work Progress (%)'!G557</f>
        <v>0</v>
      </c>
      <c r="F547" s="20">
        <f>'Work Progress (%)'!L557</f>
        <v>0</v>
      </c>
      <c r="G547" s="20">
        <f>'Work Progress (%)'!Y557</f>
        <v>0</v>
      </c>
      <c r="H547" s="20">
        <f>'Work Progress (%)'!AD557</f>
        <v>0</v>
      </c>
      <c r="I547" s="20">
        <f>'Work Progress (%)'!AI557</f>
        <v>0</v>
      </c>
      <c r="J547" s="20">
        <f>'Work Progress (%)'!AQ557</f>
        <v>0</v>
      </c>
      <c r="K547" s="20">
        <f>'Work Progress (%)'!AV557</f>
        <v>0</v>
      </c>
      <c r="L547" s="20">
        <f>'Work Progress (%)'!BD557</f>
        <v>0</v>
      </c>
      <c r="M547" s="20">
        <v>1</v>
      </c>
      <c r="N547" s="20">
        <v>1</v>
      </c>
      <c r="O547" s="20">
        <v>0.2</v>
      </c>
      <c r="P547" s="20">
        <v>0.7</v>
      </c>
      <c r="Q547" s="21">
        <f t="shared" si="58"/>
        <v>2.8999999999999998E-2</v>
      </c>
    </row>
    <row r="548" spans="2:17" ht="74.25" customHeight="1" x14ac:dyDescent="0.45">
      <c r="B548" s="22" t="s">
        <v>145</v>
      </c>
      <c r="C548" s="22" t="s">
        <v>45</v>
      </c>
      <c r="D548" s="151">
        <v>1014</v>
      </c>
      <c r="E548" s="20">
        <f>'Work Progress (%)'!G558</f>
        <v>0</v>
      </c>
      <c r="F548" s="20">
        <f>'Work Progress (%)'!L558</f>
        <v>0</v>
      </c>
      <c r="G548" s="20">
        <f>'Work Progress (%)'!Y558</f>
        <v>0</v>
      </c>
      <c r="H548" s="20">
        <f>'Work Progress (%)'!AD558</f>
        <v>0</v>
      </c>
      <c r="I548" s="20">
        <f>'Work Progress (%)'!AI558</f>
        <v>0</v>
      </c>
      <c r="J548" s="20">
        <f>'Work Progress (%)'!AQ558</f>
        <v>0</v>
      </c>
      <c r="K548" s="20">
        <f>'Work Progress (%)'!AV558</f>
        <v>0</v>
      </c>
      <c r="L548" s="20">
        <f>'Work Progress (%)'!BD558</f>
        <v>0</v>
      </c>
      <c r="M548" s="20">
        <v>1</v>
      </c>
      <c r="N548" s="20">
        <v>1</v>
      </c>
      <c r="O548" s="20">
        <v>0.2</v>
      </c>
      <c r="P548" s="20">
        <v>0.7</v>
      </c>
      <c r="Q548" s="21">
        <f t="shared" si="58"/>
        <v>2.8999999999999998E-2</v>
      </c>
    </row>
    <row r="549" spans="2:17" ht="74.25" customHeight="1" x14ac:dyDescent="0.45">
      <c r="B549" s="22" t="s">
        <v>145</v>
      </c>
      <c r="C549" s="22" t="s">
        <v>45</v>
      </c>
      <c r="D549" s="151">
        <v>1015</v>
      </c>
      <c r="E549" s="20">
        <f>'Work Progress (%)'!G559</f>
        <v>0</v>
      </c>
      <c r="F549" s="20">
        <f>'Work Progress (%)'!L559</f>
        <v>0</v>
      </c>
      <c r="G549" s="20">
        <f>'Work Progress (%)'!Y559</f>
        <v>0</v>
      </c>
      <c r="H549" s="20">
        <f>'Work Progress (%)'!AD559</f>
        <v>0</v>
      </c>
      <c r="I549" s="20">
        <f>'Work Progress (%)'!AI559</f>
        <v>0</v>
      </c>
      <c r="J549" s="20">
        <f>'Work Progress (%)'!AQ559</f>
        <v>0</v>
      </c>
      <c r="K549" s="20">
        <f>'Work Progress (%)'!AV559</f>
        <v>0</v>
      </c>
      <c r="L549" s="20">
        <f>'Work Progress (%)'!BD559</f>
        <v>0</v>
      </c>
      <c r="M549" s="20">
        <v>1</v>
      </c>
      <c r="N549" s="20">
        <v>1</v>
      </c>
      <c r="O549" s="20">
        <v>0.2</v>
      </c>
      <c r="P549" s="20">
        <v>0.7</v>
      </c>
      <c r="Q549" s="21">
        <f t="shared" si="58"/>
        <v>2.8999999999999998E-2</v>
      </c>
    </row>
    <row r="550" spans="2:17" ht="74.25" customHeight="1" x14ac:dyDescent="0.45">
      <c r="B550" s="22" t="s">
        <v>145</v>
      </c>
      <c r="C550" s="22" t="s">
        <v>45</v>
      </c>
      <c r="D550" s="151">
        <v>1016</v>
      </c>
      <c r="E550" s="20">
        <f>'Work Progress (%)'!G560</f>
        <v>0</v>
      </c>
      <c r="F550" s="20">
        <f>'Work Progress (%)'!L560</f>
        <v>0</v>
      </c>
      <c r="G550" s="20">
        <f>'Work Progress (%)'!Y560</f>
        <v>0</v>
      </c>
      <c r="H550" s="20">
        <f>'Work Progress (%)'!AD560</f>
        <v>0</v>
      </c>
      <c r="I550" s="20">
        <f>'Work Progress (%)'!AI560</f>
        <v>0</v>
      </c>
      <c r="J550" s="20">
        <f>'Work Progress (%)'!AQ560</f>
        <v>0</v>
      </c>
      <c r="K550" s="20">
        <f>'Work Progress (%)'!AV560</f>
        <v>0</v>
      </c>
      <c r="L550" s="20">
        <f>'Work Progress (%)'!BD560</f>
        <v>0</v>
      </c>
      <c r="M550" s="20">
        <v>1</v>
      </c>
      <c r="N550" s="20">
        <v>1</v>
      </c>
      <c r="O550" s="20">
        <v>0.2</v>
      </c>
      <c r="P550" s="20">
        <v>0.7</v>
      </c>
      <c r="Q550" s="21">
        <f t="shared" si="58"/>
        <v>2.8999999999999998E-2</v>
      </c>
    </row>
    <row r="551" spans="2:17" ht="74.25" customHeight="1" x14ac:dyDescent="0.45">
      <c r="B551" s="22" t="s">
        <v>145</v>
      </c>
      <c r="C551" s="22"/>
      <c r="D551" s="154" t="s">
        <v>46</v>
      </c>
      <c r="E551" s="141">
        <f>AVERAGE(E553:E567)</f>
        <v>0.90000000000000024</v>
      </c>
      <c r="F551" s="141">
        <f t="shared" ref="F551:P551" si="59">AVERAGE(F553:F567)</f>
        <v>0</v>
      </c>
      <c r="G551" s="20">
        <f t="shared" si="59"/>
        <v>0</v>
      </c>
      <c r="H551" s="141">
        <f t="shared" si="59"/>
        <v>0</v>
      </c>
      <c r="I551" s="141">
        <f t="shared" si="59"/>
        <v>0</v>
      </c>
      <c r="J551" s="141">
        <f t="shared" si="59"/>
        <v>0</v>
      </c>
      <c r="K551" s="141">
        <f t="shared" si="59"/>
        <v>0</v>
      </c>
      <c r="L551" s="141">
        <f t="shared" si="59"/>
        <v>0</v>
      </c>
      <c r="M551" s="141">
        <f t="shared" si="59"/>
        <v>1</v>
      </c>
      <c r="N551" s="141">
        <f t="shared" si="59"/>
        <v>1</v>
      </c>
      <c r="O551" s="141">
        <f t="shared" si="59"/>
        <v>0.20000000000000004</v>
      </c>
      <c r="P551" s="141">
        <f t="shared" si="59"/>
        <v>0.69999999999999984</v>
      </c>
      <c r="Q551" s="14">
        <f>AVERAGE(Q552:Q567)</f>
        <v>0.13700000000000001</v>
      </c>
    </row>
    <row r="552" spans="2:17" ht="74.25" customHeight="1" x14ac:dyDescent="0.45">
      <c r="B552" s="22" t="s">
        <v>145</v>
      </c>
      <c r="C552" s="22" t="s">
        <v>47</v>
      </c>
      <c r="D552" s="151">
        <v>1101</v>
      </c>
      <c r="E552" s="20">
        <v>0.9</v>
      </c>
      <c r="F552" s="20">
        <v>0</v>
      </c>
      <c r="G552" s="20">
        <v>0</v>
      </c>
      <c r="H552" s="20">
        <v>0</v>
      </c>
      <c r="I552" s="20">
        <v>0</v>
      </c>
      <c r="J552" s="20">
        <v>0</v>
      </c>
      <c r="K552" s="20">
        <v>0</v>
      </c>
      <c r="L552" s="20">
        <v>0</v>
      </c>
      <c r="M552" s="20">
        <v>1</v>
      </c>
      <c r="N552" s="20">
        <v>1</v>
      </c>
      <c r="O552" s="20">
        <v>0.2</v>
      </c>
      <c r="P552" s="20">
        <v>0.7</v>
      </c>
      <c r="Q552" s="21">
        <f t="shared" ref="Q552:Q567" si="60">SUMPRODUCT(E552:P552, E$2:P$2)</f>
        <v>0.13700000000000001</v>
      </c>
    </row>
    <row r="553" spans="2:17" ht="74.25" customHeight="1" x14ac:dyDescent="0.45">
      <c r="B553" s="22" t="s">
        <v>145</v>
      </c>
      <c r="C553" s="22" t="s">
        <v>47</v>
      </c>
      <c r="D553" s="151">
        <v>1102</v>
      </c>
      <c r="E553" s="20">
        <v>0.9</v>
      </c>
      <c r="F553" s="20">
        <v>0</v>
      </c>
      <c r="G553" s="20">
        <v>0</v>
      </c>
      <c r="H553" s="20">
        <v>0</v>
      </c>
      <c r="I553" s="20">
        <v>0</v>
      </c>
      <c r="J553" s="20">
        <v>0</v>
      </c>
      <c r="K553" s="20">
        <v>0</v>
      </c>
      <c r="L553" s="20">
        <v>0</v>
      </c>
      <c r="M553" s="20">
        <v>1</v>
      </c>
      <c r="N553" s="20">
        <v>1</v>
      </c>
      <c r="O553" s="20">
        <v>0.2</v>
      </c>
      <c r="P553" s="20">
        <v>0.7</v>
      </c>
      <c r="Q553" s="21">
        <f t="shared" si="60"/>
        <v>0.13700000000000001</v>
      </c>
    </row>
    <row r="554" spans="2:17" ht="74.25" customHeight="1" x14ac:dyDescent="0.45">
      <c r="B554" s="22" t="s">
        <v>145</v>
      </c>
      <c r="C554" s="22" t="s">
        <v>47</v>
      </c>
      <c r="D554" s="151">
        <v>1103</v>
      </c>
      <c r="E554" s="20">
        <v>0.9</v>
      </c>
      <c r="F554" s="20">
        <v>0</v>
      </c>
      <c r="G554" s="20">
        <v>0</v>
      </c>
      <c r="H554" s="20">
        <v>0</v>
      </c>
      <c r="I554" s="20">
        <v>0</v>
      </c>
      <c r="J554" s="20">
        <v>0</v>
      </c>
      <c r="K554" s="20">
        <v>0</v>
      </c>
      <c r="L554" s="20">
        <v>0</v>
      </c>
      <c r="M554" s="20">
        <v>1</v>
      </c>
      <c r="N554" s="20">
        <v>1</v>
      </c>
      <c r="O554" s="20">
        <v>0.2</v>
      </c>
      <c r="P554" s="20">
        <v>0.7</v>
      </c>
      <c r="Q554" s="21">
        <f t="shared" si="60"/>
        <v>0.13700000000000001</v>
      </c>
    </row>
    <row r="555" spans="2:17" ht="74.25" customHeight="1" x14ac:dyDescent="0.45">
      <c r="B555" s="22" t="s">
        <v>145</v>
      </c>
      <c r="C555" s="22" t="s">
        <v>47</v>
      </c>
      <c r="D555" s="151">
        <v>1104</v>
      </c>
      <c r="E555" s="20">
        <v>0.9</v>
      </c>
      <c r="F555" s="20">
        <v>0</v>
      </c>
      <c r="G555" s="20">
        <v>0</v>
      </c>
      <c r="H555" s="20">
        <v>0</v>
      </c>
      <c r="I555" s="20">
        <v>0</v>
      </c>
      <c r="J555" s="20">
        <v>0</v>
      </c>
      <c r="K555" s="20">
        <v>0</v>
      </c>
      <c r="L555" s="20">
        <v>0</v>
      </c>
      <c r="M555" s="20">
        <v>1</v>
      </c>
      <c r="N555" s="20">
        <v>1</v>
      </c>
      <c r="O555" s="20">
        <v>0.2</v>
      </c>
      <c r="P555" s="20">
        <v>0.7</v>
      </c>
      <c r="Q555" s="21">
        <f t="shared" si="60"/>
        <v>0.13700000000000001</v>
      </c>
    </row>
    <row r="556" spans="2:17" ht="74.25" customHeight="1" x14ac:dyDescent="0.45">
      <c r="B556" s="22" t="s">
        <v>145</v>
      </c>
      <c r="C556" s="22" t="s">
        <v>47</v>
      </c>
      <c r="D556" s="151">
        <v>1105</v>
      </c>
      <c r="E556" s="20">
        <v>0.9</v>
      </c>
      <c r="F556" s="20">
        <v>0</v>
      </c>
      <c r="G556" s="20">
        <v>0</v>
      </c>
      <c r="H556" s="20">
        <v>0</v>
      </c>
      <c r="I556" s="20">
        <v>0</v>
      </c>
      <c r="J556" s="20">
        <v>0</v>
      </c>
      <c r="K556" s="20">
        <v>0</v>
      </c>
      <c r="L556" s="20">
        <v>0</v>
      </c>
      <c r="M556" s="20">
        <v>1</v>
      </c>
      <c r="N556" s="20">
        <v>1</v>
      </c>
      <c r="O556" s="20">
        <v>0.2</v>
      </c>
      <c r="P556" s="20">
        <v>0.7</v>
      </c>
      <c r="Q556" s="21">
        <f t="shared" si="60"/>
        <v>0.13700000000000001</v>
      </c>
    </row>
    <row r="557" spans="2:17" ht="74.25" customHeight="1" x14ac:dyDescent="0.45">
      <c r="B557" s="22" t="s">
        <v>145</v>
      </c>
      <c r="C557" s="22" t="s">
        <v>47</v>
      </c>
      <c r="D557" s="151">
        <v>1106</v>
      </c>
      <c r="E557" s="20">
        <v>0.9</v>
      </c>
      <c r="F557" s="20">
        <v>0</v>
      </c>
      <c r="G557" s="20">
        <v>0</v>
      </c>
      <c r="H557" s="20">
        <v>0</v>
      </c>
      <c r="I557" s="20">
        <v>0</v>
      </c>
      <c r="J557" s="20">
        <v>0</v>
      </c>
      <c r="K557" s="20">
        <v>0</v>
      </c>
      <c r="L557" s="20">
        <v>0</v>
      </c>
      <c r="M557" s="20">
        <v>1</v>
      </c>
      <c r="N557" s="20">
        <v>1</v>
      </c>
      <c r="O557" s="20">
        <v>0.2</v>
      </c>
      <c r="P557" s="20">
        <v>0.7</v>
      </c>
      <c r="Q557" s="21">
        <f t="shared" si="60"/>
        <v>0.13700000000000001</v>
      </c>
    </row>
    <row r="558" spans="2:17" ht="74.25" customHeight="1" x14ac:dyDescent="0.45">
      <c r="B558" s="22" t="s">
        <v>145</v>
      </c>
      <c r="C558" s="22" t="s">
        <v>47</v>
      </c>
      <c r="D558" s="151">
        <v>1107</v>
      </c>
      <c r="E558" s="20">
        <v>0.9</v>
      </c>
      <c r="F558" s="20">
        <v>0</v>
      </c>
      <c r="G558" s="20">
        <v>0</v>
      </c>
      <c r="H558" s="20">
        <v>0</v>
      </c>
      <c r="I558" s="20">
        <v>0</v>
      </c>
      <c r="J558" s="20">
        <v>0</v>
      </c>
      <c r="K558" s="20">
        <v>0</v>
      </c>
      <c r="L558" s="20">
        <v>0</v>
      </c>
      <c r="M558" s="20">
        <v>1</v>
      </c>
      <c r="N558" s="20">
        <v>1</v>
      </c>
      <c r="O558" s="20">
        <v>0.2</v>
      </c>
      <c r="P558" s="20">
        <v>0.7</v>
      </c>
      <c r="Q558" s="21">
        <f t="shared" si="60"/>
        <v>0.13700000000000001</v>
      </c>
    </row>
    <row r="559" spans="2:17" ht="74.25" customHeight="1" x14ac:dyDescent="0.45">
      <c r="B559" s="22" t="s">
        <v>145</v>
      </c>
      <c r="C559" s="22" t="s">
        <v>47</v>
      </c>
      <c r="D559" s="151">
        <v>1108</v>
      </c>
      <c r="E559" s="20">
        <v>0.9</v>
      </c>
      <c r="F559" s="20">
        <v>0</v>
      </c>
      <c r="G559" s="20">
        <v>0</v>
      </c>
      <c r="H559" s="20">
        <v>0</v>
      </c>
      <c r="I559" s="20">
        <v>0</v>
      </c>
      <c r="J559" s="20">
        <v>0</v>
      </c>
      <c r="K559" s="20">
        <v>0</v>
      </c>
      <c r="L559" s="20">
        <v>0</v>
      </c>
      <c r="M559" s="20">
        <v>1</v>
      </c>
      <c r="N559" s="20">
        <v>1</v>
      </c>
      <c r="O559" s="20">
        <v>0.2</v>
      </c>
      <c r="P559" s="20">
        <v>0.7</v>
      </c>
      <c r="Q559" s="21">
        <f t="shared" si="60"/>
        <v>0.13700000000000001</v>
      </c>
    </row>
    <row r="560" spans="2:17" ht="74.25" customHeight="1" x14ac:dyDescent="0.45">
      <c r="B560" s="22" t="s">
        <v>145</v>
      </c>
      <c r="C560" s="22" t="s">
        <v>47</v>
      </c>
      <c r="D560" s="151">
        <v>1109</v>
      </c>
      <c r="E560" s="20">
        <v>0.9</v>
      </c>
      <c r="F560" s="20">
        <v>0</v>
      </c>
      <c r="G560" s="20">
        <v>0</v>
      </c>
      <c r="H560" s="20">
        <v>0</v>
      </c>
      <c r="I560" s="20">
        <v>0</v>
      </c>
      <c r="J560" s="20">
        <v>0</v>
      </c>
      <c r="K560" s="20">
        <v>0</v>
      </c>
      <c r="L560" s="20">
        <v>0</v>
      </c>
      <c r="M560" s="20">
        <v>1</v>
      </c>
      <c r="N560" s="20">
        <v>1</v>
      </c>
      <c r="O560" s="20">
        <v>0.2</v>
      </c>
      <c r="P560" s="20">
        <v>0.7</v>
      </c>
      <c r="Q560" s="21">
        <f t="shared" si="60"/>
        <v>0.13700000000000001</v>
      </c>
    </row>
    <row r="561" spans="2:17" ht="74.25" customHeight="1" x14ac:dyDescent="0.45">
      <c r="B561" s="22" t="s">
        <v>145</v>
      </c>
      <c r="C561" s="22" t="s">
        <v>47</v>
      </c>
      <c r="D561" s="151">
        <v>1110</v>
      </c>
      <c r="E561" s="20">
        <v>0.9</v>
      </c>
      <c r="F561" s="20">
        <v>0</v>
      </c>
      <c r="G561" s="20">
        <v>0</v>
      </c>
      <c r="H561" s="20">
        <v>0</v>
      </c>
      <c r="I561" s="20">
        <v>0</v>
      </c>
      <c r="J561" s="20">
        <v>0</v>
      </c>
      <c r="K561" s="20">
        <v>0</v>
      </c>
      <c r="L561" s="20">
        <v>0</v>
      </c>
      <c r="M561" s="20">
        <v>1</v>
      </c>
      <c r="N561" s="20">
        <v>1</v>
      </c>
      <c r="O561" s="20">
        <v>0.2</v>
      </c>
      <c r="P561" s="20">
        <v>0.7</v>
      </c>
      <c r="Q561" s="21">
        <f t="shared" si="60"/>
        <v>0.13700000000000001</v>
      </c>
    </row>
    <row r="562" spans="2:17" ht="74.25" customHeight="1" x14ac:dyDescent="0.45">
      <c r="B562" s="22" t="s">
        <v>145</v>
      </c>
      <c r="C562" s="22" t="s">
        <v>47</v>
      </c>
      <c r="D562" s="151">
        <v>1111</v>
      </c>
      <c r="E562" s="20">
        <v>0.9</v>
      </c>
      <c r="F562" s="20">
        <v>0</v>
      </c>
      <c r="G562" s="20">
        <v>0</v>
      </c>
      <c r="H562" s="20">
        <v>0</v>
      </c>
      <c r="I562" s="20">
        <v>0</v>
      </c>
      <c r="J562" s="20">
        <v>0</v>
      </c>
      <c r="K562" s="20">
        <v>0</v>
      </c>
      <c r="L562" s="20">
        <v>0</v>
      </c>
      <c r="M562" s="20">
        <v>1</v>
      </c>
      <c r="N562" s="20">
        <v>1</v>
      </c>
      <c r="O562" s="20">
        <v>0.2</v>
      </c>
      <c r="P562" s="20">
        <v>0.7</v>
      </c>
      <c r="Q562" s="21">
        <f t="shared" si="60"/>
        <v>0.13700000000000001</v>
      </c>
    </row>
    <row r="563" spans="2:17" ht="74.25" customHeight="1" x14ac:dyDescent="0.45">
      <c r="B563" s="22" t="s">
        <v>145</v>
      </c>
      <c r="C563" s="22" t="s">
        <v>47</v>
      </c>
      <c r="D563" s="151">
        <v>1112</v>
      </c>
      <c r="E563" s="20">
        <v>0.9</v>
      </c>
      <c r="F563" s="20">
        <v>0</v>
      </c>
      <c r="G563" s="20">
        <v>0</v>
      </c>
      <c r="H563" s="20">
        <v>0</v>
      </c>
      <c r="I563" s="20">
        <v>0</v>
      </c>
      <c r="J563" s="20">
        <v>0</v>
      </c>
      <c r="K563" s="20">
        <v>0</v>
      </c>
      <c r="L563" s="20">
        <v>0</v>
      </c>
      <c r="M563" s="20">
        <v>1</v>
      </c>
      <c r="N563" s="20">
        <v>1</v>
      </c>
      <c r="O563" s="20">
        <v>0.2</v>
      </c>
      <c r="P563" s="20">
        <v>0.7</v>
      </c>
      <c r="Q563" s="21">
        <f t="shared" si="60"/>
        <v>0.13700000000000001</v>
      </c>
    </row>
    <row r="564" spans="2:17" ht="74.25" customHeight="1" x14ac:dyDescent="0.45">
      <c r="B564" s="22" t="s">
        <v>145</v>
      </c>
      <c r="C564" s="22" t="s">
        <v>47</v>
      </c>
      <c r="D564" s="151">
        <v>1113</v>
      </c>
      <c r="E564" s="20">
        <v>0.9</v>
      </c>
      <c r="F564" s="20">
        <v>0</v>
      </c>
      <c r="G564" s="20">
        <v>0</v>
      </c>
      <c r="H564" s="20">
        <v>0</v>
      </c>
      <c r="I564" s="20">
        <v>0</v>
      </c>
      <c r="J564" s="20">
        <v>0</v>
      </c>
      <c r="K564" s="20">
        <v>0</v>
      </c>
      <c r="L564" s="20">
        <v>0</v>
      </c>
      <c r="M564" s="20">
        <v>1</v>
      </c>
      <c r="N564" s="20">
        <v>1</v>
      </c>
      <c r="O564" s="20">
        <v>0.2</v>
      </c>
      <c r="P564" s="20">
        <v>0.7</v>
      </c>
      <c r="Q564" s="21">
        <f t="shared" si="60"/>
        <v>0.13700000000000001</v>
      </c>
    </row>
    <row r="565" spans="2:17" ht="74.25" customHeight="1" x14ac:dyDescent="0.45">
      <c r="B565" s="22" t="s">
        <v>145</v>
      </c>
      <c r="C565" s="22" t="s">
        <v>47</v>
      </c>
      <c r="D565" s="151">
        <v>1114</v>
      </c>
      <c r="E565" s="20">
        <v>0.9</v>
      </c>
      <c r="F565" s="20">
        <v>0</v>
      </c>
      <c r="G565" s="20">
        <v>0</v>
      </c>
      <c r="H565" s="20">
        <v>0</v>
      </c>
      <c r="I565" s="20">
        <v>0</v>
      </c>
      <c r="J565" s="20">
        <v>0</v>
      </c>
      <c r="K565" s="20">
        <v>0</v>
      </c>
      <c r="L565" s="20">
        <v>0</v>
      </c>
      <c r="M565" s="20">
        <v>1</v>
      </c>
      <c r="N565" s="20">
        <v>1</v>
      </c>
      <c r="O565" s="20">
        <v>0.2</v>
      </c>
      <c r="P565" s="20">
        <v>0.7</v>
      </c>
      <c r="Q565" s="21">
        <f t="shared" si="60"/>
        <v>0.13700000000000001</v>
      </c>
    </row>
    <row r="566" spans="2:17" ht="74.25" customHeight="1" x14ac:dyDescent="0.45">
      <c r="B566" s="22" t="s">
        <v>145</v>
      </c>
      <c r="C566" s="22" t="s">
        <v>47</v>
      </c>
      <c r="D566" s="151">
        <v>1115</v>
      </c>
      <c r="E566" s="20">
        <v>0.9</v>
      </c>
      <c r="F566" s="20">
        <v>0</v>
      </c>
      <c r="G566" s="20">
        <v>0</v>
      </c>
      <c r="H566" s="20">
        <v>0</v>
      </c>
      <c r="I566" s="20">
        <v>0</v>
      </c>
      <c r="J566" s="20">
        <v>0</v>
      </c>
      <c r="K566" s="20">
        <v>0</v>
      </c>
      <c r="L566" s="20">
        <v>0</v>
      </c>
      <c r="M566" s="20">
        <v>1</v>
      </c>
      <c r="N566" s="20">
        <v>1</v>
      </c>
      <c r="O566" s="20">
        <v>0.2</v>
      </c>
      <c r="P566" s="20">
        <v>0.7</v>
      </c>
      <c r="Q566" s="21">
        <f t="shared" si="60"/>
        <v>0.13700000000000001</v>
      </c>
    </row>
    <row r="567" spans="2:17" ht="74.25" customHeight="1" thickBot="1" x14ac:dyDescent="0.5">
      <c r="B567" s="22" t="s">
        <v>145</v>
      </c>
      <c r="C567" s="22" t="s">
        <v>47</v>
      </c>
      <c r="D567" s="152">
        <v>1116</v>
      </c>
      <c r="E567" s="20">
        <v>0.9</v>
      </c>
      <c r="F567" s="20">
        <v>0</v>
      </c>
      <c r="G567" s="20">
        <v>0</v>
      </c>
      <c r="H567" s="20">
        <v>0</v>
      </c>
      <c r="I567" s="20">
        <v>0</v>
      </c>
      <c r="J567" s="20">
        <v>0</v>
      </c>
      <c r="K567" s="20">
        <v>0</v>
      </c>
      <c r="L567" s="20">
        <v>0</v>
      </c>
      <c r="M567" s="20">
        <v>1</v>
      </c>
      <c r="N567" s="20">
        <v>1</v>
      </c>
      <c r="O567" s="20">
        <v>0.2</v>
      </c>
      <c r="P567" s="20">
        <v>0.7</v>
      </c>
      <c r="Q567" s="21">
        <f t="shared" si="60"/>
        <v>0.13700000000000001</v>
      </c>
    </row>
  </sheetData>
  <phoneticPr fontId="30" type="noConversion"/>
  <pageMargins left="0.75" right="0.75" top="1" bottom="1" header="0.5" footer="0.5"/>
  <pageSetup scale="19" orientation="landscape" r:id="rId1"/>
  <rowBreaks count="2" manualBreakCount="2">
    <brk id="35" min="1" max="18" man="1"/>
    <brk id="7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2F80-23A0-40A4-8179-1325EB905BF7}">
  <dimension ref="B1:P20"/>
  <sheetViews>
    <sheetView view="pageBreakPreview" zoomScale="44" zoomScaleNormal="100" zoomScaleSheetLayoutView="44" workbookViewId="0">
      <pane ySplit="1" topLeftCell="A2" activePane="bottomLeft" state="frozen"/>
      <selection pane="bottomLeft" activeCell="I15" sqref="I15"/>
    </sheetView>
  </sheetViews>
  <sheetFormatPr defaultRowHeight="15.75" x14ac:dyDescent="0.25"/>
  <cols>
    <col min="2" max="2" width="13.85546875" customWidth="1"/>
    <col min="3" max="3" width="46.5703125" bestFit="1" customWidth="1"/>
    <col min="4" max="4" width="30" style="8" customWidth="1"/>
    <col min="5" max="11" width="37.28515625" style="8" customWidth="1"/>
    <col min="12" max="12" width="34.42578125" style="8" customWidth="1"/>
    <col min="13" max="16" width="37.28515625" style="8" customWidth="1"/>
  </cols>
  <sheetData>
    <row r="1" spans="2:16" ht="73.5" customHeight="1" x14ac:dyDescent="0.25">
      <c r="B1" s="11" t="s">
        <v>146</v>
      </c>
      <c r="C1" s="11" t="s">
        <v>127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20</v>
      </c>
      <c r="N1" s="9" t="s">
        <v>21</v>
      </c>
      <c r="O1" s="9" t="s">
        <v>24</v>
      </c>
      <c r="P1" s="10"/>
    </row>
    <row r="2" spans="2:16" ht="33.75" customHeight="1" x14ac:dyDescent="0.4">
      <c r="C2" s="16"/>
      <c r="D2" s="141">
        <v>0.12</v>
      </c>
      <c r="E2" s="141">
        <v>0.15</v>
      </c>
      <c r="F2" s="141">
        <v>0.22</v>
      </c>
      <c r="G2" s="141">
        <v>0.1</v>
      </c>
      <c r="H2" s="141">
        <v>0.11</v>
      </c>
      <c r="I2" s="141">
        <v>0.2</v>
      </c>
      <c r="J2" s="141">
        <v>0.05</v>
      </c>
      <c r="K2" s="141">
        <v>0.02</v>
      </c>
      <c r="L2" s="141">
        <v>0.01</v>
      </c>
      <c r="M2" s="141">
        <v>0.01</v>
      </c>
      <c r="N2" s="141">
        <v>0.01</v>
      </c>
      <c r="O2" s="18"/>
      <c r="P2" s="19"/>
    </row>
    <row r="3" spans="2:16" ht="33.75" customHeight="1" x14ac:dyDescent="0.5">
      <c r="C3" s="16" t="s">
        <v>170</v>
      </c>
      <c r="D3" s="141">
        <f>D4</f>
        <v>1</v>
      </c>
      <c r="E3" s="141">
        <f t="shared" ref="E3:N3" si="0">E4</f>
        <v>2.5000000000000001E-2</v>
      </c>
      <c r="F3" s="141">
        <f t="shared" si="0"/>
        <v>0.44000000000000006</v>
      </c>
      <c r="G3" s="141">
        <f t="shared" si="0"/>
        <v>0.15</v>
      </c>
      <c r="H3" s="141">
        <f t="shared" si="0"/>
        <v>0.13</v>
      </c>
      <c r="I3" s="141">
        <f t="shared" si="0"/>
        <v>0.44000000000000006</v>
      </c>
      <c r="J3" s="141">
        <f t="shared" si="0"/>
        <v>0</v>
      </c>
      <c r="K3" s="141">
        <f t="shared" si="0"/>
        <v>0.2</v>
      </c>
      <c r="L3" s="141">
        <f t="shared" si="0"/>
        <v>0.8650000000000001</v>
      </c>
      <c r="M3" s="141">
        <f t="shared" si="0"/>
        <v>0.2</v>
      </c>
      <c r="N3" s="141">
        <f t="shared" si="0"/>
        <v>0.8</v>
      </c>
      <c r="O3" s="182">
        <f>SUMPRODUCT(D3:N3, D$2:N$2)</f>
        <v>0.3605000000000001</v>
      </c>
      <c r="P3" s="19"/>
    </row>
    <row r="4" spans="2:16" ht="58.5" x14ac:dyDescent="0.4">
      <c r="B4" t="s">
        <v>147</v>
      </c>
      <c r="C4" s="142" t="s">
        <v>158</v>
      </c>
      <c r="D4" s="141">
        <f>SUM((D5*40%)+(D6*25%)+(D7*20%)+(D8*15%))</f>
        <v>1</v>
      </c>
      <c r="E4" s="141">
        <f t="shared" ref="E4:O4" si="1">SUM((E5*40%)+(E6*25%)+(E7*20%)+(E8*15%))</f>
        <v>2.5000000000000001E-2</v>
      </c>
      <c r="F4" s="141">
        <f t="shared" si="1"/>
        <v>0.44000000000000006</v>
      </c>
      <c r="G4" s="141">
        <f t="shared" si="1"/>
        <v>0.15</v>
      </c>
      <c r="H4" s="141">
        <f t="shared" si="1"/>
        <v>0.13</v>
      </c>
      <c r="I4" s="141">
        <f t="shared" si="1"/>
        <v>0.44000000000000006</v>
      </c>
      <c r="J4" s="141">
        <f t="shared" si="1"/>
        <v>0</v>
      </c>
      <c r="K4" s="141">
        <f t="shared" si="1"/>
        <v>0.2</v>
      </c>
      <c r="L4" s="141">
        <f t="shared" si="1"/>
        <v>0.8650000000000001</v>
      </c>
      <c r="M4" s="141">
        <f>SUM((M5*40%)+(M6*25%)+(M7*20%)+(M8*15%))</f>
        <v>0.2</v>
      </c>
      <c r="N4" s="141">
        <f t="shared" si="1"/>
        <v>0.8</v>
      </c>
      <c r="O4" s="141">
        <f t="shared" si="1"/>
        <v>0.36050000000000004</v>
      </c>
      <c r="P4" s="12"/>
    </row>
    <row r="5" spans="2:16" ht="73.5" customHeight="1" x14ac:dyDescent="0.5">
      <c r="B5" t="s">
        <v>147</v>
      </c>
      <c r="C5" s="1" t="s">
        <v>106</v>
      </c>
      <c r="D5" s="20">
        <v>1</v>
      </c>
      <c r="E5" s="20">
        <v>0</v>
      </c>
      <c r="F5" s="20">
        <v>0.8</v>
      </c>
      <c r="G5" s="20">
        <v>0.15</v>
      </c>
      <c r="H5" s="20">
        <v>0.2</v>
      </c>
      <c r="I5" s="20">
        <v>0.5</v>
      </c>
      <c r="J5" s="20">
        <v>0</v>
      </c>
      <c r="K5" s="20">
        <v>0.2</v>
      </c>
      <c r="L5" s="20">
        <v>1</v>
      </c>
      <c r="M5" s="20">
        <v>0.2</v>
      </c>
      <c r="N5" s="20">
        <v>0.8</v>
      </c>
      <c r="O5" s="182">
        <f>SUMPRODUCT(D5:N5, D$2:N$2)</f>
        <v>0.45700000000000007</v>
      </c>
      <c r="P5" s="180"/>
    </row>
    <row r="6" spans="2:16" ht="73.5" customHeight="1" x14ac:dyDescent="0.5">
      <c r="B6" t="s">
        <v>147</v>
      </c>
      <c r="C6" s="3" t="s">
        <v>107</v>
      </c>
      <c r="D6" s="20">
        <v>1</v>
      </c>
      <c r="E6" s="20">
        <v>0.1</v>
      </c>
      <c r="F6" s="20">
        <v>0.2</v>
      </c>
      <c r="G6" s="20">
        <v>0.15</v>
      </c>
      <c r="H6" s="20">
        <v>0.2</v>
      </c>
      <c r="I6" s="20">
        <v>0.4</v>
      </c>
      <c r="J6" s="20">
        <v>0</v>
      </c>
      <c r="K6" s="20">
        <v>0.2</v>
      </c>
      <c r="L6" s="20">
        <v>1</v>
      </c>
      <c r="M6" s="20">
        <v>0.2</v>
      </c>
      <c r="N6" s="20">
        <v>0.8</v>
      </c>
      <c r="O6" s="182">
        <f>SUMPRODUCT(D6:N6, D$2:N$2)</f>
        <v>0.32000000000000006</v>
      </c>
      <c r="P6" s="161"/>
    </row>
    <row r="7" spans="2:16" ht="73.5" customHeight="1" x14ac:dyDescent="0.5">
      <c r="B7" t="s">
        <v>147</v>
      </c>
      <c r="C7" s="3" t="s">
        <v>108</v>
      </c>
      <c r="D7" s="20">
        <v>1</v>
      </c>
      <c r="E7" s="20">
        <v>0</v>
      </c>
      <c r="F7" s="20">
        <v>0.2</v>
      </c>
      <c r="G7" s="20">
        <v>0.15</v>
      </c>
      <c r="H7" s="20">
        <v>0</v>
      </c>
      <c r="I7" s="20">
        <v>0.4</v>
      </c>
      <c r="J7" s="20">
        <v>0</v>
      </c>
      <c r="K7" s="20">
        <v>0.2</v>
      </c>
      <c r="L7" s="20">
        <v>1</v>
      </c>
      <c r="M7" s="20">
        <v>0.2</v>
      </c>
      <c r="N7" s="20">
        <v>0.8</v>
      </c>
      <c r="O7" s="182">
        <f>SUMPRODUCT(D7:N7, D$2:N$2)</f>
        <v>0.28300000000000003</v>
      </c>
      <c r="P7" s="161"/>
    </row>
    <row r="8" spans="2:16" ht="73.5" customHeight="1" x14ac:dyDescent="0.5">
      <c r="B8" t="s">
        <v>147</v>
      </c>
      <c r="C8" s="3" t="s">
        <v>109</v>
      </c>
      <c r="D8" s="20">
        <v>1</v>
      </c>
      <c r="E8" s="20">
        <v>0</v>
      </c>
      <c r="F8" s="20">
        <v>0.2</v>
      </c>
      <c r="G8" s="20">
        <v>0.15</v>
      </c>
      <c r="H8" s="20">
        <v>0</v>
      </c>
      <c r="I8" s="20">
        <v>0.4</v>
      </c>
      <c r="J8" s="20">
        <v>0</v>
      </c>
      <c r="K8" s="20">
        <v>0.2</v>
      </c>
      <c r="L8" s="20">
        <v>0.1</v>
      </c>
      <c r="M8" s="20">
        <v>0.2</v>
      </c>
      <c r="N8" s="20">
        <v>0.8</v>
      </c>
      <c r="O8" s="182">
        <f>SUMPRODUCT(D8:N8, D$2:N$2)</f>
        <v>0.27400000000000002</v>
      </c>
      <c r="P8" s="161"/>
    </row>
    <row r="9" spans="2:16" ht="73.5" customHeight="1" x14ac:dyDescent="0.5">
      <c r="C9" s="16" t="s">
        <v>171</v>
      </c>
      <c r="D9" s="141">
        <f>D10</f>
        <v>0</v>
      </c>
      <c r="E9" s="141">
        <f t="shared" ref="E9" si="2">E10</f>
        <v>0</v>
      </c>
      <c r="F9" s="141">
        <f t="shared" ref="F9" si="3">F10</f>
        <v>0</v>
      </c>
      <c r="G9" s="141">
        <f t="shared" ref="G9" si="4">G10</f>
        <v>0</v>
      </c>
      <c r="H9" s="141">
        <f t="shared" ref="H9" si="5">H10</f>
        <v>0</v>
      </c>
      <c r="I9" s="141">
        <f t="shared" ref="I9" si="6">I10</f>
        <v>0</v>
      </c>
      <c r="J9" s="141">
        <f t="shared" ref="J9" si="7">J10</f>
        <v>0</v>
      </c>
      <c r="K9" s="141">
        <f t="shared" ref="K9" si="8">K10</f>
        <v>0</v>
      </c>
      <c r="L9" s="141">
        <f t="shared" ref="L9" si="9">L10</f>
        <v>0</v>
      </c>
      <c r="M9" s="141">
        <f t="shared" ref="M9" si="10">M10</f>
        <v>0</v>
      </c>
      <c r="N9" s="141">
        <f t="shared" ref="N9" si="11">N10</f>
        <v>0</v>
      </c>
      <c r="O9" s="182">
        <f>SUMPRODUCT(D9:N9, D$2:N$2)</f>
        <v>0</v>
      </c>
      <c r="P9" s="183"/>
    </row>
    <row r="10" spans="2:16" ht="74.25" customHeight="1" x14ac:dyDescent="0.4">
      <c r="B10" t="s">
        <v>144</v>
      </c>
      <c r="C10" s="142" t="s">
        <v>159</v>
      </c>
      <c r="D10" s="141">
        <f>SUM((D11*40%)+(D12*25%)+(D13*20%)+(D14*15%))</f>
        <v>0</v>
      </c>
      <c r="E10" s="141">
        <f t="shared" ref="E10" si="12">SUM((E11*40%)+(E12*25%)+(E13*20%)+(E14*15%))</f>
        <v>0</v>
      </c>
      <c r="F10" s="141">
        <f t="shared" ref="F10" si="13">SUM((F11*40%)+(F12*25%)+(F13*20%)+(F14*15%))</f>
        <v>0</v>
      </c>
      <c r="G10" s="141">
        <f t="shared" ref="G10" si="14">SUM((G11*40%)+(G12*25%)+(G13*20%)+(G14*15%))</f>
        <v>0</v>
      </c>
      <c r="H10" s="141">
        <f t="shared" ref="H10" si="15">SUM((H11*40%)+(H12*25%)+(H13*20%)+(H14*15%))</f>
        <v>0</v>
      </c>
      <c r="I10" s="141">
        <f t="shared" ref="I10" si="16">SUM((I11*40%)+(I12*25%)+(I13*20%)+(I14*15%))</f>
        <v>0</v>
      </c>
      <c r="J10" s="141">
        <f t="shared" ref="J10" si="17">SUM((J11*40%)+(J12*25%)+(J13*20%)+(J14*15%))</f>
        <v>0</v>
      </c>
      <c r="K10" s="141">
        <f t="shared" ref="K10" si="18">SUM((K11*40%)+(K12*25%)+(K13*20%)+(K14*15%))</f>
        <v>0</v>
      </c>
      <c r="L10" s="141">
        <f t="shared" ref="L10" si="19">SUM((L11*40%)+(L12*25%)+(L13*20%)+(L14*15%))</f>
        <v>0</v>
      </c>
      <c r="M10" s="141">
        <f>SUM((M11*40%)+(M12*25%)+(M13*20%)+(M14*15%))</f>
        <v>0</v>
      </c>
      <c r="N10" s="141">
        <f t="shared" ref="N10:O10" si="20">SUM((N11*40%)+(N12*25%)+(N13*20%)+(N14*15%))</f>
        <v>0</v>
      </c>
      <c r="O10" s="141">
        <f t="shared" si="20"/>
        <v>0</v>
      </c>
      <c r="P10" s="144"/>
    </row>
    <row r="11" spans="2:16" s="8" customFormat="1" ht="74.25" customHeight="1" x14ac:dyDescent="0.5">
      <c r="B11" t="s">
        <v>144</v>
      </c>
      <c r="C11" s="3" t="s">
        <v>106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182">
        <f>SUMPRODUCT(D11:N11, D$2:N$2)</f>
        <v>0</v>
      </c>
      <c r="P11" s="144"/>
    </row>
    <row r="12" spans="2:16" s="8" customFormat="1" ht="74.25" customHeight="1" x14ac:dyDescent="0.5">
      <c r="B12" t="s">
        <v>144</v>
      </c>
      <c r="C12" s="3" t="s">
        <v>110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182">
        <f>SUMPRODUCT(D12:N12, D$2:N$2)</f>
        <v>0</v>
      </c>
      <c r="P12" s="144"/>
    </row>
    <row r="13" spans="2:16" s="8" customFormat="1" ht="74.25" customHeight="1" x14ac:dyDescent="0.5">
      <c r="B13" t="s">
        <v>144</v>
      </c>
      <c r="C13" s="3" t="s">
        <v>111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182">
        <f>SUMPRODUCT(D13:N13, D$2:N$2)</f>
        <v>0</v>
      </c>
      <c r="P13" s="144"/>
    </row>
    <row r="14" spans="2:16" s="8" customFormat="1" ht="74.25" customHeight="1" x14ac:dyDescent="0.5">
      <c r="B14" t="s">
        <v>144</v>
      </c>
      <c r="C14" s="3" t="s">
        <v>112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182">
        <f>SUMPRODUCT(D14:N14, D$2:N$2)</f>
        <v>0</v>
      </c>
      <c r="P14" s="144"/>
    </row>
    <row r="15" spans="2:16" s="8" customFormat="1" ht="74.25" customHeight="1" x14ac:dyDescent="0.5">
      <c r="B15"/>
      <c r="C15" s="16" t="s">
        <v>172</v>
      </c>
      <c r="D15" s="141">
        <f>D16</f>
        <v>0</v>
      </c>
      <c r="E15" s="141">
        <f t="shared" ref="E15" si="21">E16</f>
        <v>0</v>
      </c>
      <c r="F15" s="141">
        <f t="shared" ref="F15" si="22">F16</f>
        <v>0</v>
      </c>
      <c r="G15" s="141">
        <f t="shared" ref="G15" si="23">G16</f>
        <v>0</v>
      </c>
      <c r="H15" s="141">
        <f t="shared" ref="H15" si="24">H16</f>
        <v>0</v>
      </c>
      <c r="I15" s="141">
        <f t="shared" ref="I15" si="25">I16</f>
        <v>0</v>
      </c>
      <c r="J15" s="141">
        <f t="shared" ref="J15" si="26">J16</f>
        <v>0</v>
      </c>
      <c r="K15" s="141">
        <f t="shared" ref="K15" si="27">K16</f>
        <v>0</v>
      </c>
      <c r="L15" s="141">
        <f t="shared" ref="L15" si="28">L16</f>
        <v>0</v>
      </c>
      <c r="M15" s="141">
        <f t="shared" ref="M15" si="29">M16</f>
        <v>0</v>
      </c>
      <c r="N15" s="141">
        <f t="shared" ref="N15" si="30">N16</f>
        <v>0</v>
      </c>
      <c r="O15" s="182">
        <f>SUMPRODUCT(D15:N15, D$2:N$2)</f>
        <v>0</v>
      </c>
    </row>
    <row r="16" spans="2:16" s="8" customFormat="1" ht="74.25" customHeight="1" x14ac:dyDescent="0.4">
      <c r="B16" t="s">
        <v>145</v>
      </c>
      <c r="C16" s="142" t="s">
        <v>160</v>
      </c>
      <c r="D16" s="141">
        <f>SUM((D17*40%)+(D18*25%)+(D19*20%)+(D20*15%))</f>
        <v>0</v>
      </c>
      <c r="E16" s="141">
        <f t="shared" ref="E16" si="31">SUM((E17*40%)+(E18*25%)+(E19*20%)+(E20*15%))</f>
        <v>0</v>
      </c>
      <c r="F16" s="141">
        <f t="shared" ref="F16" si="32">SUM((F17*40%)+(F18*25%)+(F19*20%)+(F20*15%))</f>
        <v>0</v>
      </c>
      <c r="G16" s="141">
        <f t="shared" ref="G16" si="33">SUM((G17*40%)+(G18*25%)+(G19*20%)+(G20*15%))</f>
        <v>0</v>
      </c>
      <c r="H16" s="141">
        <f t="shared" ref="H16" si="34">SUM((H17*40%)+(H18*25%)+(H19*20%)+(H20*15%))</f>
        <v>0</v>
      </c>
      <c r="I16" s="141">
        <f t="shared" ref="I16" si="35">SUM((I17*40%)+(I18*25%)+(I19*20%)+(I20*15%))</f>
        <v>0</v>
      </c>
      <c r="J16" s="141">
        <f t="shared" ref="J16" si="36">SUM((J17*40%)+(J18*25%)+(J19*20%)+(J20*15%))</f>
        <v>0</v>
      </c>
      <c r="K16" s="141">
        <f t="shared" ref="K16" si="37">SUM((K17*40%)+(K18*25%)+(K19*20%)+(K20*15%))</f>
        <v>0</v>
      </c>
      <c r="L16" s="141">
        <f t="shared" ref="L16" si="38">SUM((L17*40%)+(L18*25%)+(L19*20%)+(L20*15%))</f>
        <v>0</v>
      </c>
      <c r="M16" s="141">
        <f>SUM((M17*40%)+(M18*25%)+(M19*20%)+(M20*15%))</f>
        <v>0</v>
      </c>
      <c r="N16" s="141">
        <f t="shared" ref="N16:O16" si="39">SUM((N17*40%)+(N18*25%)+(N19*20%)+(N20*15%))</f>
        <v>0</v>
      </c>
      <c r="O16" s="141">
        <f t="shared" si="39"/>
        <v>0</v>
      </c>
      <c r="P16" s="181"/>
    </row>
    <row r="17" spans="2:16" s="8" customFormat="1" ht="74.25" customHeight="1" x14ac:dyDescent="0.5">
      <c r="B17" t="s">
        <v>145</v>
      </c>
      <c r="C17" s="3" t="s">
        <v>106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182">
        <f>SUMPRODUCT(D17:N17, D$2:N$2)</f>
        <v>0</v>
      </c>
      <c r="P17" s="181"/>
    </row>
    <row r="18" spans="2:16" s="8" customFormat="1" ht="74.25" customHeight="1" x14ac:dyDescent="0.5">
      <c r="B18" t="s">
        <v>145</v>
      </c>
      <c r="C18" s="3" t="s">
        <v>110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182">
        <f>SUMPRODUCT(D18:N18, D$2:N$2)</f>
        <v>0</v>
      </c>
      <c r="P18" s="21"/>
    </row>
    <row r="19" spans="2:16" s="8" customFormat="1" ht="74.25" customHeight="1" x14ac:dyDescent="0.5">
      <c r="B19" t="s">
        <v>145</v>
      </c>
      <c r="C19" s="3" t="s">
        <v>111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182">
        <f>SUMPRODUCT(D19:N19, D$2:N$2)</f>
        <v>0</v>
      </c>
      <c r="P19" s="21"/>
    </row>
    <row r="20" spans="2:16" s="8" customFormat="1" ht="74.25" customHeight="1" x14ac:dyDescent="0.5">
      <c r="B20" t="s">
        <v>145</v>
      </c>
      <c r="C20" s="3" t="s">
        <v>112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182">
        <f>SUMPRODUCT(D20:N20, D$2:N$2)</f>
        <v>0</v>
      </c>
      <c r="P20" s="21"/>
    </row>
  </sheetData>
  <phoneticPr fontId="30" type="noConversion"/>
  <pageMargins left="0.75" right="0.75" top="1" bottom="1" header="0.5" footer="0.5"/>
  <pageSetup scale="1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16D7-E3B8-40D5-8642-243CD68539A5}">
  <dimension ref="B1:K33"/>
  <sheetViews>
    <sheetView view="pageBreakPreview" zoomScale="40" zoomScaleNormal="100" zoomScaleSheetLayoutView="40" workbookViewId="0">
      <pane ySplit="1" topLeftCell="A2" activePane="bottomLeft" state="frozen"/>
      <selection pane="bottomLeft" activeCell="E9" sqref="E9"/>
    </sheetView>
  </sheetViews>
  <sheetFormatPr defaultRowHeight="15.75" x14ac:dyDescent="0.25"/>
  <cols>
    <col min="2" max="2" width="15" customWidth="1"/>
    <col min="3" max="3" width="86.85546875" customWidth="1"/>
    <col min="4" max="4" width="30" style="8" customWidth="1"/>
    <col min="5" max="10" width="37.28515625" style="8" customWidth="1"/>
  </cols>
  <sheetData>
    <row r="1" spans="2:11" ht="73.5" customHeight="1" x14ac:dyDescent="0.5">
      <c r="B1" s="162" t="s">
        <v>146</v>
      </c>
      <c r="C1" s="162" t="s">
        <v>127</v>
      </c>
      <c r="D1" s="162" t="s">
        <v>10</v>
      </c>
      <c r="E1" s="162" t="s">
        <v>139</v>
      </c>
      <c r="F1" s="162" t="s">
        <v>141</v>
      </c>
      <c r="G1" s="162" t="s">
        <v>78</v>
      </c>
      <c r="H1" s="162" t="s">
        <v>140</v>
      </c>
      <c r="I1" s="162" t="s">
        <v>24</v>
      </c>
      <c r="J1" s="10"/>
    </row>
    <row r="2" spans="2:11" ht="33.75" customHeight="1" x14ac:dyDescent="0.5">
      <c r="B2" s="162"/>
      <c r="C2" s="162" t="s">
        <v>148</v>
      </c>
      <c r="D2" s="162">
        <v>0.1</v>
      </c>
      <c r="E2" s="162">
        <v>0.5</v>
      </c>
      <c r="F2" s="162">
        <v>0.25</v>
      </c>
      <c r="G2" s="162">
        <v>0.1</v>
      </c>
      <c r="H2" s="162">
        <v>0.05</v>
      </c>
      <c r="I2" s="162"/>
      <c r="J2" s="159"/>
    </row>
    <row r="3" spans="2:11" ht="69" customHeight="1" x14ac:dyDescent="0.5">
      <c r="B3" s="163" t="s">
        <v>143</v>
      </c>
      <c r="C3" s="163" t="s">
        <v>149</v>
      </c>
      <c r="D3" s="163">
        <f>AVERAGE(D4:D12)</f>
        <v>0.48888888888888893</v>
      </c>
      <c r="E3" s="163">
        <f t="shared" ref="E3:H3" si="0">AVERAGE(E4:E12)</f>
        <v>0.44444444444444442</v>
      </c>
      <c r="F3" s="163">
        <f t="shared" si="0"/>
        <v>0.41111111111111109</v>
      </c>
      <c r="G3" s="163">
        <f t="shared" si="0"/>
        <v>0.33333333333333331</v>
      </c>
      <c r="H3" s="163">
        <f t="shared" si="0"/>
        <v>0.44444444444444442</v>
      </c>
      <c r="I3" s="163">
        <f>SUMPRODUCT(D3:H3, D$2:H$2)</f>
        <v>0.42944444444444435</v>
      </c>
      <c r="J3" s="160"/>
    </row>
    <row r="4" spans="2:11" ht="73.5" customHeight="1" x14ac:dyDescent="0.5">
      <c r="B4" s="162" t="s">
        <v>143</v>
      </c>
      <c r="C4" s="162" t="s">
        <v>130</v>
      </c>
      <c r="D4" s="162">
        <v>0.8</v>
      </c>
      <c r="E4" s="162">
        <v>0.6</v>
      </c>
      <c r="F4" s="162">
        <v>0.6</v>
      </c>
      <c r="G4" s="162">
        <v>0</v>
      </c>
      <c r="H4" s="162">
        <v>0.5</v>
      </c>
      <c r="I4" s="162">
        <f t="shared" ref="I4:I13" si="1">SUMPRODUCT(D4:H4, D$2:H$2)</f>
        <v>0.55500000000000005</v>
      </c>
      <c r="J4" s="160"/>
    </row>
    <row r="5" spans="2:11" ht="73.5" customHeight="1" x14ac:dyDescent="0.5">
      <c r="B5" s="162" t="s">
        <v>143</v>
      </c>
      <c r="C5" s="162" t="s">
        <v>131</v>
      </c>
      <c r="D5" s="162">
        <v>0.6</v>
      </c>
      <c r="E5" s="162">
        <v>0.4</v>
      </c>
      <c r="F5" s="162">
        <v>0.1</v>
      </c>
      <c r="G5" s="162">
        <v>0</v>
      </c>
      <c r="H5" s="162">
        <v>0.5</v>
      </c>
      <c r="I5" s="162">
        <f t="shared" si="1"/>
        <v>0.31000000000000005</v>
      </c>
      <c r="J5" s="161"/>
    </row>
    <row r="6" spans="2:11" ht="73.5" customHeight="1" x14ac:dyDescent="0.5">
      <c r="B6" s="162" t="s">
        <v>143</v>
      </c>
      <c r="C6" s="162" t="s">
        <v>132</v>
      </c>
      <c r="D6" s="162">
        <v>0.8</v>
      </c>
      <c r="E6" s="162">
        <v>0.8</v>
      </c>
      <c r="F6" s="162">
        <v>0.8</v>
      </c>
      <c r="G6" s="162">
        <v>0.8</v>
      </c>
      <c r="H6" s="162">
        <v>0.8</v>
      </c>
      <c r="I6" s="162">
        <f t="shared" si="1"/>
        <v>0.8</v>
      </c>
      <c r="J6" s="161"/>
    </row>
    <row r="7" spans="2:11" ht="73.5" customHeight="1" x14ac:dyDescent="0.5">
      <c r="B7" s="162" t="s">
        <v>143</v>
      </c>
      <c r="C7" s="162" t="s">
        <v>133</v>
      </c>
      <c r="D7" s="162">
        <v>0.75</v>
      </c>
      <c r="E7" s="162">
        <v>0.75</v>
      </c>
      <c r="F7" s="162">
        <v>0.75</v>
      </c>
      <c r="G7" s="162">
        <v>0.75</v>
      </c>
      <c r="H7" s="162">
        <v>0.75</v>
      </c>
      <c r="I7" s="162">
        <f t="shared" si="1"/>
        <v>0.74999999999999989</v>
      </c>
      <c r="J7" s="161"/>
    </row>
    <row r="8" spans="2:11" ht="73.5" customHeight="1" x14ac:dyDescent="0.5">
      <c r="B8" s="162" t="s">
        <v>143</v>
      </c>
      <c r="C8" s="162" t="s">
        <v>134</v>
      </c>
      <c r="D8" s="162">
        <v>1.0000000000000002</v>
      </c>
      <c r="E8" s="162">
        <v>1.0000000000000002</v>
      </c>
      <c r="F8" s="162">
        <v>1.0000000000000002</v>
      </c>
      <c r="G8" s="162">
        <v>1.0000000000000002</v>
      </c>
      <c r="H8" s="162">
        <v>1.0000000000000002</v>
      </c>
      <c r="I8" s="162">
        <f t="shared" si="1"/>
        <v>1.0000000000000002</v>
      </c>
      <c r="J8" s="161"/>
    </row>
    <row r="9" spans="2:11" ht="73.5" customHeight="1" x14ac:dyDescent="0.5">
      <c r="B9" s="162" t="s">
        <v>143</v>
      </c>
      <c r="C9" s="162" t="s">
        <v>135</v>
      </c>
      <c r="D9" s="162">
        <v>0.25</v>
      </c>
      <c r="E9" s="162">
        <v>0.25</v>
      </c>
      <c r="F9" s="162">
        <v>0.25</v>
      </c>
      <c r="G9" s="162">
        <v>0.25</v>
      </c>
      <c r="H9" s="162">
        <v>0.25</v>
      </c>
      <c r="I9" s="162">
        <f t="shared" si="1"/>
        <v>0.25</v>
      </c>
      <c r="J9" s="161"/>
    </row>
    <row r="10" spans="2:11" ht="73.5" customHeight="1" x14ac:dyDescent="0.5">
      <c r="B10" s="162" t="s">
        <v>143</v>
      </c>
      <c r="C10" s="162" t="s">
        <v>136</v>
      </c>
      <c r="D10" s="162">
        <v>0</v>
      </c>
      <c r="E10" s="162">
        <v>0</v>
      </c>
      <c r="F10" s="162">
        <v>0</v>
      </c>
      <c r="G10" s="162">
        <v>0</v>
      </c>
      <c r="H10" s="162">
        <v>0</v>
      </c>
      <c r="I10" s="162">
        <f t="shared" si="1"/>
        <v>0</v>
      </c>
      <c r="J10" s="161"/>
    </row>
    <row r="11" spans="2:11" ht="73.5" customHeight="1" x14ac:dyDescent="0.5">
      <c r="B11" s="162" t="s">
        <v>143</v>
      </c>
      <c r="C11" s="162" t="s">
        <v>137</v>
      </c>
      <c r="D11" s="162">
        <v>0.15</v>
      </c>
      <c r="E11" s="162">
        <v>0.15</v>
      </c>
      <c r="F11" s="162">
        <v>0.15</v>
      </c>
      <c r="G11" s="162">
        <v>0.15</v>
      </c>
      <c r="H11" s="162">
        <v>0.15</v>
      </c>
      <c r="I11" s="162">
        <f t="shared" si="1"/>
        <v>0.15000000000000002</v>
      </c>
      <c r="J11" s="161"/>
    </row>
    <row r="12" spans="2:11" ht="73.5" customHeight="1" x14ac:dyDescent="0.5">
      <c r="B12" s="162" t="s">
        <v>143</v>
      </c>
      <c r="C12" s="162" t="s">
        <v>138</v>
      </c>
      <c r="D12" s="162">
        <v>0.05</v>
      </c>
      <c r="E12" s="162">
        <v>0.05</v>
      </c>
      <c r="F12" s="162">
        <v>0.05</v>
      </c>
      <c r="G12" s="162">
        <v>0.05</v>
      </c>
      <c r="H12" s="162">
        <v>0.05</v>
      </c>
      <c r="I12" s="162">
        <f t="shared" si="1"/>
        <v>0.05</v>
      </c>
      <c r="J12" s="161"/>
    </row>
    <row r="13" spans="2:11" s="8" customFormat="1" ht="74.25" customHeight="1" x14ac:dyDescent="0.5">
      <c r="B13" s="163" t="s">
        <v>144</v>
      </c>
      <c r="C13" s="163" t="s">
        <v>150</v>
      </c>
      <c r="D13" s="163">
        <f>AVERAGE(D14:D22)</f>
        <v>0.48888888888888893</v>
      </c>
      <c r="E13" s="163">
        <f t="shared" ref="E13:H13" si="2">AVERAGE(E14:E22)</f>
        <v>0.44444444444444442</v>
      </c>
      <c r="F13" s="163">
        <f t="shared" si="2"/>
        <v>0.41111111111111109</v>
      </c>
      <c r="G13" s="163">
        <f t="shared" si="2"/>
        <v>0.33333333333333331</v>
      </c>
      <c r="H13" s="163">
        <f t="shared" si="2"/>
        <v>0.44444444444444442</v>
      </c>
      <c r="I13" s="163">
        <f t="shared" si="1"/>
        <v>0.42944444444444435</v>
      </c>
      <c r="K13"/>
    </row>
    <row r="14" spans="2:11" s="8" customFormat="1" ht="74.25" customHeight="1" x14ac:dyDescent="0.5">
      <c r="B14" s="162" t="s">
        <v>144</v>
      </c>
      <c r="C14" s="162" t="s">
        <v>130</v>
      </c>
      <c r="D14" s="162">
        <v>0.8</v>
      </c>
      <c r="E14" s="162">
        <v>0.6</v>
      </c>
      <c r="F14" s="162">
        <v>0.6</v>
      </c>
      <c r="G14" s="162">
        <v>0</v>
      </c>
      <c r="H14" s="162">
        <v>0.5</v>
      </c>
      <c r="I14" s="162">
        <f t="shared" ref="I14:I22" si="3">SUMPRODUCT(D14:H14, D$2:H$2)</f>
        <v>0.55500000000000005</v>
      </c>
      <c r="K14"/>
    </row>
    <row r="15" spans="2:11" s="8" customFormat="1" ht="74.25" customHeight="1" x14ac:dyDescent="0.5">
      <c r="B15" s="162" t="s">
        <v>144</v>
      </c>
      <c r="C15" s="162" t="s">
        <v>131</v>
      </c>
      <c r="D15" s="162">
        <v>0.6</v>
      </c>
      <c r="E15" s="162">
        <v>0.4</v>
      </c>
      <c r="F15" s="162">
        <v>0.1</v>
      </c>
      <c r="G15" s="162">
        <v>0</v>
      </c>
      <c r="H15" s="162">
        <v>0.5</v>
      </c>
      <c r="I15" s="162">
        <f t="shared" si="3"/>
        <v>0.31000000000000005</v>
      </c>
      <c r="K15"/>
    </row>
    <row r="16" spans="2:11" s="8" customFormat="1" ht="74.25" customHeight="1" x14ac:dyDescent="0.5">
      <c r="B16" s="162" t="s">
        <v>144</v>
      </c>
      <c r="C16" s="162" t="s">
        <v>132</v>
      </c>
      <c r="D16" s="162">
        <v>0.8</v>
      </c>
      <c r="E16" s="162">
        <v>0.8</v>
      </c>
      <c r="F16" s="162">
        <v>0.8</v>
      </c>
      <c r="G16" s="162">
        <v>0.8</v>
      </c>
      <c r="H16" s="162">
        <v>0.8</v>
      </c>
      <c r="I16" s="162">
        <f t="shared" si="3"/>
        <v>0.8</v>
      </c>
      <c r="K16"/>
    </row>
    <row r="17" spans="2:11" s="8" customFormat="1" ht="74.25" customHeight="1" x14ac:dyDescent="0.5">
      <c r="B17" s="162" t="s">
        <v>144</v>
      </c>
      <c r="C17" s="162" t="s">
        <v>133</v>
      </c>
      <c r="D17" s="162">
        <v>0.75</v>
      </c>
      <c r="E17" s="162">
        <v>0.75</v>
      </c>
      <c r="F17" s="162">
        <v>0.75</v>
      </c>
      <c r="G17" s="162">
        <v>0.75</v>
      </c>
      <c r="H17" s="162">
        <v>0.75</v>
      </c>
      <c r="I17" s="162">
        <f t="shared" si="3"/>
        <v>0.74999999999999989</v>
      </c>
      <c r="K17"/>
    </row>
    <row r="18" spans="2:11" s="8" customFormat="1" ht="74.25" customHeight="1" x14ac:dyDescent="0.5">
      <c r="B18" s="162" t="s">
        <v>144</v>
      </c>
      <c r="C18" s="162" t="s">
        <v>134</v>
      </c>
      <c r="D18" s="162">
        <v>1.0000000000000002</v>
      </c>
      <c r="E18" s="162">
        <v>1.0000000000000002</v>
      </c>
      <c r="F18" s="162">
        <v>1.0000000000000002</v>
      </c>
      <c r="G18" s="162">
        <v>1.0000000000000002</v>
      </c>
      <c r="H18" s="162">
        <v>1.0000000000000002</v>
      </c>
      <c r="I18" s="162">
        <f t="shared" si="3"/>
        <v>1.0000000000000002</v>
      </c>
      <c r="K18"/>
    </row>
    <row r="19" spans="2:11" s="8" customFormat="1" ht="74.25" customHeight="1" x14ac:dyDescent="0.5">
      <c r="B19" s="162" t="s">
        <v>144</v>
      </c>
      <c r="C19" s="162" t="s">
        <v>135</v>
      </c>
      <c r="D19" s="162">
        <v>0.25</v>
      </c>
      <c r="E19" s="162">
        <v>0.25</v>
      </c>
      <c r="F19" s="162">
        <v>0.25</v>
      </c>
      <c r="G19" s="162">
        <v>0.25</v>
      </c>
      <c r="H19" s="162">
        <v>0.25</v>
      </c>
      <c r="I19" s="162">
        <f t="shared" si="3"/>
        <v>0.25</v>
      </c>
      <c r="K19"/>
    </row>
    <row r="20" spans="2:11" s="8" customFormat="1" ht="74.25" customHeight="1" x14ac:dyDescent="0.5">
      <c r="B20" s="162" t="s">
        <v>144</v>
      </c>
      <c r="C20" s="162" t="s">
        <v>136</v>
      </c>
      <c r="D20" s="162">
        <v>0</v>
      </c>
      <c r="E20" s="162">
        <v>0</v>
      </c>
      <c r="F20" s="162">
        <v>0</v>
      </c>
      <c r="G20" s="162">
        <v>0</v>
      </c>
      <c r="H20" s="162">
        <v>0</v>
      </c>
      <c r="I20" s="162">
        <f t="shared" si="3"/>
        <v>0</v>
      </c>
      <c r="K20"/>
    </row>
    <row r="21" spans="2:11" s="8" customFormat="1" ht="74.25" customHeight="1" x14ac:dyDescent="0.5">
      <c r="B21" s="162" t="s">
        <v>144</v>
      </c>
      <c r="C21" s="162" t="s">
        <v>137</v>
      </c>
      <c r="D21" s="162">
        <v>0.15</v>
      </c>
      <c r="E21" s="162">
        <v>0.15</v>
      </c>
      <c r="F21" s="162">
        <v>0.15</v>
      </c>
      <c r="G21" s="162">
        <v>0.15</v>
      </c>
      <c r="H21" s="162">
        <v>0.15</v>
      </c>
      <c r="I21" s="162">
        <f t="shared" si="3"/>
        <v>0.15000000000000002</v>
      </c>
      <c r="K21"/>
    </row>
    <row r="22" spans="2:11" s="8" customFormat="1" ht="74.25" customHeight="1" x14ac:dyDescent="0.5">
      <c r="B22" s="162" t="s">
        <v>144</v>
      </c>
      <c r="C22" s="162" t="s">
        <v>138</v>
      </c>
      <c r="D22" s="162">
        <v>0.05</v>
      </c>
      <c r="E22" s="162">
        <v>0.05</v>
      </c>
      <c r="F22" s="162">
        <v>0.05</v>
      </c>
      <c r="G22" s="162">
        <v>0.05</v>
      </c>
      <c r="H22" s="162">
        <v>0.05</v>
      </c>
      <c r="I22" s="162">
        <f t="shared" si="3"/>
        <v>0.05</v>
      </c>
      <c r="K22"/>
    </row>
    <row r="23" spans="2:11" s="8" customFormat="1" ht="74.25" customHeight="1" x14ac:dyDescent="0.5">
      <c r="B23" s="163" t="s">
        <v>145</v>
      </c>
      <c r="C23" s="163" t="s">
        <v>151</v>
      </c>
      <c r="D23" s="163">
        <f>AVERAGE(D24:D32)</f>
        <v>0.48888888888888893</v>
      </c>
      <c r="E23" s="163">
        <f t="shared" ref="E23:H23" si="4">AVERAGE(E24:E32)</f>
        <v>0.44444444444444442</v>
      </c>
      <c r="F23" s="163">
        <f t="shared" si="4"/>
        <v>0.41111111111111109</v>
      </c>
      <c r="G23" s="163">
        <f t="shared" si="4"/>
        <v>0.33333333333333331</v>
      </c>
      <c r="H23" s="163">
        <f t="shared" si="4"/>
        <v>0.44444444444444442</v>
      </c>
      <c r="I23" s="163">
        <f t="shared" ref="I23:I32" si="5">SUMPRODUCT(D23:H23, D$2:H$2)</f>
        <v>0.42944444444444435</v>
      </c>
      <c r="K23"/>
    </row>
    <row r="24" spans="2:11" s="8" customFormat="1" ht="74.25" customHeight="1" x14ac:dyDescent="0.5">
      <c r="B24" s="162" t="s">
        <v>145</v>
      </c>
      <c r="C24" s="162" t="s">
        <v>130</v>
      </c>
      <c r="D24" s="162">
        <v>0.8</v>
      </c>
      <c r="E24" s="162">
        <v>0.6</v>
      </c>
      <c r="F24" s="162">
        <v>0.6</v>
      </c>
      <c r="G24" s="162">
        <v>0</v>
      </c>
      <c r="H24" s="162">
        <v>0.5</v>
      </c>
      <c r="I24" s="162">
        <f t="shared" si="5"/>
        <v>0.55500000000000005</v>
      </c>
      <c r="K24"/>
    </row>
    <row r="25" spans="2:11" s="8" customFormat="1" ht="74.25" customHeight="1" x14ac:dyDescent="0.5">
      <c r="B25" s="162" t="s">
        <v>145</v>
      </c>
      <c r="C25" s="162" t="s">
        <v>131</v>
      </c>
      <c r="D25" s="162">
        <v>0.6</v>
      </c>
      <c r="E25" s="162">
        <v>0.4</v>
      </c>
      <c r="F25" s="162">
        <v>0.1</v>
      </c>
      <c r="G25" s="162">
        <v>0</v>
      </c>
      <c r="H25" s="162">
        <v>0.5</v>
      </c>
      <c r="I25" s="162">
        <f t="shared" si="5"/>
        <v>0.31000000000000005</v>
      </c>
      <c r="K25"/>
    </row>
    <row r="26" spans="2:11" s="8" customFormat="1" ht="74.25" customHeight="1" x14ac:dyDescent="0.5">
      <c r="B26" s="162" t="s">
        <v>145</v>
      </c>
      <c r="C26" s="162" t="s">
        <v>132</v>
      </c>
      <c r="D26" s="162">
        <v>0.8</v>
      </c>
      <c r="E26" s="162">
        <v>0.8</v>
      </c>
      <c r="F26" s="162">
        <v>0.8</v>
      </c>
      <c r="G26" s="162">
        <v>0.8</v>
      </c>
      <c r="H26" s="162">
        <v>0.8</v>
      </c>
      <c r="I26" s="162">
        <f t="shared" si="5"/>
        <v>0.8</v>
      </c>
      <c r="K26"/>
    </row>
    <row r="27" spans="2:11" s="8" customFormat="1" ht="74.25" customHeight="1" x14ac:dyDescent="0.5">
      <c r="B27" s="162" t="s">
        <v>145</v>
      </c>
      <c r="C27" s="162" t="s">
        <v>133</v>
      </c>
      <c r="D27" s="162">
        <v>0.75</v>
      </c>
      <c r="E27" s="162">
        <v>0.75</v>
      </c>
      <c r="F27" s="162">
        <v>0.75</v>
      </c>
      <c r="G27" s="162">
        <v>0.75</v>
      </c>
      <c r="H27" s="162">
        <v>0.75</v>
      </c>
      <c r="I27" s="162">
        <f t="shared" si="5"/>
        <v>0.74999999999999989</v>
      </c>
      <c r="K27"/>
    </row>
    <row r="28" spans="2:11" s="8" customFormat="1" ht="74.25" customHeight="1" x14ac:dyDescent="0.5">
      <c r="B28" s="162" t="s">
        <v>145</v>
      </c>
      <c r="C28" s="162" t="s">
        <v>134</v>
      </c>
      <c r="D28" s="162">
        <v>1.0000000000000002</v>
      </c>
      <c r="E28" s="162">
        <v>1.0000000000000002</v>
      </c>
      <c r="F28" s="162">
        <v>1.0000000000000002</v>
      </c>
      <c r="G28" s="162">
        <v>1.0000000000000002</v>
      </c>
      <c r="H28" s="162">
        <v>1.0000000000000002</v>
      </c>
      <c r="I28" s="162">
        <f t="shared" si="5"/>
        <v>1.0000000000000002</v>
      </c>
      <c r="K28"/>
    </row>
    <row r="29" spans="2:11" s="8" customFormat="1" ht="74.25" customHeight="1" x14ac:dyDescent="0.5">
      <c r="B29" s="162" t="s">
        <v>145</v>
      </c>
      <c r="C29" s="162" t="s">
        <v>135</v>
      </c>
      <c r="D29" s="162">
        <v>0.25</v>
      </c>
      <c r="E29" s="162">
        <v>0.25</v>
      </c>
      <c r="F29" s="162">
        <v>0.25</v>
      </c>
      <c r="G29" s="162">
        <v>0.25</v>
      </c>
      <c r="H29" s="162">
        <v>0.25</v>
      </c>
      <c r="I29" s="162">
        <f t="shared" si="5"/>
        <v>0.25</v>
      </c>
      <c r="K29"/>
    </row>
    <row r="30" spans="2:11" s="8" customFormat="1" ht="74.25" customHeight="1" x14ac:dyDescent="0.5">
      <c r="B30" s="162" t="s">
        <v>145</v>
      </c>
      <c r="C30" s="162" t="s">
        <v>136</v>
      </c>
      <c r="D30" s="162">
        <v>0</v>
      </c>
      <c r="E30" s="162">
        <v>0</v>
      </c>
      <c r="F30" s="162">
        <v>0</v>
      </c>
      <c r="G30" s="162">
        <v>0</v>
      </c>
      <c r="H30" s="162">
        <v>0</v>
      </c>
      <c r="I30" s="162">
        <f t="shared" si="5"/>
        <v>0</v>
      </c>
      <c r="K30"/>
    </row>
    <row r="31" spans="2:11" s="8" customFormat="1" ht="74.25" customHeight="1" x14ac:dyDescent="0.5">
      <c r="B31" s="162" t="s">
        <v>145</v>
      </c>
      <c r="C31" s="162" t="s">
        <v>137</v>
      </c>
      <c r="D31" s="162">
        <v>0.15</v>
      </c>
      <c r="E31" s="162">
        <v>0.15</v>
      </c>
      <c r="F31" s="162">
        <v>0.15</v>
      </c>
      <c r="G31" s="162">
        <v>0.15</v>
      </c>
      <c r="H31" s="162">
        <v>0.15</v>
      </c>
      <c r="I31" s="162">
        <f t="shared" si="5"/>
        <v>0.15000000000000002</v>
      </c>
      <c r="K31"/>
    </row>
    <row r="32" spans="2:11" s="8" customFormat="1" ht="74.25" customHeight="1" x14ac:dyDescent="0.5">
      <c r="B32" s="162" t="s">
        <v>145</v>
      </c>
      <c r="C32" s="162" t="s">
        <v>138</v>
      </c>
      <c r="D32" s="162">
        <v>0.05</v>
      </c>
      <c r="E32" s="162">
        <v>0.05</v>
      </c>
      <c r="F32" s="162">
        <v>0.05</v>
      </c>
      <c r="G32" s="162">
        <v>0.05</v>
      </c>
      <c r="H32" s="162">
        <v>0.05</v>
      </c>
      <c r="I32" s="162">
        <f t="shared" si="5"/>
        <v>0.05</v>
      </c>
      <c r="K32"/>
    </row>
    <row r="33" spans="2:2" x14ac:dyDescent="0.25">
      <c r="B33" s="8"/>
    </row>
  </sheetData>
  <pageMargins left="0.75" right="0.75" top="1" bottom="1" header="0.5" footer="0.5"/>
  <pageSetup scale="1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BC46-FC75-4226-982E-A033837C7744}">
  <dimension ref="B1:P8"/>
  <sheetViews>
    <sheetView view="pageBreakPreview" zoomScale="60" zoomScaleNormal="100" workbookViewId="0">
      <pane ySplit="1" topLeftCell="A2" activePane="bottomLeft" state="frozen"/>
      <selection pane="bottomLeft" activeCell="E8" sqref="E8:O8"/>
    </sheetView>
  </sheetViews>
  <sheetFormatPr defaultRowHeight="15.75" x14ac:dyDescent="0.25"/>
  <cols>
    <col min="2" max="2" width="14.28515625" customWidth="1"/>
    <col min="3" max="3" width="47" customWidth="1"/>
    <col min="4" max="16" width="22.28515625" style="8" customWidth="1"/>
  </cols>
  <sheetData>
    <row r="1" spans="2:16" ht="73.5" customHeight="1" x14ac:dyDescent="0.25">
      <c r="B1" s="11" t="s">
        <v>142</v>
      </c>
      <c r="C1" s="11" t="s">
        <v>127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113</v>
      </c>
      <c r="I1" s="9" t="s">
        <v>114</v>
      </c>
      <c r="J1" s="9" t="s">
        <v>16</v>
      </c>
      <c r="K1" s="9" t="s">
        <v>17</v>
      </c>
      <c r="L1" s="9" t="s">
        <v>115</v>
      </c>
      <c r="M1" s="9" t="s">
        <v>116</v>
      </c>
      <c r="N1" s="9" t="s">
        <v>162</v>
      </c>
      <c r="O1" s="9" t="s">
        <v>21</v>
      </c>
      <c r="P1" s="9" t="s">
        <v>24</v>
      </c>
    </row>
    <row r="2" spans="2:16" ht="33.75" customHeight="1" thickBot="1" x14ac:dyDescent="0.3">
      <c r="B2" s="164"/>
      <c r="C2" s="165" t="s">
        <v>161</v>
      </c>
      <c r="D2" s="174">
        <v>0.15</v>
      </c>
      <c r="E2" s="174">
        <v>0.02</v>
      </c>
      <c r="F2" s="174">
        <v>0.04</v>
      </c>
      <c r="G2" s="174">
        <v>0.04</v>
      </c>
      <c r="H2" s="174">
        <v>0.17</v>
      </c>
      <c r="I2" s="174">
        <v>0.2</v>
      </c>
      <c r="J2" s="174">
        <v>0.05</v>
      </c>
      <c r="K2" s="174">
        <v>0.08</v>
      </c>
      <c r="L2" s="174">
        <v>0.05</v>
      </c>
      <c r="M2" s="174">
        <v>0.05</v>
      </c>
      <c r="N2" s="174">
        <v>0.14000000000000001</v>
      </c>
      <c r="O2" s="174">
        <v>0.01</v>
      </c>
      <c r="P2" s="171"/>
    </row>
    <row r="3" spans="2:16" ht="75.75" customHeight="1" x14ac:dyDescent="0.5">
      <c r="B3" s="166" t="s">
        <v>147</v>
      </c>
      <c r="C3" s="219" t="s">
        <v>25</v>
      </c>
      <c r="D3" s="217">
        <f t="shared" ref="D3:O3" si="0">D4*D2</f>
        <v>7.4999999999999997E-2</v>
      </c>
      <c r="E3" s="217">
        <f t="shared" si="0"/>
        <v>0</v>
      </c>
      <c r="F3" s="217">
        <f t="shared" si="0"/>
        <v>0</v>
      </c>
      <c r="G3" s="217">
        <f t="shared" si="0"/>
        <v>0</v>
      </c>
      <c r="H3" s="217">
        <f t="shared" si="0"/>
        <v>1.7000000000000001E-2</v>
      </c>
      <c r="I3" s="217">
        <f t="shared" si="0"/>
        <v>0.1</v>
      </c>
      <c r="J3" s="217">
        <f t="shared" si="0"/>
        <v>0</v>
      </c>
      <c r="K3" s="217">
        <f t="shared" si="0"/>
        <v>0</v>
      </c>
      <c r="L3" s="217">
        <f t="shared" si="0"/>
        <v>0</v>
      </c>
      <c r="M3" s="217">
        <f t="shared" si="0"/>
        <v>0</v>
      </c>
      <c r="N3" s="217">
        <f t="shared" si="0"/>
        <v>0</v>
      </c>
      <c r="O3" s="217">
        <f t="shared" si="0"/>
        <v>5.0000000000000001E-3</v>
      </c>
      <c r="P3" s="218">
        <f>SUM(D3:O3)</f>
        <v>0.19700000000000001</v>
      </c>
    </row>
    <row r="4" spans="2:16" ht="75.75" customHeight="1" x14ac:dyDescent="0.35">
      <c r="B4" s="167" t="s">
        <v>147</v>
      </c>
      <c r="C4" s="158" t="s">
        <v>152</v>
      </c>
      <c r="D4" s="172">
        <v>0.5</v>
      </c>
      <c r="E4" s="172">
        <v>0</v>
      </c>
      <c r="F4" s="172">
        <v>0</v>
      </c>
      <c r="G4" s="172">
        <v>0</v>
      </c>
      <c r="H4" s="172">
        <v>0.1</v>
      </c>
      <c r="I4" s="172">
        <v>0.5</v>
      </c>
      <c r="J4" s="172">
        <v>0</v>
      </c>
      <c r="K4" s="172">
        <v>0</v>
      </c>
      <c r="L4" s="172">
        <v>0</v>
      </c>
      <c r="M4" s="172">
        <v>0</v>
      </c>
      <c r="N4" s="172">
        <v>0</v>
      </c>
      <c r="O4" s="172">
        <v>0.5</v>
      </c>
      <c r="P4" s="173">
        <f>SUMPRODUCT(D4:O4, D$2:O$2)</f>
        <v>0.19700000000000001</v>
      </c>
    </row>
    <row r="5" spans="2:16" ht="75.75" customHeight="1" x14ac:dyDescent="0.5">
      <c r="B5" s="167" t="s">
        <v>144</v>
      </c>
      <c r="C5" s="216" t="s">
        <v>104</v>
      </c>
      <c r="D5" s="217">
        <f t="shared" ref="D5:O5" si="1">D6*D2</f>
        <v>0</v>
      </c>
      <c r="E5" s="217">
        <f t="shared" si="1"/>
        <v>0</v>
      </c>
      <c r="F5" s="217">
        <f t="shared" si="1"/>
        <v>0</v>
      </c>
      <c r="G5" s="217">
        <f t="shared" si="1"/>
        <v>0</v>
      </c>
      <c r="H5" s="217">
        <f t="shared" si="1"/>
        <v>0</v>
      </c>
      <c r="I5" s="217">
        <f t="shared" si="1"/>
        <v>0</v>
      </c>
      <c r="J5" s="217">
        <f t="shared" si="1"/>
        <v>0</v>
      </c>
      <c r="K5" s="217">
        <f t="shared" si="1"/>
        <v>0</v>
      </c>
      <c r="L5" s="217">
        <f t="shared" si="1"/>
        <v>0</v>
      </c>
      <c r="M5" s="217">
        <f t="shared" si="1"/>
        <v>0</v>
      </c>
      <c r="N5" s="217">
        <f t="shared" si="1"/>
        <v>0</v>
      </c>
      <c r="O5" s="217">
        <f t="shared" si="1"/>
        <v>0</v>
      </c>
      <c r="P5" s="218">
        <f>SUM(D5:O5)</f>
        <v>0</v>
      </c>
    </row>
    <row r="6" spans="2:16" s="8" customFormat="1" ht="75.75" customHeight="1" x14ac:dyDescent="0.35">
      <c r="B6" s="168" t="s">
        <v>144</v>
      </c>
      <c r="C6" s="158" t="s">
        <v>153</v>
      </c>
      <c r="D6" s="172">
        <v>0</v>
      </c>
      <c r="E6" s="172">
        <v>0</v>
      </c>
      <c r="F6" s="172">
        <v>0</v>
      </c>
      <c r="G6" s="172">
        <v>0</v>
      </c>
      <c r="H6" s="172">
        <v>0</v>
      </c>
      <c r="I6" s="172">
        <v>0</v>
      </c>
      <c r="J6" s="172">
        <v>0</v>
      </c>
      <c r="K6" s="172">
        <v>0</v>
      </c>
      <c r="L6" s="172">
        <v>0</v>
      </c>
      <c r="M6" s="172">
        <v>0</v>
      </c>
      <c r="N6" s="172">
        <v>0</v>
      </c>
      <c r="O6" s="172">
        <v>0</v>
      </c>
      <c r="P6" s="173">
        <f t="shared" ref="P6" si="2">SUMPRODUCT(D6:O6, D$2:O$2)</f>
        <v>0</v>
      </c>
    </row>
    <row r="7" spans="2:16" s="8" customFormat="1" ht="75.75" customHeight="1" x14ac:dyDescent="0.5">
      <c r="B7" s="168" t="s">
        <v>145</v>
      </c>
      <c r="C7" s="216" t="s">
        <v>105</v>
      </c>
      <c r="D7" s="217">
        <f t="shared" ref="D7:O7" si="3">D8*D2</f>
        <v>0</v>
      </c>
      <c r="E7" s="217">
        <f t="shared" si="3"/>
        <v>0</v>
      </c>
      <c r="F7" s="217">
        <f t="shared" si="3"/>
        <v>0</v>
      </c>
      <c r="G7" s="217">
        <f t="shared" si="3"/>
        <v>0</v>
      </c>
      <c r="H7" s="217">
        <f t="shared" si="3"/>
        <v>0</v>
      </c>
      <c r="I7" s="217">
        <f t="shared" si="3"/>
        <v>0</v>
      </c>
      <c r="J7" s="217">
        <f t="shared" si="3"/>
        <v>0</v>
      </c>
      <c r="K7" s="217">
        <f t="shared" si="3"/>
        <v>0</v>
      </c>
      <c r="L7" s="217">
        <f t="shared" si="3"/>
        <v>0</v>
      </c>
      <c r="M7" s="217">
        <f t="shared" si="3"/>
        <v>0</v>
      </c>
      <c r="N7" s="217">
        <f t="shared" si="3"/>
        <v>0</v>
      </c>
      <c r="O7" s="217">
        <f t="shared" si="3"/>
        <v>0</v>
      </c>
      <c r="P7" s="218">
        <f>SUM(D7:O7)</f>
        <v>0</v>
      </c>
    </row>
    <row r="8" spans="2:16" s="8" customFormat="1" ht="75.75" customHeight="1" thickBot="1" x14ac:dyDescent="0.4">
      <c r="B8" s="169" t="s">
        <v>145</v>
      </c>
      <c r="C8" s="170" t="s">
        <v>154</v>
      </c>
      <c r="D8" s="172">
        <v>0</v>
      </c>
      <c r="E8" s="172">
        <v>0</v>
      </c>
      <c r="F8" s="172">
        <v>0</v>
      </c>
      <c r="G8" s="172">
        <v>0</v>
      </c>
      <c r="H8" s="172">
        <v>0</v>
      </c>
      <c r="I8" s="172">
        <v>0</v>
      </c>
      <c r="J8" s="172">
        <v>0</v>
      </c>
      <c r="K8" s="172">
        <v>0</v>
      </c>
      <c r="L8" s="172">
        <v>0</v>
      </c>
      <c r="M8" s="172">
        <v>0</v>
      </c>
      <c r="N8" s="172">
        <v>0</v>
      </c>
      <c r="O8" s="172">
        <v>0</v>
      </c>
      <c r="P8" s="173">
        <f t="shared" ref="P8" si="4">SUMPRODUCT(D8:O8, D$2:O$2)</f>
        <v>0</v>
      </c>
    </row>
  </sheetData>
  <pageMargins left="0.75" right="0.75" top="1" bottom="1" header="0.5" footer="0.5"/>
  <pageSetup scale="1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A4E4-46F8-46A8-A81F-A493382705EB}">
  <dimension ref="B1:J43"/>
  <sheetViews>
    <sheetView view="pageBreakPreview" zoomScale="70" zoomScaleNormal="100" zoomScaleSheetLayoutView="70" workbookViewId="0">
      <pane ySplit="1" topLeftCell="A38" activePane="bottomLeft" state="frozen"/>
      <selection pane="bottomLeft" activeCell="C31" sqref="C31:I31"/>
    </sheetView>
  </sheetViews>
  <sheetFormatPr defaultRowHeight="15.75" x14ac:dyDescent="0.25"/>
  <cols>
    <col min="2" max="2" width="15.85546875" customWidth="1"/>
    <col min="3" max="3" width="32.85546875" customWidth="1"/>
    <col min="4" max="4" width="9.5703125" bestFit="1" customWidth="1"/>
    <col min="5" max="10" width="37.28515625" style="8" customWidth="1"/>
  </cols>
  <sheetData>
    <row r="1" spans="2:10" ht="73.5" customHeight="1" x14ac:dyDescent="0.25">
      <c r="B1" s="11" t="s">
        <v>146</v>
      </c>
      <c r="C1" s="11" t="s">
        <v>127</v>
      </c>
      <c r="D1" s="9" t="s">
        <v>23</v>
      </c>
      <c r="E1" s="9" t="s">
        <v>128</v>
      </c>
      <c r="F1" s="9" t="s">
        <v>129</v>
      </c>
      <c r="G1" s="9" t="s">
        <v>78</v>
      </c>
      <c r="H1" s="9" t="s">
        <v>21</v>
      </c>
      <c r="I1" s="9" t="s">
        <v>24</v>
      </c>
      <c r="J1" s="10"/>
    </row>
    <row r="2" spans="2:10" ht="33.75" customHeight="1" x14ac:dyDescent="0.4">
      <c r="C2" s="16" t="s">
        <v>161</v>
      </c>
      <c r="D2" s="17"/>
      <c r="E2" s="143">
        <v>0.2</v>
      </c>
      <c r="F2" s="143">
        <v>0.55000000000000004</v>
      </c>
      <c r="G2" s="143">
        <v>0.2</v>
      </c>
      <c r="H2" s="143">
        <v>0.05</v>
      </c>
      <c r="I2" s="18"/>
      <c r="J2" s="19"/>
    </row>
    <row r="3" spans="2:10" ht="33.75" customHeight="1" x14ac:dyDescent="0.25">
      <c r="C3" s="146" t="s">
        <v>167</v>
      </c>
      <c r="D3" s="147"/>
      <c r="E3" s="148">
        <f>((E4*0.4%)+(E18*0.3%)+(E31*0.3%))*100</f>
        <v>0.16336666666666663</v>
      </c>
      <c r="F3" s="148">
        <f t="shared" ref="F3:I3" si="0">((F4*0.4%)+(F18*0.3%)+(F31*0.3%))*100</f>
        <v>0.69106666666666672</v>
      </c>
      <c r="G3" s="148">
        <f t="shared" si="0"/>
        <v>0.13255238095238095</v>
      </c>
      <c r="H3" s="148">
        <f t="shared" si="0"/>
        <v>0.1851238095238095</v>
      </c>
      <c r="I3" s="148">
        <f t="shared" si="0"/>
        <v>0.44852666666666668</v>
      </c>
      <c r="J3" s="19"/>
    </row>
    <row r="4" spans="2:10" ht="58.5" x14ac:dyDescent="0.4">
      <c r="B4" t="s">
        <v>143</v>
      </c>
      <c r="C4" s="223" t="s">
        <v>155</v>
      </c>
      <c r="D4" s="224"/>
      <c r="E4" s="220">
        <f>(E5*65%+E9*35%)</f>
        <v>0.34466666666666657</v>
      </c>
      <c r="F4" s="220">
        <f>(F5*35%+F9*65%)</f>
        <v>0.75266666666666671</v>
      </c>
      <c r="G4" s="220">
        <f>(G5*40%+G9*60%)</f>
        <v>0.22209523809523807</v>
      </c>
      <c r="H4" s="220">
        <f>(H5*40%+H9*60%)</f>
        <v>0.35352380952380946</v>
      </c>
      <c r="I4" s="221">
        <f>SUMPRODUCT(E4:H4, E$2:H$2)</f>
        <v>0.54499523809523809</v>
      </c>
      <c r="J4" s="12"/>
    </row>
    <row r="5" spans="2:10" ht="58.5" x14ac:dyDescent="0.4">
      <c r="B5" t="s">
        <v>143</v>
      </c>
      <c r="C5" s="227" t="s">
        <v>168</v>
      </c>
      <c r="D5" s="228"/>
      <c r="E5" s="141">
        <f>AVERAGE(E6:E8)</f>
        <v>0.29333333333333328</v>
      </c>
      <c r="F5" s="141">
        <f t="shared" ref="F5:G5" si="1">AVERAGE(F6:F8)</f>
        <v>0.29333333333333328</v>
      </c>
      <c r="G5" s="141">
        <f t="shared" si="1"/>
        <v>6.6666666666666666E-2</v>
      </c>
      <c r="H5" s="141">
        <f>AVERAGE(H6:H8)</f>
        <v>0.26666666666666666</v>
      </c>
      <c r="I5" s="179">
        <f>SUMPRODUCT(E5:H5, E$2:H$2)</f>
        <v>0.24666666666666665</v>
      </c>
      <c r="J5" s="145"/>
    </row>
    <row r="6" spans="2:10" ht="73.5" customHeight="1" x14ac:dyDescent="0.45">
      <c r="B6" t="s">
        <v>143</v>
      </c>
      <c r="C6" s="3" t="s">
        <v>118</v>
      </c>
      <c r="D6" s="4" t="s">
        <v>27</v>
      </c>
      <c r="E6" s="20">
        <v>0.7</v>
      </c>
      <c r="F6" s="20">
        <v>0.7</v>
      </c>
      <c r="G6" s="20">
        <v>0.1</v>
      </c>
      <c r="H6" s="20">
        <v>0.7</v>
      </c>
      <c r="I6" s="21">
        <f>SUMPRODUCT(E6:H6, E$2:H$2)</f>
        <v>0.58000000000000007</v>
      </c>
      <c r="J6" s="6"/>
    </row>
    <row r="7" spans="2:10" ht="73.5" customHeight="1" x14ac:dyDescent="0.45">
      <c r="B7" t="s">
        <v>143</v>
      </c>
      <c r="C7" s="3" t="s">
        <v>119</v>
      </c>
      <c r="D7" s="4" t="s">
        <v>27</v>
      </c>
      <c r="E7" s="20">
        <v>0</v>
      </c>
      <c r="F7" s="20">
        <v>0</v>
      </c>
      <c r="G7" s="20">
        <v>0</v>
      </c>
      <c r="H7" s="20">
        <v>0</v>
      </c>
      <c r="I7" s="21">
        <f t="shared" ref="I7:I8" si="2">SUMPRODUCT(E7:H7, E$2:H$2)</f>
        <v>0</v>
      </c>
      <c r="J7" s="6"/>
    </row>
    <row r="8" spans="2:10" ht="73.5" customHeight="1" x14ac:dyDescent="0.45">
      <c r="B8" t="s">
        <v>143</v>
      </c>
      <c r="C8" s="3" t="s">
        <v>126</v>
      </c>
      <c r="D8" s="4" t="s">
        <v>27</v>
      </c>
      <c r="E8" s="20">
        <v>0.18</v>
      </c>
      <c r="F8" s="20">
        <v>0.18</v>
      </c>
      <c r="G8" s="20">
        <v>0.1</v>
      </c>
      <c r="H8" s="20">
        <v>0.1</v>
      </c>
      <c r="I8" s="21">
        <f t="shared" si="2"/>
        <v>0.16000000000000003</v>
      </c>
      <c r="J8" s="6"/>
    </row>
    <row r="9" spans="2:10" ht="73.5" customHeight="1" x14ac:dyDescent="0.4">
      <c r="B9" t="s">
        <v>143</v>
      </c>
      <c r="C9" s="176" t="s">
        <v>163</v>
      </c>
      <c r="D9" s="177"/>
      <c r="E9" s="141">
        <f>AVERAGE(E10:E16)</f>
        <v>0.43999999999999989</v>
      </c>
      <c r="F9" s="141">
        <v>1</v>
      </c>
      <c r="G9" s="141">
        <f t="shared" ref="G9:H9" si="3">AVERAGE(G10:G16)</f>
        <v>0.32571428571428568</v>
      </c>
      <c r="H9" s="141">
        <f t="shared" si="3"/>
        <v>0.41142857142857137</v>
      </c>
      <c r="I9" s="141">
        <f>SUM(E9:H9)/400%</f>
        <v>0.54428571428571426</v>
      </c>
      <c r="J9" s="5"/>
    </row>
    <row r="10" spans="2:10" ht="73.5" customHeight="1" x14ac:dyDescent="0.45">
      <c r="B10" t="s">
        <v>143</v>
      </c>
      <c r="C10" s="3" t="s">
        <v>117</v>
      </c>
      <c r="D10" s="2" t="s">
        <v>27</v>
      </c>
      <c r="E10" s="20">
        <v>1</v>
      </c>
      <c r="F10" s="20">
        <v>0.35</v>
      </c>
      <c r="G10" s="20">
        <v>0.2</v>
      </c>
      <c r="H10" s="20">
        <v>0.8</v>
      </c>
      <c r="I10" s="21">
        <f t="shared" ref="I10:I16" si="4">SUMPRODUCT(E10:H10, E$2:H$2)</f>
        <v>0.47250000000000003</v>
      </c>
      <c r="J10" s="5"/>
    </row>
    <row r="11" spans="2:10" ht="73.5" customHeight="1" x14ac:dyDescent="0.45">
      <c r="B11" t="s">
        <v>143</v>
      </c>
      <c r="C11" s="3" t="s">
        <v>120</v>
      </c>
      <c r="D11" s="4" t="s">
        <v>27</v>
      </c>
      <c r="E11" s="20">
        <v>0.18</v>
      </c>
      <c r="F11" s="20">
        <v>0.18</v>
      </c>
      <c r="G11" s="20">
        <v>0.18</v>
      </c>
      <c r="H11" s="20">
        <v>0.18</v>
      </c>
      <c r="I11" s="21">
        <f t="shared" si="4"/>
        <v>0.18000000000000002</v>
      </c>
      <c r="J11" s="6"/>
    </row>
    <row r="12" spans="2:10" ht="73.5" customHeight="1" x14ac:dyDescent="0.45">
      <c r="B12" t="s">
        <v>143</v>
      </c>
      <c r="C12" s="3" t="s">
        <v>121</v>
      </c>
      <c r="D12" s="4" t="s">
        <v>27</v>
      </c>
      <c r="E12" s="20">
        <v>1</v>
      </c>
      <c r="F12" s="20">
        <v>1</v>
      </c>
      <c r="G12" s="20">
        <v>1</v>
      </c>
      <c r="H12" s="20">
        <v>1</v>
      </c>
      <c r="I12" s="21">
        <f t="shared" si="4"/>
        <v>1</v>
      </c>
      <c r="J12" s="6"/>
    </row>
    <row r="13" spans="2:10" ht="73.5" customHeight="1" x14ac:dyDescent="0.45">
      <c r="B13" t="s">
        <v>143</v>
      </c>
      <c r="C13" s="3" t="s">
        <v>122</v>
      </c>
      <c r="D13" s="4" t="s">
        <v>27</v>
      </c>
      <c r="E13" s="20">
        <v>0</v>
      </c>
      <c r="F13" s="20">
        <v>0</v>
      </c>
      <c r="G13" s="20">
        <v>0</v>
      </c>
      <c r="H13" s="20">
        <v>0</v>
      </c>
      <c r="I13" s="21">
        <f t="shared" si="4"/>
        <v>0</v>
      </c>
      <c r="J13" s="6"/>
    </row>
    <row r="14" spans="2:10" ht="73.5" customHeight="1" x14ac:dyDescent="0.45">
      <c r="B14" t="s">
        <v>143</v>
      </c>
      <c r="C14" s="3" t="s">
        <v>123</v>
      </c>
      <c r="D14" s="4" t="s">
        <v>27</v>
      </c>
      <c r="E14" s="20">
        <v>0.3</v>
      </c>
      <c r="F14" s="20">
        <v>0.3</v>
      </c>
      <c r="G14" s="20">
        <v>0.3</v>
      </c>
      <c r="H14" s="20">
        <v>0.3</v>
      </c>
      <c r="I14" s="21">
        <f t="shared" si="4"/>
        <v>0.30000000000000004</v>
      </c>
      <c r="J14" s="6"/>
    </row>
    <row r="15" spans="2:10" ht="73.5" customHeight="1" x14ac:dyDescent="0.45">
      <c r="B15" t="s">
        <v>143</v>
      </c>
      <c r="C15" s="3" t="s">
        <v>124</v>
      </c>
      <c r="D15" s="4" t="s">
        <v>27</v>
      </c>
      <c r="E15" s="20">
        <v>0.3</v>
      </c>
      <c r="F15" s="20">
        <v>0.3</v>
      </c>
      <c r="G15" s="20">
        <v>0.3</v>
      </c>
      <c r="H15" s="20">
        <v>0.3</v>
      </c>
      <c r="I15" s="21">
        <f t="shared" si="4"/>
        <v>0.30000000000000004</v>
      </c>
      <c r="J15" s="6"/>
    </row>
    <row r="16" spans="2:10" ht="73.5" customHeight="1" x14ac:dyDescent="0.45">
      <c r="B16" t="s">
        <v>143</v>
      </c>
      <c r="C16" s="3" t="s">
        <v>125</v>
      </c>
      <c r="D16" s="4" t="s">
        <v>27</v>
      </c>
      <c r="E16" s="20">
        <v>0.3</v>
      </c>
      <c r="F16" s="20">
        <v>0.3</v>
      </c>
      <c r="G16" s="20">
        <v>0.3</v>
      </c>
      <c r="H16" s="20">
        <v>0.3</v>
      </c>
      <c r="I16" s="21">
        <f t="shared" si="4"/>
        <v>0.30000000000000004</v>
      </c>
      <c r="J16" s="6"/>
    </row>
    <row r="17" spans="2:9" ht="30.75" customHeight="1" x14ac:dyDescent="0.25"/>
    <row r="18" spans="2:9" s="8" customFormat="1" ht="74.25" customHeight="1" x14ac:dyDescent="0.4">
      <c r="B18" t="s">
        <v>144</v>
      </c>
      <c r="C18" s="225" t="s">
        <v>156</v>
      </c>
      <c r="D18" s="226"/>
      <c r="E18" s="220">
        <f>(E19*65%+E23*35%)</f>
        <v>5.5000000000000007E-2</v>
      </c>
      <c r="F18" s="220">
        <f>(F19*35%+F23*65%)</f>
        <v>0.65</v>
      </c>
      <c r="G18" s="220">
        <f>(G19*40%+G23*60%)</f>
        <v>9.4285714285714292E-2</v>
      </c>
      <c r="H18" s="220">
        <f>(H19*40%+H23*60%)</f>
        <v>9.4285714285714292E-2</v>
      </c>
      <c r="I18" s="221">
        <f>SUMPRODUCT(E18:H18, E$2:H$2)</f>
        <v>0.39207142857142863</v>
      </c>
    </row>
    <row r="19" spans="2:9" s="8" customFormat="1" ht="74.25" customHeight="1" x14ac:dyDescent="0.4">
      <c r="B19" t="s">
        <v>144</v>
      </c>
      <c r="C19" s="178" t="s">
        <v>165</v>
      </c>
      <c r="D19" s="175"/>
      <c r="E19" s="141">
        <f>AVERAGE(E20:E22)</f>
        <v>0</v>
      </c>
      <c r="F19" s="141">
        <f t="shared" ref="F19" si="5">AVERAGE(F20:F22)</f>
        <v>0</v>
      </c>
      <c r="G19" s="141">
        <f t="shared" ref="G19" si="6">AVERAGE(G20:G22)</f>
        <v>0</v>
      </c>
      <c r="H19" s="141">
        <f>AVERAGE(H20:H22)</f>
        <v>0</v>
      </c>
      <c r="I19" s="179">
        <f>SUMPRODUCT(E19:H19, E$2:H$2)</f>
        <v>0</v>
      </c>
    </row>
    <row r="20" spans="2:9" s="8" customFormat="1" ht="74.25" customHeight="1" x14ac:dyDescent="0.45">
      <c r="B20" t="s">
        <v>144</v>
      </c>
      <c r="C20" s="3" t="s">
        <v>118</v>
      </c>
      <c r="D20" s="4" t="s">
        <v>27</v>
      </c>
      <c r="E20" s="20">
        <v>0</v>
      </c>
      <c r="F20" s="20">
        <v>0</v>
      </c>
      <c r="G20" s="20">
        <v>0</v>
      </c>
      <c r="H20" s="20">
        <v>0</v>
      </c>
      <c r="I20" s="21">
        <f>SUMPRODUCT(E20:H20, E$2:H$2)</f>
        <v>0</v>
      </c>
    </row>
    <row r="21" spans="2:9" s="8" customFormat="1" ht="74.25" customHeight="1" x14ac:dyDescent="0.45">
      <c r="B21" t="s">
        <v>144</v>
      </c>
      <c r="C21" s="3" t="s">
        <v>119</v>
      </c>
      <c r="D21" s="4" t="s">
        <v>27</v>
      </c>
      <c r="E21" s="20">
        <v>0</v>
      </c>
      <c r="F21" s="20">
        <v>0</v>
      </c>
      <c r="G21" s="20">
        <v>0</v>
      </c>
      <c r="H21" s="20">
        <v>0</v>
      </c>
      <c r="I21" s="21">
        <f>SUMPRODUCT(E21:H21, E$2:H$2)</f>
        <v>0</v>
      </c>
    </row>
    <row r="22" spans="2:9" s="8" customFormat="1" ht="74.25" customHeight="1" x14ac:dyDescent="0.45">
      <c r="B22" t="s">
        <v>144</v>
      </c>
      <c r="C22" s="3" t="s">
        <v>126</v>
      </c>
      <c r="D22" s="4" t="s">
        <v>27</v>
      </c>
      <c r="E22" s="20">
        <v>0</v>
      </c>
      <c r="F22" s="20">
        <v>0</v>
      </c>
      <c r="G22" s="20">
        <v>0</v>
      </c>
      <c r="H22" s="20">
        <v>0</v>
      </c>
      <c r="I22" s="21">
        <f>SUMPRODUCT(E22:H22, E$2:H$2)</f>
        <v>0</v>
      </c>
    </row>
    <row r="23" spans="2:9" s="8" customFormat="1" ht="74.25" customHeight="1" x14ac:dyDescent="0.4">
      <c r="B23" t="s">
        <v>144</v>
      </c>
      <c r="C23" s="176" t="s">
        <v>166</v>
      </c>
      <c r="D23" s="177"/>
      <c r="E23" s="141">
        <f>AVERAGE(E24:E30)</f>
        <v>0.15714285714285717</v>
      </c>
      <c r="F23" s="141">
        <v>1</v>
      </c>
      <c r="G23" s="141">
        <f t="shared" ref="G23" si="7">AVERAGE(G24:G30)</f>
        <v>0.15714285714285717</v>
      </c>
      <c r="H23" s="141">
        <f t="shared" ref="H23" si="8">AVERAGE(H24:H30)</f>
        <v>0.15714285714285717</v>
      </c>
      <c r="I23" s="141">
        <f>SUM(E23:H23)/400%</f>
        <v>0.36785714285714294</v>
      </c>
    </row>
    <row r="24" spans="2:9" s="8" customFormat="1" ht="74.25" customHeight="1" x14ac:dyDescent="0.45">
      <c r="B24" t="s">
        <v>144</v>
      </c>
      <c r="C24" s="3" t="s">
        <v>117</v>
      </c>
      <c r="D24" s="2" t="s">
        <v>27</v>
      </c>
      <c r="E24" s="20">
        <v>0</v>
      </c>
      <c r="F24" s="20">
        <v>0</v>
      </c>
      <c r="G24" s="20">
        <v>0</v>
      </c>
      <c r="H24" s="20">
        <v>0</v>
      </c>
      <c r="I24" s="21">
        <f t="shared" ref="I24:I30" si="9">SUMPRODUCT(E24:H24, E$2:H$2)</f>
        <v>0</v>
      </c>
    </row>
    <row r="25" spans="2:9" s="8" customFormat="1" ht="74.25" customHeight="1" x14ac:dyDescent="0.45">
      <c r="B25" t="s">
        <v>144</v>
      </c>
      <c r="C25" s="3" t="s">
        <v>120</v>
      </c>
      <c r="D25" s="4" t="s">
        <v>27</v>
      </c>
      <c r="E25" s="20">
        <v>0</v>
      </c>
      <c r="F25" s="20">
        <v>0</v>
      </c>
      <c r="G25" s="20">
        <v>0</v>
      </c>
      <c r="H25" s="20">
        <v>0</v>
      </c>
      <c r="I25" s="21">
        <f t="shared" si="9"/>
        <v>0</v>
      </c>
    </row>
    <row r="26" spans="2:9" s="8" customFormat="1" ht="74.25" customHeight="1" x14ac:dyDescent="0.45">
      <c r="B26" t="s">
        <v>144</v>
      </c>
      <c r="C26" s="3" t="s">
        <v>121</v>
      </c>
      <c r="D26" s="4" t="s">
        <v>27</v>
      </c>
      <c r="E26" s="20">
        <v>0.5</v>
      </c>
      <c r="F26" s="20">
        <v>0.5</v>
      </c>
      <c r="G26" s="20">
        <v>0.5</v>
      </c>
      <c r="H26" s="20">
        <v>0.5</v>
      </c>
      <c r="I26" s="21">
        <f t="shared" si="9"/>
        <v>0.5</v>
      </c>
    </row>
    <row r="27" spans="2:9" s="8" customFormat="1" ht="74.25" customHeight="1" x14ac:dyDescent="0.45">
      <c r="B27" t="s">
        <v>144</v>
      </c>
      <c r="C27" s="3" t="s">
        <v>122</v>
      </c>
      <c r="D27" s="4" t="s">
        <v>27</v>
      </c>
      <c r="E27" s="20">
        <v>0</v>
      </c>
      <c r="F27" s="20">
        <v>0</v>
      </c>
      <c r="G27" s="20">
        <v>0</v>
      </c>
      <c r="H27" s="20">
        <v>0</v>
      </c>
      <c r="I27" s="21">
        <f t="shared" si="9"/>
        <v>0</v>
      </c>
    </row>
    <row r="28" spans="2:9" s="8" customFormat="1" ht="74.25" customHeight="1" x14ac:dyDescent="0.45">
      <c r="B28" t="s">
        <v>144</v>
      </c>
      <c r="C28" s="3" t="s">
        <v>123</v>
      </c>
      <c r="D28" s="4" t="s">
        <v>27</v>
      </c>
      <c r="E28" s="20">
        <v>0.3</v>
      </c>
      <c r="F28" s="20">
        <v>0.3</v>
      </c>
      <c r="G28" s="20">
        <v>0.3</v>
      </c>
      <c r="H28" s="20">
        <v>0.3</v>
      </c>
      <c r="I28" s="21">
        <f t="shared" si="9"/>
        <v>0.30000000000000004</v>
      </c>
    </row>
    <row r="29" spans="2:9" s="8" customFormat="1" ht="74.25" customHeight="1" x14ac:dyDescent="0.45">
      <c r="B29" t="s">
        <v>144</v>
      </c>
      <c r="C29" s="3" t="s">
        <v>124</v>
      </c>
      <c r="D29" s="4" t="s">
        <v>27</v>
      </c>
      <c r="E29" s="20">
        <v>0</v>
      </c>
      <c r="F29" s="20">
        <v>0</v>
      </c>
      <c r="G29" s="20">
        <v>0</v>
      </c>
      <c r="H29" s="20">
        <v>0</v>
      </c>
      <c r="I29" s="21">
        <f t="shared" si="9"/>
        <v>0</v>
      </c>
    </row>
    <row r="30" spans="2:9" s="8" customFormat="1" ht="74.25" customHeight="1" x14ac:dyDescent="0.45">
      <c r="B30" t="s">
        <v>144</v>
      </c>
      <c r="C30" s="3" t="s">
        <v>125</v>
      </c>
      <c r="D30" s="4" t="s">
        <v>27</v>
      </c>
      <c r="E30" s="20">
        <v>0.3</v>
      </c>
      <c r="F30" s="20">
        <v>0.3</v>
      </c>
      <c r="G30" s="20">
        <v>0.3</v>
      </c>
      <c r="H30" s="20">
        <v>0.3</v>
      </c>
      <c r="I30" s="21">
        <f t="shared" si="9"/>
        <v>0.30000000000000004</v>
      </c>
    </row>
    <row r="31" spans="2:9" s="8" customFormat="1" ht="74.25" customHeight="1" x14ac:dyDescent="0.4">
      <c r="B31" t="s">
        <v>145</v>
      </c>
      <c r="C31" s="223" t="s">
        <v>157</v>
      </c>
      <c r="D31" s="224"/>
      <c r="E31" s="220">
        <f>(E32*65%+E36*35%)</f>
        <v>0.03</v>
      </c>
      <c r="F31" s="220">
        <f>(F32*35%+F36*65%)</f>
        <v>0.65</v>
      </c>
      <c r="G31" s="220">
        <f>(G32*40%+G36*60%)</f>
        <v>5.1428571428571428E-2</v>
      </c>
      <c r="H31" s="220">
        <f>(H32*40%+H36*60%)</f>
        <v>5.1428571428571428E-2</v>
      </c>
      <c r="I31" s="221">
        <f>SUMPRODUCT(E31:H31, E$2:H$2)</f>
        <v>0.37635714285714289</v>
      </c>
    </row>
    <row r="32" spans="2:9" s="8" customFormat="1" ht="74.25" customHeight="1" x14ac:dyDescent="0.4">
      <c r="B32" t="s">
        <v>145</v>
      </c>
      <c r="C32" s="178" t="s">
        <v>169</v>
      </c>
      <c r="D32" s="175"/>
      <c r="E32" s="141">
        <f>AVERAGE(E33:E35)</f>
        <v>0</v>
      </c>
      <c r="F32" s="141">
        <f t="shared" ref="F32" si="10">AVERAGE(F33:F35)</f>
        <v>0</v>
      </c>
      <c r="G32" s="141">
        <f t="shared" ref="G32" si="11">AVERAGE(G33:G35)</f>
        <v>0</v>
      </c>
      <c r="H32" s="141">
        <f>AVERAGE(H33:H35)</f>
        <v>0</v>
      </c>
      <c r="I32" s="179">
        <f>SUMPRODUCT(E32:H32, E$2:H$2)</f>
        <v>0</v>
      </c>
    </row>
    <row r="33" spans="2:9" s="8" customFormat="1" ht="74.25" customHeight="1" x14ac:dyDescent="0.45">
      <c r="B33" t="s">
        <v>145</v>
      </c>
      <c r="C33" s="3" t="s">
        <v>118</v>
      </c>
      <c r="D33" s="4" t="s">
        <v>27</v>
      </c>
      <c r="E33" s="20">
        <v>0</v>
      </c>
      <c r="F33" s="20">
        <v>0</v>
      </c>
      <c r="G33" s="20">
        <v>0</v>
      </c>
      <c r="H33" s="20">
        <v>0</v>
      </c>
      <c r="I33" s="21">
        <f>SUMPRODUCT(E33:H33, E$2:H$2)</f>
        <v>0</v>
      </c>
    </row>
    <row r="34" spans="2:9" s="8" customFormat="1" ht="74.25" customHeight="1" x14ac:dyDescent="0.45">
      <c r="B34" t="s">
        <v>145</v>
      </c>
      <c r="C34" s="3" t="s">
        <v>119</v>
      </c>
      <c r="D34" s="4" t="s">
        <v>27</v>
      </c>
      <c r="E34" s="20">
        <v>0</v>
      </c>
      <c r="F34" s="20">
        <v>0</v>
      </c>
      <c r="G34" s="20">
        <v>0</v>
      </c>
      <c r="H34" s="20">
        <v>0</v>
      </c>
      <c r="I34" s="21">
        <f>SUMPRODUCT(E34:H34, E$2:H$2)</f>
        <v>0</v>
      </c>
    </row>
    <row r="35" spans="2:9" s="8" customFormat="1" ht="74.25" customHeight="1" x14ac:dyDescent="0.45">
      <c r="B35" t="s">
        <v>145</v>
      </c>
      <c r="C35" s="3" t="s">
        <v>126</v>
      </c>
      <c r="D35" s="4" t="s">
        <v>27</v>
      </c>
      <c r="E35" s="20">
        <v>0</v>
      </c>
      <c r="F35" s="20">
        <v>0</v>
      </c>
      <c r="G35" s="20">
        <v>0</v>
      </c>
      <c r="H35" s="20">
        <v>0</v>
      </c>
      <c r="I35" s="21">
        <f>SUMPRODUCT(E35:H35, E$2:H$2)</f>
        <v>0</v>
      </c>
    </row>
    <row r="36" spans="2:9" s="8" customFormat="1" ht="63.75" customHeight="1" x14ac:dyDescent="0.4">
      <c r="B36" t="s">
        <v>145</v>
      </c>
      <c r="C36" s="3" t="s">
        <v>164</v>
      </c>
      <c r="D36" s="2"/>
      <c r="E36" s="141">
        <f>AVERAGE(E37:E43)</f>
        <v>8.5714285714285715E-2</v>
      </c>
      <c r="F36" s="141">
        <v>1</v>
      </c>
      <c r="G36" s="141">
        <f t="shared" ref="G36" si="12">AVERAGE(G37:G43)</f>
        <v>8.5714285714285715E-2</v>
      </c>
      <c r="H36" s="141">
        <f t="shared" ref="H36" si="13">AVERAGE(H37:H43)</f>
        <v>8.5714285714285715E-2</v>
      </c>
      <c r="I36" s="141">
        <f>SUM(E36:H36)/400%</f>
        <v>0.31428571428571422</v>
      </c>
    </row>
    <row r="37" spans="2:9" s="8" customFormat="1" ht="74.25" customHeight="1" x14ac:dyDescent="0.45">
      <c r="B37" t="s">
        <v>145</v>
      </c>
      <c r="C37" s="3" t="s">
        <v>117</v>
      </c>
      <c r="D37" s="2" t="s">
        <v>27</v>
      </c>
      <c r="E37" s="20">
        <v>0</v>
      </c>
      <c r="F37" s="20">
        <v>0</v>
      </c>
      <c r="G37" s="20">
        <v>0</v>
      </c>
      <c r="H37" s="20">
        <v>0</v>
      </c>
      <c r="I37" s="21">
        <f t="shared" ref="I37:I43" si="14">SUMPRODUCT(E37:H37, E$2:H$2)</f>
        <v>0</v>
      </c>
    </row>
    <row r="38" spans="2:9" s="8" customFormat="1" ht="74.25" customHeight="1" x14ac:dyDescent="0.45">
      <c r="B38" t="s">
        <v>145</v>
      </c>
      <c r="C38" s="3" t="s">
        <v>120</v>
      </c>
      <c r="D38" s="4" t="s">
        <v>27</v>
      </c>
      <c r="E38" s="20">
        <v>0</v>
      </c>
      <c r="F38" s="20">
        <v>0</v>
      </c>
      <c r="G38" s="20">
        <v>0</v>
      </c>
      <c r="H38" s="20">
        <v>0</v>
      </c>
      <c r="I38" s="21">
        <f t="shared" si="14"/>
        <v>0</v>
      </c>
    </row>
    <row r="39" spans="2:9" s="8" customFormat="1" ht="74.25" customHeight="1" x14ac:dyDescent="0.45">
      <c r="B39" t="s">
        <v>145</v>
      </c>
      <c r="C39" s="3" t="s">
        <v>121</v>
      </c>
      <c r="D39" s="4" t="s">
        <v>27</v>
      </c>
      <c r="E39" s="20">
        <v>0</v>
      </c>
      <c r="F39" s="20">
        <v>0</v>
      </c>
      <c r="G39" s="20">
        <v>0</v>
      </c>
      <c r="H39" s="20">
        <v>0</v>
      </c>
      <c r="I39" s="21">
        <f t="shared" si="14"/>
        <v>0</v>
      </c>
    </row>
    <row r="40" spans="2:9" s="8" customFormat="1" ht="74.25" customHeight="1" x14ac:dyDescent="0.45">
      <c r="B40" t="s">
        <v>145</v>
      </c>
      <c r="C40" s="3" t="s">
        <v>122</v>
      </c>
      <c r="D40" s="4" t="s">
        <v>27</v>
      </c>
      <c r="E40" s="20">
        <v>0</v>
      </c>
      <c r="F40" s="20">
        <v>0</v>
      </c>
      <c r="G40" s="20">
        <v>0</v>
      </c>
      <c r="H40" s="20">
        <v>0</v>
      </c>
      <c r="I40" s="21">
        <f t="shared" si="14"/>
        <v>0</v>
      </c>
    </row>
    <row r="41" spans="2:9" ht="60.75" customHeight="1" x14ac:dyDescent="0.45">
      <c r="B41" t="s">
        <v>145</v>
      </c>
      <c r="C41" s="3" t="s">
        <v>123</v>
      </c>
      <c r="D41" s="4" t="s">
        <v>27</v>
      </c>
      <c r="E41" s="20">
        <v>0.3</v>
      </c>
      <c r="F41" s="20">
        <v>0.3</v>
      </c>
      <c r="G41" s="20">
        <v>0.3</v>
      </c>
      <c r="H41" s="20">
        <v>0.3</v>
      </c>
      <c r="I41" s="21">
        <f t="shared" si="14"/>
        <v>0.30000000000000004</v>
      </c>
    </row>
    <row r="42" spans="2:9" ht="60.75" customHeight="1" x14ac:dyDescent="0.45">
      <c r="B42" t="s">
        <v>145</v>
      </c>
      <c r="C42" s="3" t="s">
        <v>124</v>
      </c>
      <c r="D42" s="4" t="s">
        <v>27</v>
      </c>
      <c r="E42" s="20">
        <v>0</v>
      </c>
      <c r="F42" s="20">
        <v>0</v>
      </c>
      <c r="G42" s="20">
        <v>0</v>
      </c>
      <c r="H42" s="20">
        <v>0</v>
      </c>
      <c r="I42" s="21">
        <f t="shared" si="14"/>
        <v>0</v>
      </c>
    </row>
    <row r="43" spans="2:9" ht="60.75" customHeight="1" x14ac:dyDescent="0.45">
      <c r="B43" t="s">
        <v>145</v>
      </c>
      <c r="C43" s="3" t="s">
        <v>125</v>
      </c>
      <c r="D43" s="4" t="s">
        <v>27</v>
      </c>
      <c r="E43" s="20">
        <v>0.3</v>
      </c>
      <c r="F43" s="20">
        <v>0.3</v>
      </c>
      <c r="G43" s="20">
        <v>0.3</v>
      </c>
      <c r="H43" s="20">
        <v>0.3</v>
      </c>
      <c r="I43" s="21">
        <f t="shared" si="14"/>
        <v>0.30000000000000004</v>
      </c>
    </row>
  </sheetData>
  <mergeCells count="4">
    <mergeCell ref="C31:D31"/>
    <mergeCell ref="C18:D18"/>
    <mergeCell ref="C4:D4"/>
    <mergeCell ref="C5:D5"/>
  </mergeCells>
  <pageMargins left="0.75" right="0.75" top="1" bottom="1" header="0.5" footer="0.5"/>
  <pageSetup scale="1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E7C8-EACD-4E01-A18C-39746F4CBCEE}">
  <dimension ref="B1:BG186"/>
  <sheetViews>
    <sheetView view="pageBreakPreview" topLeftCell="A164" zoomScale="40" zoomScaleNormal="46" zoomScaleSheetLayoutView="40" workbookViewId="0">
      <selection activeCell="AQ14" sqref="AQ14"/>
    </sheetView>
  </sheetViews>
  <sheetFormatPr defaultRowHeight="24" x14ac:dyDescent="0.35"/>
  <cols>
    <col min="1" max="1" width="2.85546875" style="32" customWidth="1"/>
    <col min="2" max="2" width="21.28515625" style="32" customWidth="1"/>
    <col min="3" max="6" width="12.28515625" style="32" customWidth="1"/>
    <col min="7" max="7" width="15.42578125" style="32" customWidth="1"/>
    <col min="8" max="8" width="12.42578125" style="32" customWidth="1"/>
    <col min="9" max="9" width="11.42578125" style="32" customWidth="1"/>
    <col min="10" max="12" width="12.42578125" style="32" customWidth="1"/>
    <col min="13" max="16" width="13.42578125" style="32" customWidth="1"/>
    <col min="17" max="19" width="11.28515625" style="32" bestFit="1" customWidth="1"/>
    <col min="20" max="20" width="11.28515625" style="32" customWidth="1"/>
    <col min="21" max="24" width="10.85546875" style="32" customWidth="1"/>
    <col min="25" max="25" width="10.7109375" style="32" customWidth="1"/>
    <col min="26" max="30" width="11.28515625" style="32" customWidth="1"/>
    <col min="31" max="35" width="13.42578125" style="32" customWidth="1"/>
    <col min="36" max="37" width="12" style="32" customWidth="1"/>
    <col min="38" max="38" width="13.42578125" style="32" hidden="1" customWidth="1"/>
    <col min="39" max="43" width="12.85546875" style="32" customWidth="1"/>
    <col min="44" max="44" width="12" style="32" customWidth="1"/>
    <col min="45" max="45" width="13.28515625" style="32" customWidth="1"/>
    <col min="46" max="56" width="12" style="32" customWidth="1"/>
    <col min="57" max="57" width="18.85546875" style="32" customWidth="1"/>
    <col min="58" max="58" width="19.7109375" style="32" customWidth="1"/>
    <col min="59" max="59" width="66.85546875" style="33" customWidth="1"/>
    <col min="60" max="16384" width="9.140625" style="32"/>
  </cols>
  <sheetData>
    <row r="1" spans="2:59" ht="24.75" hidden="1" thickBot="1" x14ac:dyDescent="0.4">
      <c r="I1" s="32">
        <v>12</v>
      </c>
    </row>
    <row r="2" spans="2:59" ht="24.75" hidden="1" thickBot="1" x14ac:dyDescent="0.4">
      <c r="C2" s="240" t="s">
        <v>10</v>
      </c>
      <c r="D2" s="241"/>
      <c r="E2" s="242"/>
      <c r="F2" s="243"/>
      <c r="G2" s="34"/>
      <c r="H2" s="244" t="s">
        <v>48</v>
      </c>
      <c r="I2" s="241"/>
      <c r="J2" s="242"/>
      <c r="K2" s="242"/>
      <c r="L2" s="34"/>
      <c r="M2" s="240" t="s">
        <v>49</v>
      </c>
      <c r="N2" s="241"/>
      <c r="O2" s="242"/>
      <c r="P2" s="243"/>
      <c r="Q2" s="240" t="s">
        <v>50</v>
      </c>
      <c r="R2" s="241"/>
      <c r="S2" s="242"/>
      <c r="T2" s="243"/>
      <c r="U2" s="240" t="s">
        <v>51</v>
      </c>
      <c r="V2" s="241"/>
      <c r="W2" s="242"/>
      <c r="X2" s="243"/>
      <c r="Y2" s="34"/>
      <c r="Z2" s="235" t="s">
        <v>52</v>
      </c>
      <c r="AA2" s="231"/>
      <c r="AB2" s="231"/>
      <c r="AC2" s="232"/>
      <c r="AD2" s="34"/>
      <c r="AE2" s="231" t="s">
        <v>53</v>
      </c>
      <c r="AF2" s="231"/>
      <c r="AG2" s="231"/>
      <c r="AH2" s="231"/>
      <c r="AI2" s="34"/>
      <c r="AJ2" s="245" t="s">
        <v>54</v>
      </c>
      <c r="AK2" s="246"/>
      <c r="AL2" s="246"/>
      <c r="AM2" s="235" t="s">
        <v>55</v>
      </c>
      <c r="AN2" s="231"/>
      <c r="AO2" s="231"/>
      <c r="AP2" s="232"/>
      <c r="AQ2" s="34"/>
      <c r="AR2" s="235" t="s">
        <v>56</v>
      </c>
      <c r="AS2" s="231"/>
      <c r="AT2" s="231"/>
      <c r="AU2" s="232"/>
      <c r="AV2" s="34"/>
      <c r="AW2" s="238" t="s">
        <v>57</v>
      </c>
      <c r="AX2" s="234"/>
      <c r="AY2" s="239"/>
      <c r="AZ2" s="35"/>
      <c r="BA2" s="238"/>
      <c r="BB2" s="234"/>
      <c r="BC2" s="239"/>
      <c r="BD2" s="36"/>
    </row>
    <row r="3" spans="2:59" ht="30.75" hidden="1" thickBot="1" x14ac:dyDescent="0.4">
      <c r="C3" s="37" t="s">
        <v>58</v>
      </c>
      <c r="D3" s="38" t="s">
        <v>59</v>
      </c>
      <c r="E3" s="38" t="s">
        <v>60</v>
      </c>
      <c r="F3" s="39" t="s">
        <v>61</v>
      </c>
      <c r="G3" s="40"/>
      <c r="H3" s="41" t="s">
        <v>62</v>
      </c>
      <c r="I3" s="38" t="s">
        <v>63</v>
      </c>
      <c r="J3" s="38" t="s">
        <v>64</v>
      </c>
      <c r="K3" s="42" t="s">
        <v>65</v>
      </c>
      <c r="L3" s="40"/>
      <c r="M3" s="43" t="s">
        <v>66</v>
      </c>
      <c r="N3" s="38" t="s">
        <v>67</v>
      </c>
      <c r="O3" s="38" t="s">
        <v>68</v>
      </c>
      <c r="P3" s="44" t="s">
        <v>65</v>
      </c>
      <c r="Q3" s="43">
        <v>1</v>
      </c>
      <c r="R3" s="38">
        <v>2</v>
      </c>
      <c r="S3" s="38">
        <v>3</v>
      </c>
      <c r="T3" s="44">
        <v>4</v>
      </c>
      <c r="U3" s="43">
        <v>1</v>
      </c>
      <c r="V3" s="38">
        <v>2</v>
      </c>
      <c r="W3" s="38">
        <v>3</v>
      </c>
      <c r="X3" s="44">
        <v>4</v>
      </c>
      <c r="Y3" s="40"/>
      <c r="Z3" s="43" t="s">
        <v>62</v>
      </c>
      <c r="AA3" s="38" t="s">
        <v>67</v>
      </c>
      <c r="AB3" s="38" t="s">
        <v>68</v>
      </c>
      <c r="AC3" s="44" t="s">
        <v>65</v>
      </c>
      <c r="AD3" s="40"/>
      <c r="AE3" s="41" t="s">
        <v>69</v>
      </c>
      <c r="AF3" s="38" t="s">
        <v>62</v>
      </c>
      <c r="AG3" s="38" t="s">
        <v>67</v>
      </c>
      <c r="AH3" s="42" t="s">
        <v>65</v>
      </c>
      <c r="AI3" s="45"/>
      <c r="AJ3" s="46" t="s">
        <v>70</v>
      </c>
      <c r="AK3" s="47" t="s">
        <v>71</v>
      </c>
      <c r="AL3" s="48"/>
      <c r="AM3" s="43" t="s">
        <v>72</v>
      </c>
      <c r="AN3" s="38" t="s">
        <v>68</v>
      </c>
      <c r="AO3" s="38" t="s">
        <v>73</v>
      </c>
      <c r="AP3" s="44" t="s">
        <v>74</v>
      </c>
      <c r="AQ3" s="49"/>
      <c r="AR3" s="50" t="s">
        <v>75</v>
      </c>
      <c r="AS3" s="51" t="s">
        <v>76</v>
      </c>
      <c r="AT3" s="52" t="s">
        <v>64</v>
      </c>
      <c r="AU3" s="53" t="s">
        <v>77</v>
      </c>
      <c r="AV3" s="54"/>
      <c r="AW3" s="54" t="s">
        <v>70</v>
      </c>
      <c r="AX3" s="54" t="s">
        <v>11</v>
      </c>
      <c r="AY3" s="54" t="s">
        <v>78</v>
      </c>
      <c r="AZ3" s="54"/>
      <c r="BA3" s="52" t="s">
        <v>79</v>
      </c>
      <c r="BB3" s="55" t="s">
        <v>80</v>
      </c>
      <c r="BC3" s="53" t="s">
        <v>81</v>
      </c>
      <c r="BD3" s="49"/>
    </row>
    <row r="4" spans="2:59" ht="24.75" hidden="1" thickBot="1" x14ac:dyDescent="0.4">
      <c r="C4" s="32">
        <v>2</v>
      </c>
      <c r="D4" s="32">
        <v>4</v>
      </c>
      <c r="E4" s="32">
        <v>1</v>
      </c>
      <c r="F4" s="32">
        <v>2</v>
      </c>
      <c r="H4" s="32">
        <f>I1*0.16</f>
        <v>1.92</v>
      </c>
      <c r="I4" s="32">
        <f>I1*0.28</f>
        <v>3.3600000000000003</v>
      </c>
      <c r="J4" s="32">
        <f>I1*0.14</f>
        <v>1.6800000000000002</v>
      </c>
      <c r="K4" s="32">
        <f>I1*0.16</f>
        <v>1.92</v>
      </c>
      <c r="AK4" s="32">
        <f>I1*0.07</f>
        <v>0.84000000000000008</v>
      </c>
      <c r="AX4" s="32">
        <f>I1*0.12</f>
        <v>1.44</v>
      </c>
    </row>
    <row r="5" spans="2:59" ht="24.75" hidden="1" thickBot="1" x14ac:dyDescent="0.4"/>
    <row r="6" spans="2:59" ht="24.75" hidden="1" thickBot="1" x14ac:dyDescent="0.4"/>
    <row r="7" spans="2:59" ht="24.75" hidden="1" thickBot="1" x14ac:dyDescent="0.4"/>
    <row r="8" spans="2:59" ht="63" customHeight="1" thickBot="1" x14ac:dyDescent="0.4">
      <c r="B8" s="56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236"/>
      <c r="V8" s="236"/>
      <c r="W8" s="236"/>
      <c r="X8" s="236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237">
        <f ca="1">NOW()</f>
        <v>46010.868862731484</v>
      </c>
      <c r="AN8" s="236"/>
      <c r="AO8" s="236"/>
      <c r="AP8" s="236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236"/>
      <c r="BB8" s="236"/>
      <c r="BC8" s="60"/>
      <c r="BD8" s="60"/>
      <c r="BE8" s="247"/>
      <c r="BF8" s="247"/>
      <c r="BG8" s="61" t="s">
        <v>82</v>
      </c>
    </row>
    <row r="9" spans="2:59" ht="43.5" customHeight="1" thickBot="1" x14ac:dyDescent="0.35">
      <c r="B9" s="248" t="s">
        <v>83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50"/>
      <c r="N9" s="250"/>
      <c r="O9" s="250"/>
      <c r="P9" s="250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51"/>
      <c r="AT9" s="251"/>
      <c r="AU9" s="251"/>
      <c r="AV9" s="251"/>
      <c r="AW9" s="251"/>
      <c r="AX9" s="251"/>
      <c r="AY9" s="251"/>
      <c r="AZ9" s="251"/>
      <c r="BA9" s="251"/>
      <c r="BB9" s="251"/>
      <c r="BC9" s="251"/>
      <c r="BD9" s="251"/>
      <c r="BE9" s="251"/>
      <c r="BF9" s="251"/>
      <c r="BG9" s="252"/>
    </row>
    <row r="10" spans="2:59" ht="30" thickBot="1" x14ac:dyDescent="0.35">
      <c r="B10" s="256" t="s">
        <v>84</v>
      </c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  <c r="AL10" s="262"/>
      <c r="AM10" s="262"/>
      <c r="AN10" s="262"/>
      <c r="AO10" s="262"/>
      <c r="AP10" s="262"/>
      <c r="AQ10" s="262"/>
      <c r="AR10" s="262"/>
      <c r="AS10" s="262"/>
      <c r="AT10" s="262"/>
      <c r="AU10" s="262"/>
      <c r="AV10" s="262"/>
      <c r="AW10" s="262"/>
      <c r="AX10" s="262"/>
      <c r="AY10" s="262"/>
      <c r="AZ10" s="262"/>
      <c r="BA10" s="262"/>
      <c r="BB10" s="262"/>
      <c r="BC10" s="262"/>
      <c r="BD10" s="262"/>
      <c r="BE10" s="262"/>
      <c r="BF10" s="262"/>
      <c r="BG10" s="258"/>
    </row>
    <row r="11" spans="2:59" ht="30" customHeight="1" thickBot="1" x14ac:dyDescent="0.35">
      <c r="B11" s="62"/>
      <c r="C11" s="259" t="s">
        <v>85</v>
      </c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1"/>
      <c r="AQ11" s="63"/>
      <c r="AR11" s="259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61"/>
      <c r="BD11" s="64"/>
      <c r="BE11" s="65"/>
      <c r="BF11" s="66"/>
      <c r="BG11" s="67" t="s">
        <v>86</v>
      </c>
    </row>
    <row r="12" spans="2:59" ht="43.5" customHeight="1" thickBot="1" x14ac:dyDescent="0.35">
      <c r="B12" s="68"/>
      <c r="C12" s="240" t="s">
        <v>10</v>
      </c>
      <c r="D12" s="241"/>
      <c r="E12" s="242"/>
      <c r="F12" s="243"/>
      <c r="G12" s="69"/>
      <c r="H12" s="244" t="s">
        <v>48</v>
      </c>
      <c r="I12" s="241"/>
      <c r="J12" s="242"/>
      <c r="K12" s="242"/>
      <c r="L12" s="229" t="s">
        <v>179</v>
      </c>
      <c r="M12" s="240" t="s">
        <v>49</v>
      </c>
      <c r="N12" s="241"/>
      <c r="O12" s="242"/>
      <c r="P12" s="243"/>
      <c r="Q12" s="240" t="s">
        <v>50</v>
      </c>
      <c r="R12" s="241"/>
      <c r="S12" s="242"/>
      <c r="T12" s="243"/>
      <c r="U12" s="240" t="s">
        <v>51</v>
      </c>
      <c r="V12" s="241"/>
      <c r="W12" s="242"/>
      <c r="X12" s="242"/>
      <c r="Y12" s="229" t="s">
        <v>180</v>
      </c>
      <c r="Z12" s="235" t="s">
        <v>52</v>
      </c>
      <c r="AA12" s="231"/>
      <c r="AB12" s="231"/>
      <c r="AC12" s="231"/>
      <c r="AD12" s="229" t="s">
        <v>181</v>
      </c>
      <c r="AE12" s="231" t="s">
        <v>53</v>
      </c>
      <c r="AF12" s="231"/>
      <c r="AG12" s="231"/>
      <c r="AH12" s="231"/>
      <c r="AI12" s="229" t="s">
        <v>182</v>
      </c>
      <c r="AJ12" s="245" t="s">
        <v>54</v>
      </c>
      <c r="AK12" s="246"/>
      <c r="AL12" s="246"/>
      <c r="AM12" s="235" t="s">
        <v>55</v>
      </c>
      <c r="AN12" s="231"/>
      <c r="AO12" s="231"/>
      <c r="AP12" s="231"/>
      <c r="AQ12" s="229" t="s">
        <v>183</v>
      </c>
      <c r="AR12" s="231" t="s">
        <v>87</v>
      </c>
      <c r="AS12" s="231"/>
      <c r="AT12" s="231"/>
      <c r="AU12" s="232"/>
      <c r="AV12" s="229" t="s">
        <v>184</v>
      </c>
      <c r="AW12" s="234" t="s">
        <v>57</v>
      </c>
      <c r="AX12" s="234"/>
      <c r="AY12" s="234"/>
      <c r="AZ12" s="229" t="s">
        <v>185</v>
      </c>
      <c r="BA12" s="234" t="s">
        <v>186</v>
      </c>
      <c r="BB12" s="234"/>
      <c r="BC12" s="234"/>
      <c r="BD12" s="229" t="s">
        <v>187</v>
      </c>
      <c r="BE12" s="36"/>
      <c r="BF12" s="70"/>
      <c r="BG12" s="71"/>
    </row>
    <row r="13" spans="2:59" s="75" customFormat="1" ht="32.25" customHeight="1" thickBot="1" x14ac:dyDescent="0.3">
      <c r="B13" s="37" t="s">
        <v>88</v>
      </c>
      <c r="C13" s="37" t="s">
        <v>58</v>
      </c>
      <c r="D13" s="38" t="s">
        <v>59</v>
      </c>
      <c r="E13" s="38" t="s">
        <v>60</v>
      </c>
      <c r="F13" s="39" t="s">
        <v>89</v>
      </c>
      <c r="G13" s="72"/>
      <c r="H13" s="188" t="s">
        <v>62</v>
      </c>
      <c r="I13" s="189" t="s">
        <v>63</v>
      </c>
      <c r="J13" s="189" t="s">
        <v>64</v>
      </c>
      <c r="K13" s="190" t="s">
        <v>65</v>
      </c>
      <c r="L13" s="230"/>
      <c r="M13" s="43" t="s">
        <v>66</v>
      </c>
      <c r="N13" s="38" t="s">
        <v>67</v>
      </c>
      <c r="O13" s="38" t="s">
        <v>68</v>
      </c>
      <c r="P13" s="44" t="s">
        <v>65</v>
      </c>
      <c r="Q13" s="43">
        <v>1</v>
      </c>
      <c r="R13" s="38">
        <v>2</v>
      </c>
      <c r="S13" s="38">
        <v>3</v>
      </c>
      <c r="T13" s="44">
        <v>4</v>
      </c>
      <c r="U13" s="191">
        <v>1</v>
      </c>
      <c r="V13" s="189">
        <v>2</v>
      </c>
      <c r="W13" s="189">
        <v>3</v>
      </c>
      <c r="X13" s="190">
        <v>4</v>
      </c>
      <c r="Y13" s="230"/>
      <c r="Z13" s="191" t="s">
        <v>62</v>
      </c>
      <c r="AA13" s="189" t="s">
        <v>67</v>
      </c>
      <c r="AB13" s="189" t="s">
        <v>68</v>
      </c>
      <c r="AC13" s="190" t="s">
        <v>65</v>
      </c>
      <c r="AD13" s="230"/>
      <c r="AE13" s="188" t="s">
        <v>69</v>
      </c>
      <c r="AF13" s="189" t="s">
        <v>62</v>
      </c>
      <c r="AG13" s="189" t="s">
        <v>67</v>
      </c>
      <c r="AH13" s="190" t="s">
        <v>65</v>
      </c>
      <c r="AI13" s="233"/>
      <c r="AJ13" s="46" t="s">
        <v>70</v>
      </c>
      <c r="AK13" s="47" t="s">
        <v>71</v>
      </c>
      <c r="AL13" s="48"/>
      <c r="AM13" s="191" t="s">
        <v>72</v>
      </c>
      <c r="AN13" s="189" t="s">
        <v>68</v>
      </c>
      <c r="AO13" s="189" t="s">
        <v>73</v>
      </c>
      <c r="AP13" s="190" t="s">
        <v>74</v>
      </c>
      <c r="AQ13" s="230"/>
      <c r="AR13" s="192" t="s">
        <v>75</v>
      </c>
      <c r="AS13" s="193" t="s">
        <v>76</v>
      </c>
      <c r="AT13" s="194" t="s">
        <v>64</v>
      </c>
      <c r="AU13" s="195" t="s">
        <v>77</v>
      </c>
      <c r="AV13" s="233"/>
      <c r="AW13" s="196" t="s">
        <v>70</v>
      </c>
      <c r="AX13" s="197" t="s">
        <v>11</v>
      </c>
      <c r="AY13" s="197" t="s">
        <v>78</v>
      </c>
      <c r="AZ13" s="230"/>
      <c r="BA13" s="192" t="s">
        <v>79</v>
      </c>
      <c r="BB13" s="198" t="s">
        <v>80</v>
      </c>
      <c r="BC13" s="197" t="s">
        <v>188</v>
      </c>
      <c r="BD13" s="230"/>
      <c r="BE13" s="49"/>
      <c r="BF13" s="73" t="s">
        <v>90</v>
      </c>
      <c r="BG13" s="74" t="s">
        <v>91</v>
      </c>
    </row>
    <row r="14" spans="2:59" s="89" customFormat="1" ht="43.5" customHeight="1" x14ac:dyDescent="0.35">
      <c r="B14" s="76">
        <v>101</v>
      </c>
      <c r="C14" s="77">
        <v>1</v>
      </c>
      <c r="D14" s="78">
        <v>1</v>
      </c>
      <c r="E14" s="78">
        <v>1</v>
      </c>
      <c r="F14" s="199">
        <v>1</v>
      </c>
      <c r="G14" s="85">
        <f xml:space="preserve"> C14*45% + D14*45% + E14*5% + F14*5%</f>
        <v>1</v>
      </c>
      <c r="H14" s="200">
        <v>1</v>
      </c>
      <c r="I14" s="201">
        <v>1</v>
      </c>
      <c r="J14" s="202">
        <v>1</v>
      </c>
      <c r="K14" s="203">
        <v>1</v>
      </c>
      <c r="L14" s="85">
        <f xml:space="preserve"> H14*30% + I14*30% + J14*10% + K14*30%</f>
        <v>1</v>
      </c>
      <c r="M14" s="80">
        <v>1</v>
      </c>
      <c r="N14" s="81">
        <v>1</v>
      </c>
      <c r="O14" s="78">
        <v>1</v>
      </c>
      <c r="P14" s="84">
        <v>1</v>
      </c>
      <c r="Q14" s="83">
        <v>1</v>
      </c>
      <c r="R14" s="81">
        <v>1</v>
      </c>
      <c r="S14" s="78">
        <v>1</v>
      </c>
      <c r="T14" s="82">
        <v>0</v>
      </c>
      <c r="U14" s="140">
        <v>1</v>
      </c>
      <c r="V14" s="201">
        <v>1</v>
      </c>
      <c r="W14" s="202">
        <v>1</v>
      </c>
      <c r="X14" s="203">
        <v>0</v>
      </c>
      <c r="Y14" s="204">
        <f xml:space="preserve"> (U14*10% + V14*10% + W14*10% + X14*10%+ Q14*5% + R14*5% + S14*5% + T14*5%+M14*10% + N14*15% + O14*5% + P14*10%)/0.85</f>
        <v>1.0000000000000002</v>
      </c>
      <c r="Z14" s="140">
        <v>0.7</v>
      </c>
      <c r="AA14" s="201">
        <v>0.7</v>
      </c>
      <c r="AB14" s="202">
        <v>0.7</v>
      </c>
      <c r="AC14" s="203">
        <v>0.7</v>
      </c>
      <c r="AD14" s="85">
        <f xml:space="preserve"> Z14*45% + AA14*45% + AB14*5% + AC14*5%</f>
        <v>0.70000000000000007</v>
      </c>
      <c r="AE14" s="140">
        <v>1</v>
      </c>
      <c r="AF14" s="201">
        <v>0.5</v>
      </c>
      <c r="AG14" s="202">
        <v>1</v>
      </c>
      <c r="AH14" s="203">
        <v>0</v>
      </c>
      <c r="AI14" s="85">
        <f xml:space="preserve"> AE14*5% + AF14*30% + AG14*35% + AH14*30%</f>
        <v>0.55000000000000004</v>
      </c>
      <c r="AJ14" s="80">
        <v>1</v>
      </c>
      <c r="AK14" s="81">
        <v>1</v>
      </c>
      <c r="AL14" s="82"/>
      <c r="AM14" s="92">
        <v>1</v>
      </c>
      <c r="AN14" s="93">
        <v>1</v>
      </c>
      <c r="AO14" s="78">
        <v>0</v>
      </c>
      <c r="AP14" s="94">
        <v>0.95</v>
      </c>
      <c r="AQ14" s="205">
        <f xml:space="preserve"> AM14*15% + AN14*35% + AO14*15% + AP14*35%</f>
        <v>0.83250000000000002</v>
      </c>
      <c r="AR14" s="140">
        <v>1</v>
      </c>
      <c r="AS14" s="201">
        <v>0.5</v>
      </c>
      <c r="AT14" s="202">
        <v>0</v>
      </c>
      <c r="AU14" s="203">
        <v>1</v>
      </c>
      <c r="AV14" s="204">
        <f xml:space="preserve"> AR14*30% + AS14*30% + AT14*15% + AU14*25%</f>
        <v>0.7</v>
      </c>
      <c r="AW14" s="140">
        <v>1</v>
      </c>
      <c r="AX14" s="201">
        <v>0.8</v>
      </c>
      <c r="AY14" s="203">
        <v>0</v>
      </c>
      <c r="AZ14" s="204">
        <f t="shared" ref="AZ14:AZ29" si="0" xml:space="preserve">  AW14*30% + AX14*45% + AY14*25%</f>
        <v>0.66</v>
      </c>
      <c r="BA14" s="140">
        <v>0</v>
      </c>
      <c r="BB14" s="202">
        <v>0</v>
      </c>
      <c r="BC14" s="203">
        <v>0</v>
      </c>
      <c r="BD14" s="85">
        <f t="shared" ref="BD14:BD29" si="1" xml:space="preserve">  BA14*30% + BB14*45% + BC14*25%</f>
        <v>0</v>
      </c>
      <c r="BE14" s="86"/>
      <c r="BF14" s="87" t="e">
        <f t="shared" ref="BF14:BF29" si="2">(
(COUNTIF(B14:E14,"✓")/(COUNTIF(B14:E14,"✓")+COUNTIF(B14:E14,"x")))*0.2 +
(COUNTIF(F14:J14,"✓")/(COUNTIF(F14:J14,"✓")+COUNTIF(F14:J14,"x")))*0.15+
(COUNTIF(K14:O14,"✓")/(COUNTIF(K14:O14,"✓")+COUNTIF(K14:O14,"x")))*0.05 +
(COUNTIF(P14:S14,"✓")/(COUNTIF(P14:S14,"✓")+COUNTIF(P14:S14,"x")))*0.1 +
(COUNTIF(T14:W14,"✓")/(COUNTIF(T14:W14,"✓")+COUNTIF(T14:W14,"x")))*0.1 +
(COUNTIF(X14:AB14,"✓")/(COUNTIF(X14:AB14,"✓")+COUNTIF(X14:AB14,"x")))*0.1 +
(COUNTIF(AC14:AO14,"✓")/(COUNTIF(AC14:AO14,"✓")+COUNTIF(AC14:AO14,"x")))*0.1 +
(COUNTIF(AP14:AT14,"✓")/(COUNTIF(AP14:AT14,"✓")+COUNTIF(AP14:AT14,"x")))*0.05 +
(COUNTIF(AU14:BB14,"✓")/(COUNTIF(AU14:BB14,"✓")+COUNTIF(AU14:BB14,"x")))*0.1 +
(COUNTIF(BC14:BC14,"✓")/(COUNTIF(BC14:BC14,"✓")+COUNTIF(BC14:BC14,"x")))*0.05
)</f>
        <v>#DIV/0!</v>
      </c>
      <c r="BG14" s="88"/>
    </row>
    <row r="15" spans="2:59" s="96" customFormat="1" ht="43.5" customHeight="1" x14ac:dyDescent="0.35">
      <c r="B15" s="90">
        <v>102</v>
      </c>
      <c r="C15" s="77">
        <v>1</v>
      </c>
      <c r="D15" s="78">
        <v>1</v>
      </c>
      <c r="E15" s="78">
        <v>1</v>
      </c>
      <c r="F15" s="199">
        <v>1</v>
      </c>
      <c r="G15" s="91">
        <f t="shared" ref="G15:G29" si="3" xml:space="preserve"> C15*45% + D15*45% + E15*5% + F15*5%</f>
        <v>1</v>
      </c>
      <c r="H15" s="206">
        <v>1</v>
      </c>
      <c r="I15" s="93">
        <v>1</v>
      </c>
      <c r="J15" s="78">
        <v>1</v>
      </c>
      <c r="K15" s="94">
        <v>1</v>
      </c>
      <c r="L15" s="207">
        <f t="shared" ref="L15:L29" si="4" xml:space="preserve"> H15*30% + I15*30% + J15*10% + K15*30%</f>
        <v>1</v>
      </c>
      <c r="M15" s="80">
        <v>1</v>
      </c>
      <c r="N15" s="81">
        <v>1</v>
      </c>
      <c r="O15" s="78">
        <v>1</v>
      </c>
      <c r="P15" s="84">
        <v>1</v>
      </c>
      <c r="Q15" s="83">
        <v>1</v>
      </c>
      <c r="R15" s="81">
        <v>1</v>
      </c>
      <c r="S15" s="78">
        <v>1</v>
      </c>
      <c r="T15" s="82">
        <v>1</v>
      </c>
      <c r="U15" s="92">
        <v>1</v>
      </c>
      <c r="V15" s="93">
        <v>1</v>
      </c>
      <c r="W15" s="78">
        <v>1</v>
      </c>
      <c r="X15" s="94">
        <v>1</v>
      </c>
      <c r="Y15" s="205">
        <f xml:space="preserve"> (U15*10% + V15*10% + W15*10% + X15*10%+ Q15*5% + R15*5% + S15*5% + T15*5%+M15*10% + N15*15% + O15*5% + P15*10%)</f>
        <v>1.0000000000000002</v>
      </c>
      <c r="Z15" s="92">
        <v>0.7</v>
      </c>
      <c r="AA15" s="93">
        <v>0.7</v>
      </c>
      <c r="AB15" s="78">
        <v>0.7</v>
      </c>
      <c r="AC15" s="94">
        <v>0.7</v>
      </c>
      <c r="AD15" s="207">
        <f t="shared" ref="AD15:AD29" si="5" xml:space="preserve"> Z15*45% + AA15*45% + AB15*5% + AC15*5%</f>
        <v>0.70000000000000007</v>
      </c>
      <c r="AE15" s="92">
        <v>0.7</v>
      </c>
      <c r="AF15" s="93">
        <v>1</v>
      </c>
      <c r="AG15" s="78">
        <v>1</v>
      </c>
      <c r="AH15" s="94">
        <v>0</v>
      </c>
      <c r="AI15" s="207">
        <f t="shared" ref="AI15:AI29" si="6" xml:space="preserve"> AE15*5% + AF15*30% + AG15*35% + AH15*30%</f>
        <v>0.68499999999999994</v>
      </c>
      <c r="AJ15" s="206">
        <v>1</v>
      </c>
      <c r="AK15" s="93">
        <v>1</v>
      </c>
      <c r="AL15" s="94"/>
      <c r="AM15" s="92">
        <v>1</v>
      </c>
      <c r="AN15" s="93">
        <v>1</v>
      </c>
      <c r="AO15" s="78">
        <v>1</v>
      </c>
      <c r="AP15" s="94">
        <v>0.95</v>
      </c>
      <c r="AQ15" s="205">
        <f t="shared" ref="AQ15:AQ29" si="7" xml:space="preserve"> AM15*15% + AN15*35% + AO15*15% + AP15*35%</f>
        <v>0.98249999999999993</v>
      </c>
      <c r="AR15" s="92">
        <v>1</v>
      </c>
      <c r="AS15" s="93">
        <v>0.5</v>
      </c>
      <c r="AT15" s="78">
        <v>0</v>
      </c>
      <c r="AU15" s="94">
        <v>1</v>
      </c>
      <c r="AV15" s="205">
        <f t="shared" ref="AV15:AV29" si="8" xml:space="preserve"> AR15*30% + AS15*30% + AT15*15% + AU15*25%</f>
        <v>0.7</v>
      </c>
      <c r="AW15" s="92">
        <v>1</v>
      </c>
      <c r="AX15" s="93">
        <v>0.8</v>
      </c>
      <c r="AY15" s="94">
        <v>0</v>
      </c>
      <c r="AZ15" s="205">
        <f t="shared" si="0"/>
        <v>0.66</v>
      </c>
      <c r="BA15" s="92">
        <v>0</v>
      </c>
      <c r="BB15" s="78">
        <v>0</v>
      </c>
      <c r="BC15" s="94">
        <v>0</v>
      </c>
      <c r="BD15" s="207">
        <f t="shared" si="1"/>
        <v>0</v>
      </c>
      <c r="BE15" s="86"/>
      <c r="BF15" s="87" t="e">
        <f t="shared" si="2"/>
        <v>#DIV/0!</v>
      </c>
      <c r="BG15" s="95"/>
    </row>
    <row r="16" spans="2:59" s="89" customFormat="1" ht="43.5" customHeight="1" x14ac:dyDescent="0.35">
      <c r="B16" s="76">
        <v>103</v>
      </c>
      <c r="C16" s="77">
        <v>1</v>
      </c>
      <c r="D16" s="78">
        <v>1</v>
      </c>
      <c r="E16" s="78">
        <v>1</v>
      </c>
      <c r="F16" s="199">
        <v>1</v>
      </c>
      <c r="G16" s="91">
        <f t="shared" si="3"/>
        <v>1</v>
      </c>
      <c r="H16" s="206">
        <v>1</v>
      </c>
      <c r="I16" s="93">
        <v>1</v>
      </c>
      <c r="J16" s="78">
        <v>1</v>
      </c>
      <c r="K16" s="94">
        <v>1</v>
      </c>
      <c r="L16" s="207">
        <f t="shared" si="4"/>
        <v>1</v>
      </c>
      <c r="M16" s="80">
        <v>1</v>
      </c>
      <c r="N16" s="81">
        <v>1</v>
      </c>
      <c r="O16" s="78">
        <v>1</v>
      </c>
      <c r="P16" s="84">
        <v>1</v>
      </c>
      <c r="Q16" s="83">
        <v>1</v>
      </c>
      <c r="R16" s="81">
        <v>1</v>
      </c>
      <c r="S16" s="78">
        <v>1</v>
      </c>
      <c r="T16" s="82">
        <v>1</v>
      </c>
      <c r="U16" s="92">
        <v>1</v>
      </c>
      <c r="V16" s="93">
        <v>1</v>
      </c>
      <c r="W16" s="78">
        <v>1</v>
      </c>
      <c r="X16" s="94">
        <v>1</v>
      </c>
      <c r="Y16" s="205">
        <f t="shared" ref="Y16:Y29" si="9" xml:space="preserve"> (U16*10% + V16*10% + W16*10% + X16*10%+ Q16*5% + R16*5% + S16*5% + T16*5%+M16*10% + N16*15% + O16*5% + P16*10%)</f>
        <v>1.0000000000000002</v>
      </c>
      <c r="Z16" s="92">
        <v>0.7</v>
      </c>
      <c r="AA16" s="93">
        <v>0.7</v>
      </c>
      <c r="AB16" s="78">
        <v>0.7</v>
      </c>
      <c r="AC16" s="94">
        <v>0.7</v>
      </c>
      <c r="AD16" s="207">
        <f t="shared" si="5"/>
        <v>0.70000000000000007</v>
      </c>
      <c r="AE16" s="92">
        <v>1</v>
      </c>
      <c r="AF16" s="93">
        <v>1</v>
      </c>
      <c r="AG16" s="78">
        <v>1</v>
      </c>
      <c r="AH16" s="94">
        <v>1</v>
      </c>
      <c r="AI16" s="207">
        <f t="shared" si="6"/>
        <v>1</v>
      </c>
      <c r="AJ16" s="206">
        <v>1</v>
      </c>
      <c r="AK16" s="93">
        <v>1</v>
      </c>
      <c r="AL16" s="94"/>
      <c r="AM16" s="92">
        <v>1</v>
      </c>
      <c r="AN16" s="93">
        <v>1</v>
      </c>
      <c r="AO16" s="78">
        <v>1</v>
      </c>
      <c r="AP16" s="94">
        <v>0.95</v>
      </c>
      <c r="AQ16" s="205">
        <f t="shared" si="7"/>
        <v>0.98249999999999993</v>
      </c>
      <c r="AR16" s="92">
        <v>1</v>
      </c>
      <c r="AS16" s="93">
        <v>0.5</v>
      </c>
      <c r="AT16" s="78">
        <v>0</v>
      </c>
      <c r="AU16" s="94">
        <v>1</v>
      </c>
      <c r="AV16" s="205">
        <f t="shared" si="8"/>
        <v>0.7</v>
      </c>
      <c r="AW16" s="92">
        <v>1</v>
      </c>
      <c r="AX16" s="93">
        <v>0.8</v>
      </c>
      <c r="AY16" s="94">
        <v>0</v>
      </c>
      <c r="AZ16" s="205">
        <f t="shared" si="0"/>
        <v>0.66</v>
      </c>
      <c r="BA16" s="92">
        <v>0</v>
      </c>
      <c r="BB16" s="78">
        <v>0</v>
      </c>
      <c r="BC16" s="94">
        <v>0</v>
      </c>
      <c r="BD16" s="207">
        <f t="shared" si="1"/>
        <v>0</v>
      </c>
      <c r="BE16" s="86"/>
      <c r="BF16" s="87" t="e">
        <f t="shared" si="2"/>
        <v>#DIV/0!</v>
      </c>
      <c r="BG16" s="88"/>
    </row>
    <row r="17" spans="2:59" s="89" customFormat="1" ht="43.5" customHeight="1" x14ac:dyDescent="0.35">
      <c r="B17" s="76">
        <v>104</v>
      </c>
      <c r="C17" s="77">
        <v>1</v>
      </c>
      <c r="D17" s="78">
        <v>1</v>
      </c>
      <c r="E17" s="78">
        <v>1</v>
      </c>
      <c r="F17" s="199">
        <v>1</v>
      </c>
      <c r="G17" s="91">
        <f t="shared" si="3"/>
        <v>1</v>
      </c>
      <c r="H17" s="206">
        <v>1</v>
      </c>
      <c r="I17" s="93">
        <v>1</v>
      </c>
      <c r="J17" s="78">
        <v>1</v>
      </c>
      <c r="K17" s="94">
        <v>1</v>
      </c>
      <c r="L17" s="207">
        <f t="shared" si="4"/>
        <v>1</v>
      </c>
      <c r="M17" s="80">
        <v>1</v>
      </c>
      <c r="N17" s="81">
        <v>1</v>
      </c>
      <c r="O17" s="78">
        <v>1</v>
      </c>
      <c r="P17" s="84">
        <v>1</v>
      </c>
      <c r="Q17" s="83">
        <v>1</v>
      </c>
      <c r="R17" s="81">
        <v>1</v>
      </c>
      <c r="S17" s="78">
        <v>1</v>
      </c>
      <c r="T17" s="82">
        <v>1</v>
      </c>
      <c r="U17" s="92">
        <v>1</v>
      </c>
      <c r="V17" s="93">
        <v>1</v>
      </c>
      <c r="W17" s="78">
        <v>1</v>
      </c>
      <c r="X17" s="94">
        <v>1</v>
      </c>
      <c r="Y17" s="205">
        <f t="shared" si="9"/>
        <v>1.0000000000000002</v>
      </c>
      <c r="Z17" s="92">
        <v>0.5</v>
      </c>
      <c r="AA17" s="93">
        <v>0.5</v>
      </c>
      <c r="AB17" s="78">
        <v>0.5</v>
      </c>
      <c r="AC17" s="94">
        <v>0.5</v>
      </c>
      <c r="AD17" s="207">
        <f t="shared" si="5"/>
        <v>0.5</v>
      </c>
      <c r="AE17" s="92">
        <v>0.9</v>
      </c>
      <c r="AF17" s="93">
        <v>1</v>
      </c>
      <c r="AG17" s="78">
        <v>1</v>
      </c>
      <c r="AH17" s="94">
        <v>0</v>
      </c>
      <c r="AI17" s="207">
        <f t="shared" si="6"/>
        <v>0.69499999999999995</v>
      </c>
      <c r="AJ17" s="206">
        <v>1</v>
      </c>
      <c r="AK17" s="93">
        <v>1</v>
      </c>
      <c r="AL17" s="94"/>
      <c r="AM17" s="92">
        <v>1</v>
      </c>
      <c r="AN17" s="93">
        <v>1</v>
      </c>
      <c r="AO17" s="78">
        <v>1</v>
      </c>
      <c r="AP17" s="94">
        <v>0.95</v>
      </c>
      <c r="AQ17" s="205">
        <f t="shared" si="7"/>
        <v>0.98249999999999993</v>
      </c>
      <c r="AR17" s="92">
        <v>1</v>
      </c>
      <c r="AS17" s="93">
        <v>0.5</v>
      </c>
      <c r="AT17" s="78">
        <v>0</v>
      </c>
      <c r="AU17" s="94">
        <v>1</v>
      </c>
      <c r="AV17" s="205">
        <f t="shared" si="8"/>
        <v>0.7</v>
      </c>
      <c r="AW17" s="92">
        <v>1</v>
      </c>
      <c r="AX17" s="93">
        <v>0.8</v>
      </c>
      <c r="AY17" s="94">
        <v>0</v>
      </c>
      <c r="AZ17" s="205">
        <f t="shared" si="0"/>
        <v>0.66</v>
      </c>
      <c r="BA17" s="92">
        <v>0</v>
      </c>
      <c r="BB17" s="78">
        <v>0</v>
      </c>
      <c r="BC17" s="94">
        <v>0</v>
      </c>
      <c r="BD17" s="207">
        <f t="shared" si="1"/>
        <v>0</v>
      </c>
      <c r="BE17" s="86"/>
      <c r="BF17" s="87" t="e">
        <f t="shared" si="2"/>
        <v>#DIV/0!</v>
      </c>
      <c r="BG17" s="97"/>
    </row>
    <row r="18" spans="2:59" s="89" customFormat="1" ht="43.5" customHeight="1" x14ac:dyDescent="0.35">
      <c r="B18" s="90">
        <v>105</v>
      </c>
      <c r="C18" s="77">
        <v>1</v>
      </c>
      <c r="D18" s="78">
        <v>1</v>
      </c>
      <c r="E18" s="78">
        <v>1</v>
      </c>
      <c r="F18" s="199">
        <v>1</v>
      </c>
      <c r="G18" s="91">
        <f t="shared" si="3"/>
        <v>1</v>
      </c>
      <c r="H18" s="206">
        <v>1</v>
      </c>
      <c r="I18" s="93">
        <v>1</v>
      </c>
      <c r="J18" s="78">
        <v>1</v>
      </c>
      <c r="K18" s="94">
        <v>1</v>
      </c>
      <c r="L18" s="207">
        <f t="shared" si="4"/>
        <v>1</v>
      </c>
      <c r="M18" s="80">
        <v>1</v>
      </c>
      <c r="N18" s="81">
        <v>1</v>
      </c>
      <c r="O18" s="78">
        <v>1</v>
      </c>
      <c r="P18" s="84">
        <v>1</v>
      </c>
      <c r="Q18" s="83">
        <v>1</v>
      </c>
      <c r="R18" s="81">
        <v>1</v>
      </c>
      <c r="S18" s="78">
        <v>1</v>
      </c>
      <c r="T18" s="82">
        <v>1</v>
      </c>
      <c r="U18" s="92">
        <v>1</v>
      </c>
      <c r="V18" s="93">
        <v>1</v>
      </c>
      <c r="W18" s="78">
        <v>1</v>
      </c>
      <c r="X18" s="94">
        <v>1</v>
      </c>
      <c r="Y18" s="205">
        <f t="shared" si="9"/>
        <v>1.0000000000000002</v>
      </c>
      <c r="Z18" s="92">
        <v>0.7</v>
      </c>
      <c r="AA18" s="93">
        <v>0.7</v>
      </c>
      <c r="AB18" s="78">
        <v>0.7</v>
      </c>
      <c r="AC18" s="94">
        <v>0.7</v>
      </c>
      <c r="AD18" s="207">
        <f t="shared" si="5"/>
        <v>0.70000000000000007</v>
      </c>
      <c r="AE18" s="92">
        <v>1</v>
      </c>
      <c r="AF18" s="93">
        <v>0.7</v>
      </c>
      <c r="AG18" s="78">
        <v>0.9</v>
      </c>
      <c r="AH18" s="94">
        <v>0.7</v>
      </c>
      <c r="AI18" s="207">
        <f t="shared" si="6"/>
        <v>0.78499999999999992</v>
      </c>
      <c r="AJ18" s="206">
        <v>1</v>
      </c>
      <c r="AK18" s="93">
        <v>1</v>
      </c>
      <c r="AL18" s="94"/>
      <c r="AM18" s="92">
        <v>1</v>
      </c>
      <c r="AN18" s="93">
        <v>1</v>
      </c>
      <c r="AO18" s="78">
        <v>1</v>
      </c>
      <c r="AP18" s="94">
        <v>0.95</v>
      </c>
      <c r="AQ18" s="205">
        <f t="shared" si="7"/>
        <v>0.98249999999999993</v>
      </c>
      <c r="AR18" s="92">
        <v>1</v>
      </c>
      <c r="AS18" s="93">
        <v>0.5</v>
      </c>
      <c r="AT18" s="78">
        <v>0</v>
      </c>
      <c r="AU18" s="94">
        <v>1</v>
      </c>
      <c r="AV18" s="205">
        <f t="shared" si="8"/>
        <v>0.7</v>
      </c>
      <c r="AW18" s="92">
        <v>1</v>
      </c>
      <c r="AX18" s="93">
        <v>0.8</v>
      </c>
      <c r="AY18" s="94">
        <v>0</v>
      </c>
      <c r="AZ18" s="205">
        <f t="shared" si="0"/>
        <v>0.66</v>
      </c>
      <c r="BA18" s="92">
        <v>0</v>
      </c>
      <c r="BB18" s="78">
        <v>0</v>
      </c>
      <c r="BC18" s="94">
        <v>0</v>
      </c>
      <c r="BD18" s="207">
        <f t="shared" si="1"/>
        <v>0</v>
      </c>
      <c r="BE18" s="86"/>
      <c r="BF18" s="87" t="e">
        <f t="shared" si="2"/>
        <v>#DIV/0!</v>
      </c>
      <c r="BG18" s="98"/>
    </row>
    <row r="19" spans="2:59" s="89" customFormat="1" ht="43.5" customHeight="1" x14ac:dyDescent="0.35">
      <c r="B19" s="76">
        <v>106</v>
      </c>
      <c r="C19" s="77">
        <v>1</v>
      </c>
      <c r="D19" s="78">
        <v>1</v>
      </c>
      <c r="E19" s="78">
        <v>1</v>
      </c>
      <c r="F19" s="199">
        <v>1</v>
      </c>
      <c r="G19" s="91">
        <f t="shared" si="3"/>
        <v>1</v>
      </c>
      <c r="H19" s="206">
        <v>1</v>
      </c>
      <c r="I19" s="93">
        <v>1</v>
      </c>
      <c r="J19" s="78">
        <v>1</v>
      </c>
      <c r="K19" s="94">
        <v>1</v>
      </c>
      <c r="L19" s="207">
        <f t="shared" si="4"/>
        <v>1</v>
      </c>
      <c r="M19" s="80">
        <v>1</v>
      </c>
      <c r="N19" s="81">
        <v>1</v>
      </c>
      <c r="O19" s="78">
        <v>1</v>
      </c>
      <c r="P19" s="84">
        <v>1</v>
      </c>
      <c r="Q19" s="83">
        <v>1</v>
      </c>
      <c r="R19" s="81">
        <v>1</v>
      </c>
      <c r="S19" s="78">
        <v>1</v>
      </c>
      <c r="T19" s="82">
        <v>1</v>
      </c>
      <c r="U19" s="92">
        <v>1</v>
      </c>
      <c r="V19" s="93">
        <v>1</v>
      </c>
      <c r="W19" s="78">
        <v>1</v>
      </c>
      <c r="X19" s="94">
        <v>1</v>
      </c>
      <c r="Y19" s="205">
        <f t="shared" si="9"/>
        <v>1.0000000000000002</v>
      </c>
      <c r="Z19" s="92">
        <v>0.7</v>
      </c>
      <c r="AA19" s="93">
        <v>0.7</v>
      </c>
      <c r="AB19" s="78">
        <v>0.7</v>
      </c>
      <c r="AC19" s="94">
        <v>0.7</v>
      </c>
      <c r="AD19" s="207">
        <f t="shared" si="5"/>
        <v>0.70000000000000007</v>
      </c>
      <c r="AE19" s="92">
        <v>1</v>
      </c>
      <c r="AF19" s="93">
        <v>1</v>
      </c>
      <c r="AG19" s="78">
        <v>1</v>
      </c>
      <c r="AH19" s="94">
        <v>1</v>
      </c>
      <c r="AI19" s="207">
        <f t="shared" si="6"/>
        <v>1</v>
      </c>
      <c r="AJ19" s="206">
        <v>1</v>
      </c>
      <c r="AK19" s="93">
        <v>1</v>
      </c>
      <c r="AL19" s="94"/>
      <c r="AM19" s="92">
        <v>1</v>
      </c>
      <c r="AN19" s="93">
        <v>1</v>
      </c>
      <c r="AO19" s="78">
        <v>1</v>
      </c>
      <c r="AP19" s="94">
        <v>0.95</v>
      </c>
      <c r="AQ19" s="205">
        <f t="shared" si="7"/>
        <v>0.98249999999999993</v>
      </c>
      <c r="AR19" s="92">
        <v>1</v>
      </c>
      <c r="AS19" s="93">
        <v>0.5</v>
      </c>
      <c r="AT19" s="78">
        <v>1</v>
      </c>
      <c r="AU19" s="94">
        <v>1</v>
      </c>
      <c r="AV19" s="205">
        <f t="shared" si="8"/>
        <v>0.85</v>
      </c>
      <c r="AW19" s="92">
        <v>1</v>
      </c>
      <c r="AX19" s="93">
        <v>0.8</v>
      </c>
      <c r="AY19" s="94">
        <v>0</v>
      </c>
      <c r="AZ19" s="205">
        <f t="shared" si="0"/>
        <v>0.66</v>
      </c>
      <c r="BA19" s="92">
        <v>0</v>
      </c>
      <c r="BB19" s="78">
        <v>0</v>
      </c>
      <c r="BC19" s="94">
        <v>0</v>
      </c>
      <c r="BD19" s="207">
        <f t="shared" si="1"/>
        <v>0</v>
      </c>
      <c r="BE19" s="86"/>
      <c r="BF19" s="87" t="e">
        <f t="shared" si="2"/>
        <v>#DIV/0!</v>
      </c>
      <c r="BG19" s="99"/>
    </row>
    <row r="20" spans="2:59" s="89" customFormat="1" ht="43.5" customHeight="1" x14ac:dyDescent="0.35">
      <c r="B20" s="76">
        <v>107</v>
      </c>
      <c r="C20" s="77">
        <v>1</v>
      </c>
      <c r="D20" s="78">
        <v>1</v>
      </c>
      <c r="E20" s="78">
        <v>1</v>
      </c>
      <c r="F20" s="199">
        <v>1</v>
      </c>
      <c r="G20" s="91">
        <f t="shared" si="3"/>
        <v>1</v>
      </c>
      <c r="H20" s="206">
        <v>1</v>
      </c>
      <c r="I20" s="93">
        <v>1</v>
      </c>
      <c r="J20" s="78">
        <v>1</v>
      </c>
      <c r="K20" s="94">
        <v>1</v>
      </c>
      <c r="L20" s="207">
        <f t="shared" si="4"/>
        <v>1</v>
      </c>
      <c r="M20" s="80">
        <v>1</v>
      </c>
      <c r="N20" s="81">
        <v>1</v>
      </c>
      <c r="O20" s="78">
        <v>1</v>
      </c>
      <c r="P20" s="84">
        <v>1</v>
      </c>
      <c r="Q20" s="83">
        <v>1</v>
      </c>
      <c r="R20" s="81">
        <v>1</v>
      </c>
      <c r="S20" s="78">
        <v>1</v>
      </c>
      <c r="T20" s="82">
        <v>1</v>
      </c>
      <c r="U20" s="92">
        <v>1</v>
      </c>
      <c r="V20" s="93">
        <v>1</v>
      </c>
      <c r="W20" s="78">
        <v>1</v>
      </c>
      <c r="X20" s="94">
        <v>1</v>
      </c>
      <c r="Y20" s="205">
        <f t="shared" si="9"/>
        <v>1.0000000000000002</v>
      </c>
      <c r="Z20" s="92">
        <v>0.7</v>
      </c>
      <c r="AA20" s="93">
        <v>0.7</v>
      </c>
      <c r="AB20" s="78">
        <v>0.7</v>
      </c>
      <c r="AC20" s="94">
        <v>0.7</v>
      </c>
      <c r="AD20" s="207">
        <f t="shared" si="5"/>
        <v>0.70000000000000007</v>
      </c>
      <c r="AE20" s="92">
        <v>1</v>
      </c>
      <c r="AF20" s="93">
        <v>1</v>
      </c>
      <c r="AG20" s="78">
        <v>1</v>
      </c>
      <c r="AH20" s="94">
        <v>1</v>
      </c>
      <c r="AI20" s="207">
        <f t="shared" si="6"/>
        <v>1</v>
      </c>
      <c r="AJ20" s="206">
        <v>1</v>
      </c>
      <c r="AK20" s="93">
        <v>0</v>
      </c>
      <c r="AL20" s="94"/>
      <c r="AM20" s="92">
        <v>1</v>
      </c>
      <c r="AN20" s="93">
        <v>1</v>
      </c>
      <c r="AO20" s="78">
        <v>1</v>
      </c>
      <c r="AP20" s="94">
        <v>0.95</v>
      </c>
      <c r="AQ20" s="205">
        <f t="shared" si="7"/>
        <v>0.98249999999999993</v>
      </c>
      <c r="AR20" s="92">
        <v>1</v>
      </c>
      <c r="AS20" s="93">
        <v>0.5</v>
      </c>
      <c r="AT20" s="78">
        <v>0</v>
      </c>
      <c r="AU20" s="94">
        <v>1</v>
      </c>
      <c r="AV20" s="205">
        <f t="shared" si="8"/>
        <v>0.7</v>
      </c>
      <c r="AW20" s="92">
        <v>1</v>
      </c>
      <c r="AX20" s="93">
        <v>0.35</v>
      </c>
      <c r="AY20" s="94">
        <v>0</v>
      </c>
      <c r="AZ20" s="205">
        <f t="shared" si="0"/>
        <v>0.45750000000000002</v>
      </c>
      <c r="BA20" s="92">
        <v>0</v>
      </c>
      <c r="BB20" s="78">
        <v>0</v>
      </c>
      <c r="BC20" s="94">
        <v>0</v>
      </c>
      <c r="BD20" s="207">
        <f t="shared" si="1"/>
        <v>0</v>
      </c>
      <c r="BE20" s="86"/>
      <c r="BF20" s="87" t="e">
        <f t="shared" si="2"/>
        <v>#DIV/0!</v>
      </c>
      <c r="BG20" s="98"/>
    </row>
    <row r="21" spans="2:59" s="89" customFormat="1" ht="43.5" customHeight="1" x14ac:dyDescent="0.35">
      <c r="B21" s="90">
        <v>108</v>
      </c>
      <c r="C21" s="77">
        <v>1</v>
      </c>
      <c r="D21" s="78">
        <v>1</v>
      </c>
      <c r="E21" s="78">
        <v>1</v>
      </c>
      <c r="F21" s="199">
        <v>1</v>
      </c>
      <c r="G21" s="91">
        <f t="shared" si="3"/>
        <v>1</v>
      </c>
      <c r="H21" s="206">
        <v>1</v>
      </c>
      <c r="I21" s="93">
        <v>1</v>
      </c>
      <c r="J21" s="78">
        <v>1</v>
      </c>
      <c r="K21" s="94">
        <v>1</v>
      </c>
      <c r="L21" s="207">
        <f t="shared" si="4"/>
        <v>1</v>
      </c>
      <c r="M21" s="80">
        <v>1</v>
      </c>
      <c r="N21" s="81">
        <v>1</v>
      </c>
      <c r="O21" s="78">
        <v>1</v>
      </c>
      <c r="P21" s="84">
        <v>1</v>
      </c>
      <c r="Q21" s="83">
        <v>1</v>
      </c>
      <c r="R21" s="81">
        <v>1</v>
      </c>
      <c r="S21" s="78">
        <v>1</v>
      </c>
      <c r="T21" s="82">
        <v>1</v>
      </c>
      <c r="U21" s="92">
        <v>1</v>
      </c>
      <c r="V21" s="93">
        <v>1</v>
      </c>
      <c r="W21" s="78">
        <v>1</v>
      </c>
      <c r="X21" s="94">
        <v>1</v>
      </c>
      <c r="Y21" s="205">
        <f t="shared" si="9"/>
        <v>1.0000000000000002</v>
      </c>
      <c r="Z21" s="92">
        <v>0.8</v>
      </c>
      <c r="AA21" s="93">
        <v>0.8</v>
      </c>
      <c r="AB21" s="78">
        <v>0.8</v>
      </c>
      <c r="AC21" s="94">
        <v>0.8</v>
      </c>
      <c r="AD21" s="207">
        <f t="shared" si="5"/>
        <v>0.80000000000000016</v>
      </c>
      <c r="AE21" s="92">
        <v>1</v>
      </c>
      <c r="AF21" s="93">
        <v>1</v>
      </c>
      <c r="AG21" s="78">
        <v>1</v>
      </c>
      <c r="AH21" s="94">
        <v>1</v>
      </c>
      <c r="AI21" s="207">
        <f t="shared" si="6"/>
        <v>1</v>
      </c>
      <c r="AJ21" s="206">
        <v>1</v>
      </c>
      <c r="AK21" s="93">
        <v>1</v>
      </c>
      <c r="AL21" s="94"/>
      <c r="AM21" s="92">
        <v>1</v>
      </c>
      <c r="AN21" s="93">
        <v>1</v>
      </c>
      <c r="AO21" s="78">
        <v>1</v>
      </c>
      <c r="AP21" s="94">
        <v>0.95</v>
      </c>
      <c r="AQ21" s="205">
        <f t="shared" si="7"/>
        <v>0.98249999999999993</v>
      </c>
      <c r="AR21" s="92">
        <v>1</v>
      </c>
      <c r="AS21" s="93">
        <v>0.5</v>
      </c>
      <c r="AT21" s="78">
        <v>1</v>
      </c>
      <c r="AU21" s="94">
        <v>1</v>
      </c>
      <c r="AV21" s="205">
        <f t="shared" si="8"/>
        <v>0.85</v>
      </c>
      <c r="AW21" s="92">
        <v>1</v>
      </c>
      <c r="AX21" s="93">
        <v>0.35</v>
      </c>
      <c r="AY21" s="94">
        <v>0</v>
      </c>
      <c r="AZ21" s="205">
        <f t="shared" si="0"/>
        <v>0.45750000000000002</v>
      </c>
      <c r="BA21" s="92">
        <v>0</v>
      </c>
      <c r="BB21" s="78">
        <v>0</v>
      </c>
      <c r="BC21" s="94">
        <v>0</v>
      </c>
      <c r="BD21" s="207">
        <f t="shared" si="1"/>
        <v>0</v>
      </c>
      <c r="BE21" s="86"/>
      <c r="BF21" s="87" t="e">
        <f t="shared" si="2"/>
        <v>#DIV/0!</v>
      </c>
      <c r="BG21" s="99"/>
    </row>
    <row r="22" spans="2:59" s="89" customFormat="1" ht="43.5" customHeight="1" x14ac:dyDescent="0.35">
      <c r="B22" s="76">
        <v>109</v>
      </c>
      <c r="C22" s="77">
        <v>1</v>
      </c>
      <c r="D22" s="78">
        <v>1</v>
      </c>
      <c r="E22" s="78">
        <v>1</v>
      </c>
      <c r="F22" s="199">
        <v>1</v>
      </c>
      <c r="G22" s="91">
        <f t="shared" si="3"/>
        <v>1</v>
      </c>
      <c r="H22" s="206">
        <v>1</v>
      </c>
      <c r="I22" s="93">
        <v>1</v>
      </c>
      <c r="J22" s="78">
        <v>1</v>
      </c>
      <c r="K22" s="94">
        <v>1</v>
      </c>
      <c r="L22" s="207">
        <f t="shared" si="4"/>
        <v>1</v>
      </c>
      <c r="M22" s="80">
        <v>1</v>
      </c>
      <c r="N22" s="81">
        <v>1</v>
      </c>
      <c r="O22" s="78">
        <v>1</v>
      </c>
      <c r="P22" s="84">
        <v>1</v>
      </c>
      <c r="Q22" s="83">
        <v>1</v>
      </c>
      <c r="R22" s="81">
        <v>1</v>
      </c>
      <c r="S22" s="78">
        <v>1</v>
      </c>
      <c r="T22" s="82">
        <v>1</v>
      </c>
      <c r="U22" s="92">
        <v>1</v>
      </c>
      <c r="V22" s="93">
        <v>1</v>
      </c>
      <c r="W22" s="78">
        <v>1</v>
      </c>
      <c r="X22" s="94">
        <v>1</v>
      </c>
      <c r="Y22" s="205">
        <f t="shared" si="9"/>
        <v>1.0000000000000002</v>
      </c>
      <c r="Z22" s="92">
        <v>0.7</v>
      </c>
      <c r="AA22" s="93">
        <v>0.7</v>
      </c>
      <c r="AB22" s="78">
        <v>0.7</v>
      </c>
      <c r="AC22" s="94">
        <v>0.7</v>
      </c>
      <c r="AD22" s="207">
        <f t="shared" si="5"/>
        <v>0.70000000000000007</v>
      </c>
      <c r="AE22" s="92">
        <v>1</v>
      </c>
      <c r="AF22" s="93">
        <v>1</v>
      </c>
      <c r="AG22" s="78">
        <v>1</v>
      </c>
      <c r="AH22" s="94">
        <v>1</v>
      </c>
      <c r="AI22" s="207">
        <f t="shared" si="6"/>
        <v>1</v>
      </c>
      <c r="AJ22" s="206">
        <v>1</v>
      </c>
      <c r="AK22" s="93">
        <v>1</v>
      </c>
      <c r="AL22" s="94"/>
      <c r="AM22" s="92">
        <v>1</v>
      </c>
      <c r="AN22" s="93">
        <v>1</v>
      </c>
      <c r="AO22" s="78">
        <v>1</v>
      </c>
      <c r="AP22" s="94">
        <v>0.95</v>
      </c>
      <c r="AQ22" s="205">
        <f t="shared" si="7"/>
        <v>0.98249999999999993</v>
      </c>
      <c r="AR22" s="92">
        <v>1</v>
      </c>
      <c r="AS22" s="93">
        <v>0.5</v>
      </c>
      <c r="AT22" s="78">
        <v>0</v>
      </c>
      <c r="AU22" s="94">
        <v>1</v>
      </c>
      <c r="AV22" s="205">
        <f t="shared" si="8"/>
        <v>0.7</v>
      </c>
      <c r="AW22" s="92">
        <v>1</v>
      </c>
      <c r="AX22" s="93">
        <v>0.35</v>
      </c>
      <c r="AY22" s="94">
        <v>0</v>
      </c>
      <c r="AZ22" s="205">
        <f t="shared" si="0"/>
        <v>0.45750000000000002</v>
      </c>
      <c r="BA22" s="92">
        <v>0</v>
      </c>
      <c r="BB22" s="78">
        <v>0</v>
      </c>
      <c r="BC22" s="94">
        <v>0</v>
      </c>
      <c r="BD22" s="207">
        <f t="shared" si="1"/>
        <v>0</v>
      </c>
      <c r="BE22" s="86"/>
      <c r="BF22" s="87" t="e">
        <f t="shared" si="2"/>
        <v>#DIV/0!</v>
      </c>
      <c r="BG22" s="100"/>
    </row>
    <row r="23" spans="2:59" s="89" customFormat="1" ht="43.5" customHeight="1" x14ac:dyDescent="0.35">
      <c r="B23" s="76">
        <v>110</v>
      </c>
      <c r="C23" s="77">
        <v>1</v>
      </c>
      <c r="D23" s="78">
        <v>1</v>
      </c>
      <c r="E23" s="78">
        <v>1</v>
      </c>
      <c r="F23" s="199">
        <v>1</v>
      </c>
      <c r="G23" s="91">
        <f t="shared" si="3"/>
        <v>1</v>
      </c>
      <c r="H23" s="206">
        <v>1</v>
      </c>
      <c r="I23" s="93">
        <v>1</v>
      </c>
      <c r="J23" s="78">
        <v>1</v>
      </c>
      <c r="K23" s="94">
        <v>1</v>
      </c>
      <c r="L23" s="207">
        <f t="shared" si="4"/>
        <v>1</v>
      </c>
      <c r="M23" s="80">
        <v>1</v>
      </c>
      <c r="N23" s="81">
        <v>1</v>
      </c>
      <c r="O23" s="78">
        <v>1</v>
      </c>
      <c r="P23" s="84">
        <v>1</v>
      </c>
      <c r="Q23" s="83">
        <v>1</v>
      </c>
      <c r="R23" s="81">
        <v>1</v>
      </c>
      <c r="S23" s="78">
        <v>1</v>
      </c>
      <c r="T23" s="82">
        <v>1</v>
      </c>
      <c r="U23" s="92">
        <v>1</v>
      </c>
      <c r="V23" s="93">
        <v>1</v>
      </c>
      <c r="W23" s="78">
        <v>1</v>
      </c>
      <c r="X23" s="94">
        <v>1</v>
      </c>
      <c r="Y23" s="205">
        <f t="shared" si="9"/>
        <v>1.0000000000000002</v>
      </c>
      <c r="Z23" s="92">
        <v>0.8</v>
      </c>
      <c r="AA23" s="93">
        <v>0.8</v>
      </c>
      <c r="AB23" s="78">
        <v>0.8</v>
      </c>
      <c r="AC23" s="94">
        <v>0.8</v>
      </c>
      <c r="AD23" s="207">
        <f t="shared" si="5"/>
        <v>0.80000000000000016</v>
      </c>
      <c r="AE23" s="92">
        <v>1</v>
      </c>
      <c r="AF23" s="93">
        <v>0.7</v>
      </c>
      <c r="AG23" s="78">
        <v>1</v>
      </c>
      <c r="AH23" s="94">
        <v>1</v>
      </c>
      <c r="AI23" s="207">
        <f t="shared" si="6"/>
        <v>0.90999999999999992</v>
      </c>
      <c r="AJ23" s="206">
        <v>1</v>
      </c>
      <c r="AK23" s="93">
        <v>1</v>
      </c>
      <c r="AL23" s="94"/>
      <c r="AM23" s="92">
        <v>1</v>
      </c>
      <c r="AN23" s="93">
        <v>1</v>
      </c>
      <c r="AO23" s="78">
        <v>1</v>
      </c>
      <c r="AP23" s="94">
        <v>0.95</v>
      </c>
      <c r="AQ23" s="205">
        <f t="shared" si="7"/>
        <v>0.98249999999999993</v>
      </c>
      <c r="AR23" s="92">
        <v>1</v>
      </c>
      <c r="AS23" s="93">
        <v>0.5</v>
      </c>
      <c r="AT23" s="78">
        <v>0</v>
      </c>
      <c r="AU23" s="94">
        <v>1</v>
      </c>
      <c r="AV23" s="205">
        <f t="shared" si="8"/>
        <v>0.7</v>
      </c>
      <c r="AW23" s="92">
        <v>1</v>
      </c>
      <c r="AX23" s="93">
        <v>0.35</v>
      </c>
      <c r="AY23" s="94">
        <v>0</v>
      </c>
      <c r="AZ23" s="205">
        <f t="shared" si="0"/>
        <v>0.45750000000000002</v>
      </c>
      <c r="BA23" s="92">
        <v>0</v>
      </c>
      <c r="BB23" s="78">
        <v>1</v>
      </c>
      <c r="BC23" s="94">
        <v>0</v>
      </c>
      <c r="BD23" s="207">
        <f t="shared" si="1"/>
        <v>0.45</v>
      </c>
      <c r="BE23" s="86"/>
      <c r="BF23" s="87" t="e">
        <f t="shared" si="2"/>
        <v>#DIV/0!</v>
      </c>
      <c r="BG23" s="98"/>
    </row>
    <row r="24" spans="2:59" s="89" customFormat="1" ht="43.5" customHeight="1" x14ac:dyDescent="0.35">
      <c r="B24" s="90">
        <v>111</v>
      </c>
      <c r="C24" s="77">
        <v>1</v>
      </c>
      <c r="D24" s="78">
        <v>1</v>
      </c>
      <c r="E24" s="78">
        <v>1</v>
      </c>
      <c r="F24" s="199">
        <v>1</v>
      </c>
      <c r="G24" s="91">
        <f t="shared" si="3"/>
        <v>1</v>
      </c>
      <c r="H24" s="206">
        <v>1</v>
      </c>
      <c r="I24" s="93">
        <v>1</v>
      </c>
      <c r="J24" s="78">
        <v>1</v>
      </c>
      <c r="K24" s="94">
        <v>1</v>
      </c>
      <c r="L24" s="207">
        <f t="shared" si="4"/>
        <v>1</v>
      </c>
      <c r="M24" s="80">
        <v>1</v>
      </c>
      <c r="N24" s="81">
        <v>1</v>
      </c>
      <c r="O24" s="78">
        <v>1</v>
      </c>
      <c r="P24" s="84">
        <v>1</v>
      </c>
      <c r="Q24" s="83">
        <v>1</v>
      </c>
      <c r="R24" s="81">
        <v>1</v>
      </c>
      <c r="S24" s="78">
        <v>1</v>
      </c>
      <c r="T24" s="82">
        <v>1</v>
      </c>
      <c r="U24" s="92">
        <v>1</v>
      </c>
      <c r="V24" s="93">
        <v>1</v>
      </c>
      <c r="W24" s="78">
        <v>1</v>
      </c>
      <c r="X24" s="94">
        <v>1</v>
      </c>
      <c r="Y24" s="205">
        <f t="shared" si="9"/>
        <v>1.0000000000000002</v>
      </c>
      <c r="Z24" s="92">
        <v>0.7</v>
      </c>
      <c r="AA24" s="93">
        <v>0.7</v>
      </c>
      <c r="AB24" s="78">
        <v>0.7</v>
      </c>
      <c r="AC24" s="94">
        <v>0.7</v>
      </c>
      <c r="AD24" s="207">
        <f t="shared" si="5"/>
        <v>0.70000000000000007</v>
      </c>
      <c r="AE24" s="92">
        <v>1</v>
      </c>
      <c r="AF24" s="93">
        <v>0.7</v>
      </c>
      <c r="AG24" s="78">
        <v>1</v>
      </c>
      <c r="AH24" s="94">
        <v>1</v>
      </c>
      <c r="AI24" s="207">
        <f t="shared" si="6"/>
        <v>0.90999999999999992</v>
      </c>
      <c r="AJ24" s="206">
        <v>1</v>
      </c>
      <c r="AK24" s="93">
        <v>1</v>
      </c>
      <c r="AL24" s="94"/>
      <c r="AM24" s="92">
        <v>1</v>
      </c>
      <c r="AN24" s="93">
        <v>1</v>
      </c>
      <c r="AO24" s="78">
        <v>1</v>
      </c>
      <c r="AP24" s="94">
        <v>0.95</v>
      </c>
      <c r="AQ24" s="205">
        <f t="shared" si="7"/>
        <v>0.98249999999999993</v>
      </c>
      <c r="AR24" s="92">
        <v>1</v>
      </c>
      <c r="AS24" s="93">
        <v>0.5</v>
      </c>
      <c r="AT24" s="78">
        <v>0</v>
      </c>
      <c r="AU24" s="94">
        <v>1</v>
      </c>
      <c r="AV24" s="205">
        <f t="shared" si="8"/>
        <v>0.7</v>
      </c>
      <c r="AW24" s="92">
        <v>1</v>
      </c>
      <c r="AX24" s="93">
        <v>0.35</v>
      </c>
      <c r="AY24" s="94">
        <v>0</v>
      </c>
      <c r="AZ24" s="205">
        <f t="shared" si="0"/>
        <v>0.45750000000000002</v>
      </c>
      <c r="BA24" s="92">
        <v>0</v>
      </c>
      <c r="BB24" s="78">
        <v>0</v>
      </c>
      <c r="BC24" s="94">
        <v>0</v>
      </c>
      <c r="BD24" s="207">
        <f t="shared" si="1"/>
        <v>0</v>
      </c>
      <c r="BE24" s="86"/>
      <c r="BF24" s="87" t="e">
        <f t="shared" si="2"/>
        <v>#DIV/0!</v>
      </c>
      <c r="BG24" s="97"/>
    </row>
    <row r="25" spans="2:59" s="89" customFormat="1" ht="43.5" customHeight="1" x14ac:dyDescent="0.35">
      <c r="B25" s="76">
        <v>112</v>
      </c>
      <c r="C25" s="77">
        <v>1</v>
      </c>
      <c r="D25" s="78">
        <v>1</v>
      </c>
      <c r="E25" s="78">
        <v>1</v>
      </c>
      <c r="F25" s="199">
        <v>1</v>
      </c>
      <c r="G25" s="91">
        <f t="shared" si="3"/>
        <v>1</v>
      </c>
      <c r="H25" s="206">
        <v>1</v>
      </c>
      <c r="I25" s="93">
        <v>1</v>
      </c>
      <c r="J25" s="78">
        <v>1</v>
      </c>
      <c r="K25" s="94">
        <v>1</v>
      </c>
      <c r="L25" s="207">
        <f t="shared" si="4"/>
        <v>1</v>
      </c>
      <c r="M25" s="80">
        <v>1</v>
      </c>
      <c r="N25" s="81">
        <v>1</v>
      </c>
      <c r="O25" s="78">
        <v>1</v>
      </c>
      <c r="P25" s="84">
        <v>1</v>
      </c>
      <c r="Q25" s="83">
        <v>1</v>
      </c>
      <c r="R25" s="81">
        <v>1</v>
      </c>
      <c r="S25" s="78">
        <v>1</v>
      </c>
      <c r="T25" s="82">
        <v>1</v>
      </c>
      <c r="U25" s="92">
        <v>1</v>
      </c>
      <c r="V25" s="93">
        <v>1</v>
      </c>
      <c r="W25" s="78">
        <v>1</v>
      </c>
      <c r="X25" s="94">
        <v>1</v>
      </c>
      <c r="Y25" s="205">
        <f t="shared" si="9"/>
        <v>1.0000000000000002</v>
      </c>
      <c r="Z25" s="92">
        <v>0.8</v>
      </c>
      <c r="AA25" s="93">
        <v>0.8</v>
      </c>
      <c r="AB25" s="78">
        <v>0.8</v>
      </c>
      <c r="AC25" s="94">
        <v>0.8</v>
      </c>
      <c r="AD25" s="207">
        <f t="shared" si="5"/>
        <v>0.80000000000000016</v>
      </c>
      <c r="AE25" s="92">
        <v>1</v>
      </c>
      <c r="AF25" s="93">
        <v>1</v>
      </c>
      <c r="AG25" s="78">
        <v>1</v>
      </c>
      <c r="AH25" s="94">
        <v>1</v>
      </c>
      <c r="AI25" s="207">
        <f t="shared" si="6"/>
        <v>1</v>
      </c>
      <c r="AJ25" s="206">
        <v>1</v>
      </c>
      <c r="AK25" s="93">
        <v>1</v>
      </c>
      <c r="AL25" s="94"/>
      <c r="AM25" s="92">
        <v>1</v>
      </c>
      <c r="AN25" s="93">
        <v>1</v>
      </c>
      <c r="AO25" s="78">
        <v>1</v>
      </c>
      <c r="AP25" s="94">
        <v>1</v>
      </c>
      <c r="AQ25" s="205">
        <f t="shared" si="7"/>
        <v>1</v>
      </c>
      <c r="AR25" s="92">
        <v>1</v>
      </c>
      <c r="AS25" s="93">
        <v>0.5</v>
      </c>
      <c r="AT25" s="78">
        <v>0</v>
      </c>
      <c r="AU25" s="94">
        <v>1</v>
      </c>
      <c r="AV25" s="205">
        <f t="shared" si="8"/>
        <v>0.7</v>
      </c>
      <c r="AW25" s="92">
        <v>1</v>
      </c>
      <c r="AX25" s="93">
        <v>0.35</v>
      </c>
      <c r="AY25" s="94">
        <v>0</v>
      </c>
      <c r="AZ25" s="205">
        <f t="shared" si="0"/>
        <v>0.45750000000000002</v>
      </c>
      <c r="BA25" s="92">
        <v>0</v>
      </c>
      <c r="BB25" s="78">
        <v>0</v>
      </c>
      <c r="BC25" s="94">
        <v>0</v>
      </c>
      <c r="BD25" s="207">
        <f t="shared" si="1"/>
        <v>0</v>
      </c>
      <c r="BE25" s="86"/>
      <c r="BF25" s="87" t="e">
        <f t="shared" si="2"/>
        <v>#DIV/0!</v>
      </c>
      <c r="BG25" s="97"/>
    </row>
    <row r="26" spans="2:59" s="89" customFormat="1" ht="43.5" customHeight="1" x14ac:dyDescent="0.35">
      <c r="B26" s="76">
        <v>113</v>
      </c>
      <c r="C26" s="77">
        <v>1</v>
      </c>
      <c r="D26" s="78">
        <v>1</v>
      </c>
      <c r="E26" s="78">
        <v>1</v>
      </c>
      <c r="F26" s="199">
        <v>1</v>
      </c>
      <c r="G26" s="91">
        <f t="shared" si="3"/>
        <v>1</v>
      </c>
      <c r="H26" s="206">
        <v>1</v>
      </c>
      <c r="I26" s="93">
        <v>1</v>
      </c>
      <c r="J26" s="78">
        <v>1</v>
      </c>
      <c r="K26" s="94">
        <v>1</v>
      </c>
      <c r="L26" s="207">
        <f t="shared" si="4"/>
        <v>1</v>
      </c>
      <c r="M26" s="80">
        <v>1</v>
      </c>
      <c r="N26" s="81">
        <v>1</v>
      </c>
      <c r="O26" s="78">
        <v>1</v>
      </c>
      <c r="P26" s="84">
        <v>1</v>
      </c>
      <c r="Q26" s="83">
        <v>1</v>
      </c>
      <c r="R26" s="81">
        <v>1</v>
      </c>
      <c r="S26" s="78">
        <v>1</v>
      </c>
      <c r="T26" s="82">
        <v>0</v>
      </c>
      <c r="U26" s="92">
        <v>1</v>
      </c>
      <c r="V26" s="93">
        <v>1</v>
      </c>
      <c r="W26" s="78">
        <v>1</v>
      </c>
      <c r="X26" s="94">
        <v>0</v>
      </c>
      <c r="Y26" s="205">
        <f xml:space="preserve"> (U26*10% + V26*10% + W26*10% + Q26*15% + R26*5% + S26*5% +M26*15% + N26*15% + O26*5% + P26*10%)</f>
        <v>1.0000000000000002</v>
      </c>
      <c r="Z26" s="92">
        <v>0.7</v>
      </c>
      <c r="AA26" s="93">
        <v>0.7</v>
      </c>
      <c r="AB26" s="78">
        <v>0.7</v>
      </c>
      <c r="AC26" s="94">
        <v>0.7</v>
      </c>
      <c r="AD26" s="207">
        <f t="shared" si="5"/>
        <v>0.70000000000000007</v>
      </c>
      <c r="AE26" s="92">
        <v>1</v>
      </c>
      <c r="AF26" s="93">
        <v>1</v>
      </c>
      <c r="AG26" s="78">
        <v>1</v>
      </c>
      <c r="AH26" s="94">
        <v>1</v>
      </c>
      <c r="AI26" s="207">
        <f t="shared" si="6"/>
        <v>1</v>
      </c>
      <c r="AJ26" s="206">
        <v>1</v>
      </c>
      <c r="AK26" s="93">
        <v>1</v>
      </c>
      <c r="AL26" s="94"/>
      <c r="AM26" s="92">
        <v>0</v>
      </c>
      <c r="AN26" s="93">
        <v>1</v>
      </c>
      <c r="AO26" s="78">
        <v>1</v>
      </c>
      <c r="AP26" s="94">
        <v>0.95</v>
      </c>
      <c r="AQ26" s="205">
        <f t="shared" si="7"/>
        <v>0.83250000000000002</v>
      </c>
      <c r="AR26" s="92">
        <v>1</v>
      </c>
      <c r="AS26" s="93">
        <v>0.5</v>
      </c>
      <c r="AT26" s="78">
        <v>0</v>
      </c>
      <c r="AU26" s="94">
        <v>1</v>
      </c>
      <c r="AV26" s="205">
        <f t="shared" si="8"/>
        <v>0.7</v>
      </c>
      <c r="AW26" s="92">
        <v>1</v>
      </c>
      <c r="AX26" s="93">
        <v>0.35</v>
      </c>
      <c r="AY26" s="94">
        <v>0</v>
      </c>
      <c r="AZ26" s="205">
        <f t="shared" si="0"/>
        <v>0.45750000000000002</v>
      </c>
      <c r="BA26" s="92">
        <v>0</v>
      </c>
      <c r="BB26" s="78">
        <v>0</v>
      </c>
      <c r="BC26" s="94">
        <v>0</v>
      </c>
      <c r="BD26" s="207">
        <f t="shared" si="1"/>
        <v>0</v>
      </c>
      <c r="BE26" s="86"/>
      <c r="BF26" s="87" t="e">
        <f t="shared" si="2"/>
        <v>#DIV/0!</v>
      </c>
      <c r="BG26" s="100"/>
    </row>
    <row r="27" spans="2:59" s="89" customFormat="1" ht="43.5" customHeight="1" x14ac:dyDescent="0.35">
      <c r="B27" s="90">
        <v>114</v>
      </c>
      <c r="C27" s="77">
        <v>1</v>
      </c>
      <c r="D27" s="78">
        <v>1</v>
      </c>
      <c r="E27" s="78">
        <v>1</v>
      </c>
      <c r="F27" s="199">
        <v>1</v>
      </c>
      <c r="G27" s="91">
        <f t="shared" si="3"/>
        <v>1</v>
      </c>
      <c r="H27" s="206">
        <v>1</v>
      </c>
      <c r="I27" s="93">
        <v>1</v>
      </c>
      <c r="J27" s="78">
        <v>1</v>
      </c>
      <c r="K27" s="94">
        <v>1</v>
      </c>
      <c r="L27" s="207">
        <f t="shared" si="4"/>
        <v>1</v>
      </c>
      <c r="M27" s="80">
        <v>1</v>
      </c>
      <c r="N27" s="81">
        <v>1</v>
      </c>
      <c r="O27" s="78">
        <v>1</v>
      </c>
      <c r="P27" s="84">
        <v>1</v>
      </c>
      <c r="Q27" s="83">
        <v>1</v>
      </c>
      <c r="R27" s="81">
        <v>1</v>
      </c>
      <c r="S27" s="78">
        <v>1</v>
      </c>
      <c r="T27" s="82">
        <v>1</v>
      </c>
      <c r="U27" s="92">
        <v>1</v>
      </c>
      <c r="V27" s="93">
        <v>1</v>
      </c>
      <c r="W27" s="78">
        <v>1</v>
      </c>
      <c r="X27" s="94">
        <v>1</v>
      </c>
      <c r="Y27" s="205">
        <f t="shared" si="9"/>
        <v>1.0000000000000002</v>
      </c>
      <c r="Z27" s="92">
        <v>0.8</v>
      </c>
      <c r="AA27" s="93">
        <v>0.8</v>
      </c>
      <c r="AB27" s="78">
        <v>0.8</v>
      </c>
      <c r="AC27" s="94">
        <v>0.8</v>
      </c>
      <c r="AD27" s="207">
        <f t="shared" si="5"/>
        <v>0.80000000000000016</v>
      </c>
      <c r="AE27" s="92">
        <v>1</v>
      </c>
      <c r="AF27" s="93">
        <v>1</v>
      </c>
      <c r="AG27" s="78">
        <v>1</v>
      </c>
      <c r="AH27" s="94">
        <v>1</v>
      </c>
      <c r="AI27" s="207">
        <f t="shared" si="6"/>
        <v>1</v>
      </c>
      <c r="AJ27" s="206">
        <v>1</v>
      </c>
      <c r="AK27" s="93">
        <v>1</v>
      </c>
      <c r="AL27" s="94"/>
      <c r="AM27" s="92">
        <v>1</v>
      </c>
      <c r="AN27" s="93">
        <v>1</v>
      </c>
      <c r="AO27" s="78">
        <v>1</v>
      </c>
      <c r="AP27" s="94">
        <v>0.95</v>
      </c>
      <c r="AQ27" s="205">
        <f t="shared" si="7"/>
        <v>0.98249999999999993</v>
      </c>
      <c r="AR27" s="92">
        <v>1</v>
      </c>
      <c r="AS27" s="93">
        <v>0.5</v>
      </c>
      <c r="AT27" s="78">
        <v>0</v>
      </c>
      <c r="AU27" s="94">
        <v>1</v>
      </c>
      <c r="AV27" s="205">
        <f t="shared" si="8"/>
        <v>0.7</v>
      </c>
      <c r="AW27" s="92">
        <v>1</v>
      </c>
      <c r="AX27" s="93">
        <v>0.35</v>
      </c>
      <c r="AY27" s="94">
        <v>0</v>
      </c>
      <c r="AZ27" s="205">
        <f t="shared" si="0"/>
        <v>0.45750000000000002</v>
      </c>
      <c r="BA27" s="92">
        <v>0</v>
      </c>
      <c r="BB27" s="78">
        <v>0</v>
      </c>
      <c r="BC27" s="94">
        <v>0</v>
      </c>
      <c r="BD27" s="207">
        <f t="shared" si="1"/>
        <v>0</v>
      </c>
      <c r="BE27" s="86"/>
      <c r="BF27" s="87" t="e">
        <f t="shared" si="2"/>
        <v>#DIV/0!</v>
      </c>
      <c r="BG27" s="98"/>
    </row>
    <row r="28" spans="2:59" s="89" customFormat="1" ht="43.5" customHeight="1" x14ac:dyDescent="0.35">
      <c r="B28" s="76">
        <v>115</v>
      </c>
      <c r="C28" s="77">
        <v>1</v>
      </c>
      <c r="D28" s="78">
        <v>1</v>
      </c>
      <c r="E28" s="78">
        <v>1</v>
      </c>
      <c r="F28" s="199">
        <v>1</v>
      </c>
      <c r="G28" s="91">
        <f t="shared" si="3"/>
        <v>1</v>
      </c>
      <c r="H28" s="206">
        <v>1</v>
      </c>
      <c r="I28" s="93">
        <v>1</v>
      </c>
      <c r="J28" s="78">
        <v>1</v>
      </c>
      <c r="K28" s="94">
        <v>1</v>
      </c>
      <c r="L28" s="207">
        <f t="shared" si="4"/>
        <v>1</v>
      </c>
      <c r="M28" s="80">
        <v>1</v>
      </c>
      <c r="N28" s="81">
        <v>1</v>
      </c>
      <c r="O28" s="78">
        <v>1</v>
      </c>
      <c r="P28" s="84">
        <v>1</v>
      </c>
      <c r="Q28" s="83">
        <v>1</v>
      </c>
      <c r="R28" s="81">
        <v>1</v>
      </c>
      <c r="S28" s="78">
        <v>1</v>
      </c>
      <c r="T28" s="82">
        <v>1</v>
      </c>
      <c r="U28" s="92">
        <v>1</v>
      </c>
      <c r="V28" s="93">
        <v>1</v>
      </c>
      <c r="W28" s="78">
        <v>1</v>
      </c>
      <c r="X28" s="94">
        <v>1</v>
      </c>
      <c r="Y28" s="205">
        <f t="shared" si="9"/>
        <v>1.0000000000000002</v>
      </c>
      <c r="Z28" s="92">
        <v>0.5</v>
      </c>
      <c r="AA28" s="93">
        <v>0.5</v>
      </c>
      <c r="AB28" s="78">
        <v>0.5</v>
      </c>
      <c r="AC28" s="94">
        <v>0.5</v>
      </c>
      <c r="AD28" s="207">
        <f t="shared" si="5"/>
        <v>0.5</v>
      </c>
      <c r="AE28" s="92">
        <v>0.7</v>
      </c>
      <c r="AF28" s="93">
        <v>0</v>
      </c>
      <c r="AG28" s="78">
        <v>1</v>
      </c>
      <c r="AH28" s="94">
        <v>1</v>
      </c>
      <c r="AI28" s="207">
        <f t="shared" si="6"/>
        <v>0.68499999999999994</v>
      </c>
      <c r="AJ28" s="206">
        <v>1</v>
      </c>
      <c r="AK28" s="93">
        <v>1</v>
      </c>
      <c r="AL28" s="94"/>
      <c r="AM28" s="92">
        <v>1</v>
      </c>
      <c r="AN28" s="93">
        <v>1</v>
      </c>
      <c r="AO28" s="78">
        <v>1</v>
      </c>
      <c r="AP28" s="94">
        <v>0.95</v>
      </c>
      <c r="AQ28" s="205">
        <f t="shared" si="7"/>
        <v>0.98249999999999993</v>
      </c>
      <c r="AR28" s="92">
        <v>1</v>
      </c>
      <c r="AS28" s="93">
        <v>0.5</v>
      </c>
      <c r="AT28" s="78">
        <v>0</v>
      </c>
      <c r="AU28" s="94">
        <v>1</v>
      </c>
      <c r="AV28" s="205">
        <f t="shared" si="8"/>
        <v>0.7</v>
      </c>
      <c r="AW28" s="92">
        <v>1</v>
      </c>
      <c r="AX28" s="93">
        <v>0.35</v>
      </c>
      <c r="AY28" s="94">
        <v>0</v>
      </c>
      <c r="AZ28" s="205">
        <f t="shared" si="0"/>
        <v>0.45750000000000002</v>
      </c>
      <c r="BA28" s="92">
        <v>0</v>
      </c>
      <c r="BB28" s="78">
        <v>0</v>
      </c>
      <c r="BC28" s="94">
        <v>0</v>
      </c>
      <c r="BD28" s="207">
        <f t="shared" si="1"/>
        <v>0</v>
      </c>
      <c r="BE28" s="86"/>
      <c r="BF28" s="87" t="e">
        <f t="shared" si="2"/>
        <v>#DIV/0!</v>
      </c>
      <c r="BG28" s="98"/>
    </row>
    <row r="29" spans="2:59" s="89" customFormat="1" ht="43.5" customHeight="1" thickBot="1" x14ac:dyDescent="0.4">
      <c r="B29" s="101">
        <v>116</v>
      </c>
      <c r="C29" s="77">
        <v>1</v>
      </c>
      <c r="D29" s="78">
        <v>1</v>
      </c>
      <c r="E29" s="78">
        <v>1</v>
      </c>
      <c r="F29" s="199">
        <v>1</v>
      </c>
      <c r="G29" s="102">
        <f t="shared" si="3"/>
        <v>1</v>
      </c>
      <c r="H29" s="208">
        <v>1</v>
      </c>
      <c r="I29" s="110">
        <v>1</v>
      </c>
      <c r="J29" s="105">
        <v>1</v>
      </c>
      <c r="K29" s="111">
        <v>1</v>
      </c>
      <c r="L29" s="209">
        <f t="shared" si="4"/>
        <v>1</v>
      </c>
      <c r="M29" s="107">
        <v>1</v>
      </c>
      <c r="N29" s="104">
        <v>1</v>
      </c>
      <c r="O29" s="105">
        <v>1</v>
      </c>
      <c r="P29" s="106">
        <v>1</v>
      </c>
      <c r="Q29" s="103">
        <v>1</v>
      </c>
      <c r="R29" s="104">
        <v>1</v>
      </c>
      <c r="S29" s="105">
        <v>1</v>
      </c>
      <c r="T29" s="108">
        <v>1</v>
      </c>
      <c r="U29" s="109">
        <v>1</v>
      </c>
      <c r="V29" s="110">
        <v>1</v>
      </c>
      <c r="W29" s="105">
        <v>1</v>
      </c>
      <c r="X29" s="111">
        <v>1</v>
      </c>
      <c r="Y29" s="210">
        <f t="shared" si="9"/>
        <v>1.0000000000000002</v>
      </c>
      <c r="Z29" s="109">
        <v>0.7</v>
      </c>
      <c r="AA29" s="110">
        <v>0.7</v>
      </c>
      <c r="AB29" s="105">
        <v>0.7</v>
      </c>
      <c r="AC29" s="111">
        <v>0.7</v>
      </c>
      <c r="AD29" s="209">
        <f t="shared" si="5"/>
        <v>0.70000000000000007</v>
      </c>
      <c r="AE29" s="109">
        <v>1</v>
      </c>
      <c r="AF29" s="110">
        <v>1</v>
      </c>
      <c r="AG29" s="105">
        <v>1</v>
      </c>
      <c r="AH29" s="111">
        <v>1</v>
      </c>
      <c r="AI29" s="209">
        <f t="shared" si="6"/>
        <v>1</v>
      </c>
      <c r="AJ29" s="208">
        <v>1</v>
      </c>
      <c r="AK29" s="110">
        <v>1</v>
      </c>
      <c r="AL29" s="111"/>
      <c r="AM29" s="109">
        <v>1</v>
      </c>
      <c r="AN29" s="110">
        <v>1</v>
      </c>
      <c r="AO29" s="105">
        <v>1</v>
      </c>
      <c r="AP29" s="111">
        <v>0.95</v>
      </c>
      <c r="AQ29" s="210">
        <f t="shared" si="7"/>
        <v>0.98249999999999993</v>
      </c>
      <c r="AR29" s="109">
        <v>1</v>
      </c>
      <c r="AS29" s="110">
        <v>0.5</v>
      </c>
      <c r="AT29" s="105">
        <v>0</v>
      </c>
      <c r="AU29" s="111">
        <v>1</v>
      </c>
      <c r="AV29" s="210">
        <f t="shared" si="8"/>
        <v>0.7</v>
      </c>
      <c r="AW29" s="109">
        <v>1</v>
      </c>
      <c r="AX29" s="110">
        <v>0.35</v>
      </c>
      <c r="AY29" s="111">
        <v>0</v>
      </c>
      <c r="AZ29" s="210">
        <f t="shared" si="0"/>
        <v>0.45750000000000002</v>
      </c>
      <c r="BA29" s="109">
        <v>0</v>
      </c>
      <c r="BB29" s="105">
        <v>0</v>
      </c>
      <c r="BC29" s="111">
        <v>0</v>
      </c>
      <c r="BD29" s="209">
        <f t="shared" si="1"/>
        <v>0</v>
      </c>
      <c r="BE29" s="127"/>
      <c r="BF29" s="87" t="e">
        <f t="shared" si="2"/>
        <v>#DIV/0!</v>
      </c>
      <c r="BG29" s="112"/>
    </row>
    <row r="30" spans="2:59" s="89" customFormat="1" ht="43.5" customHeight="1" thickBot="1" x14ac:dyDescent="0.4">
      <c r="B30" s="256" t="s">
        <v>92</v>
      </c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  <c r="BF30" s="257"/>
      <c r="BG30" s="258"/>
    </row>
    <row r="31" spans="2:59" s="89" customFormat="1" ht="43.5" customHeight="1" x14ac:dyDescent="0.35">
      <c r="B31" s="76">
        <v>201</v>
      </c>
      <c r="C31" s="77">
        <v>1</v>
      </c>
      <c r="D31" s="78">
        <v>1</v>
      </c>
      <c r="E31" s="78">
        <v>1</v>
      </c>
      <c r="F31" s="79">
        <v>1</v>
      </c>
      <c r="G31" s="211">
        <f t="shared" ref="G31:G46" si="10" xml:space="preserve"> C31*45% + D31*45% + E31*5% + F31*5%</f>
        <v>1</v>
      </c>
      <c r="H31" s="140">
        <v>1</v>
      </c>
      <c r="I31" s="201">
        <v>1</v>
      </c>
      <c r="J31" s="202">
        <v>1</v>
      </c>
      <c r="K31" s="201">
        <v>1</v>
      </c>
      <c r="L31" s="212">
        <f t="shared" ref="L31:L46" si="11" xml:space="preserve"> H31*30% + I31*30% + J31*10% + K31*30%</f>
        <v>1</v>
      </c>
      <c r="M31" s="80">
        <v>1</v>
      </c>
      <c r="N31" s="81">
        <v>1</v>
      </c>
      <c r="O31" s="78">
        <v>0.95</v>
      </c>
      <c r="P31" s="82">
        <v>1</v>
      </c>
      <c r="Q31" s="83">
        <v>1</v>
      </c>
      <c r="R31" s="81">
        <v>1</v>
      </c>
      <c r="S31" s="78">
        <v>1</v>
      </c>
      <c r="T31" s="84">
        <v>0</v>
      </c>
      <c r="U31" s="83">
        <v>1</v>
      </c>
      <c r="V31" s="81">
        <v>1</v>
      </c>
      <c r="W31" s="78">
        <v>1</v>
      </c>
      <c r="X31" s="84">
        <v>0</v>
      </c>
      <c r="Y31" s="204">
        <v>1.0000000000000002</v>
      </c>
      <c r="Z31" s="140">
        <v>0.5</v>
      </c>
      <c r="AA31" s="201">
        <v>0.5</v>
      </c>
      <c r="AB31" s="202">
        <v>0.5</v>
      </c>
      <c r="AC31" s="203">
        <v>0.5</v>
      </c>
      <c r="AD31" s="204">
        <f t="shared" ref="AD31:AD46" si="12" xml:space="preserve"> Z31*45% + AA31*45% + AB31*5% + AC31*5%</f>
        <v>0.5</v>
      </c>
      <c r="AE31" s="92">
        <v>1</v>
      </c>
      <c r="AF31" s="93">
        <v>0.5</v>
      </c>
      <c r="AG31" s="78">
        <v>0.5</v>
      </c>
      <c r="AH31" s="94">
        <v>0</v>
      </c>
      <c r="AI31" s="207">
        <f xml:space="preserve"> AE31*5% + AF31*30% + AG31*35% + AH31*30%</f>
        <v>0.375</v>
      </c>
      <c r="AJ31" s="80">
        <v>1</v>
      </c>
      <c r="AK31" s="81">
        <v>1</v>
      </c>
      <c r="AL31" s="82"/>
      <c r="AM31" s="83">
        <v>1</v>
      </c>
      <c r="AN31" s="81">
        <v>1</v>
      </c>
      <c r="AO31" s="78">
        <v>0</v>
      </c>
      <c r="AP31" s="82">
        <v>0.95</v>
      </c>
      <c r="AQ31" s="85">
        <f t="shared" ref="AQ31:AQ46" si="13" xml:space="preserve"> AM31*15% + AN31*35% + AO31*15% + AP31*35%</f>
        <v>0.83250000000000002</v>
      </c>
      <c r="AR31" s="80">
        <v>1</v>
      </c>
      <c r="AS31" s="81">
        <v>0</v>
      </c>
      <c r="AT31" s="78">
        <v>0</v>
      </c>
      <c r="AU31" s="82">
        <v>1</v>
      </c>
      <c r="AV31" s="204">
        <f t="shared" ref="AV31:AV46" si="14" xml:space="preserve"> AR31*30% + AS31*30% + AT31*15% + AU31*25%</f>
        <v>0.55000000000000004</v>
      </c>
      <c r="AW31" s="140">
        <v>0.7</v>
      </c>
      <c r="AX31" s="201">
        <v>0.8</v>
      </c>
      <c r="AY31" s="201">
        <v>0</v>
      </c>
      <c r="AZ31" s="212">
        <f t="shared" ref="AZ31:AZ46" si="15" xml:space="preserve">  AW31*30% + AX31*45% + AY31*25%</f>
        <v>0.57000000000000006</v>
      </c>
      <c r="BA31" s="80">
        <v>0</v>
      </c>
      <c r="BB31" s="78">
        <v>0</v>
      </c>
      <c r="BC31" s="82">
        <v>0</v>
      </c>
      <c r="BD31" s="85">
        <f t="shared" ref="BD31:BD46" si="16" xml:space="preserve">  BA31*30% + BB31*45% + BC31*25%</f>
        <v>0</v>
      </c>
      <c r="BE31" s="127"/>
      <c r="BF31" s="87" t="e">
        <f t="shared" ref="BF31:BF46" si="17">(
(COUNTIF(B31:E31,"✓")/(COUNTIF(B31:E31,"✓")+COUNTIF(B31:E31,"x")))*0.2 +
(COUNTIF(F31:J31,"✓")/(COUNTIF(F31:J31,"✓")+COUNTIF(F31:J31,"x")))*0.1 +
(COUNTIF(K31:O31,"✓")/(COUNTIF(K31:O31,"✓")+COUNTIF(K31:O31,"x")))*0.1 +
(COUNTIF(P31:S31,"✓")/(COUNTIF(P31:S31,"✓")+COUNTIF(P31:S31,"x")))*0.1 +
(COUNTIF(T31:W31,"✓")/(COUNTIF(T31:W31,"✓")+COUNTIF(T31:W31,"x")))*0.1 +
(COUNTIF(X31:AB31,"✓")/(COUNTIF(X31:AB31,"✓")+COUNTIF(X31:AB31,"x")))*0.1 +
(COUNTIF(AC31:AO31,"✓")/(COUNTIF(AC31:AO31,"✓")+COUNTIF(AC31:AO31,"x")))*0.1 +
(COUNTIF(AP31:AT31,"✓")/(COUNTIF(AP31:AT31,"✓")+COUNTIF(AP31:AT31,"x")))*0.05 +
(COUNTIF(AU31:BB31,"✓")/(COUNTIF(AU31:BB31,"✓")+COUNTIF(AU31:BB31,"x")))*0.1 +
(COUNTIF(BC31:BC31,"✓")/(COUNTIF(BC31:BC31,"✓")+COUNTIF(BC31:BC31,"x")))*0.05
)</f>
        <v>#DIV/0!</v>
      </c>
      <c r="BG31" s="126"/>
    </row>
    <row r="32" spans="2:59" s="96" customFormat="1" ht="43.5" customHeight="1" x14ac:dyDescent="0.35">
      <c r="B32" s="90">
        <v>202</v>
      </c>
      <c r="C32" s="77">
        <v>1</v>
      </c>
      <c r="D32" s="78">
        <v>1</v>
      </c>
      <c r="E32" s="78">
        <v>1</v>
      </c>
      <c r="F32" s="79">
        <v>1</v>
      </c>
      <c r="G32" s="211">
        <f t="shared" si="10"/>
        <v>1</v>
      </c>
      <c r="H32" s="92">
        <v>1</v>
      </c>
      <c r="I32" s="93">
        <v>1</v>
      </c>
      <c r="J32" s="78">
        <v>1</v>
      </c>
      <c r="K32" s="93">
        <v>1</v>
      </c>
      <c r="L32" s="213">
        <f t="shared" si="11"/>
        <v>1</v>
      </c>
      <c r="M32" s="80">
        <v>1</v>
      </c>
      <c r="N32" s="81">
        <v>1</v>
      </c>
      <c r="O32" s="78">
        <v>0.95</v>
      </c>
      <c r="P32" s="82">
        <v>1</v>
      </c>
      <c r="Q32" s="83">
        <v>1</v>
      </c>
      <c r="R32" s="81">
        <v>1</v>
      </c>
      <c r="S32" s="78">
        <v>1</v>
      </c>
      <c r="T32" s="84">
        <v>1</v>
      </c>
      <c r="U32" s="83">
        <v>1</v>
      </c>
      <c r="V32" s="81">
        <v>1</v>
      </c>
      <c r="W32" s="78">
        <v>1</v>
      </c>
      <c r="X32" s="84">
        <v>1</v>
      </c>
      <c r="Y32" s="205">
        <v>1.0000000000000002</v>
      </c>
      <c r="Z32" s="92">
        <v>0.5</v>
      </c>
      <c r="AA32" s="93">
        <v>0.5</v>
      </c>
      <c r="AB32" s="78">
        <v>0.5</v>
      </c>
      <c r="AC32" s="94">
        <v>0.5</v>
      </c>
      <c r="AD32" s="205">
        <f t="shared" si="12"/>
        <v>0.5</v>
      </c>
      <c r="AE32" s="92">
        <v>1</v>
      </c>
      <c r="AF32" s="93">
        <v>0.5</v>
      </c>
      <c r="AG32" s="78">
        <v>1</v>
      </c>
      <c r="AH32" s="94">
        <v>0</v>
      </c>
      <c r="AI32" s="207">
        <f t="shared" ref="AI32:AI46" si="18" xml:space="preserve"> AE32*5% + AF32*30% + AG32*35% + AH32*30%</f>
        <v>0.55000000000000004</v>
      </c>
      <c r="AJ32" s="206">
        <v>1</v>
      </c>
      <c r="AK32" s="93">
        <v>1</v>
      </c>
      <c r="AL32" s="94"/>
      <c r="AM32" s="83">
        <v>1</v>
      </c>
      <c r="AN32" s="81">
        <v>1</v>
      </c>
      <c r="AO32" s="78">
        <v>1</v>
      </c>
      <c r="AP32" s="82">
        <v>0.95</v>
      </c>
      <c r="AQ32" s="207">
        <f t="shared" si="13"/>
        <v>0.98249999999999993</v>
      </c>
      <c r="AR32" s="80">
        <v>1</v>
      </c>
      <c r="AS32" s="81">
        <v>0</v>
      </c>
      <c r="AT32" s="78">
        <v>0</v>
      </c>
      <c r="AU32" s="82">
        <v>1</v>
      </c>
      <c r="AV32" s="205">
        <f t="shared" si="14"/>
        <v>0.55000000000000004</v>
      </c>
      <c r="AW32" s="92">
        <v>0.7</v>
      </c>
      <c r="AX32" s="93">
        <v>0.8</v>
      </c>
      <c r="AY32" s="93">
        <v>0</v>
      </c>
      <c r="AZ32" s="213">
        <f t="shared" si="15"/>
        <v>0.57000000000000006</v>
      </c>
      <c r="BA32" s="80">
        <v>0</v>
      </c>
      <c r="BB32" s="78">
        <v>0</v>
      </c>
      <c r="BC32" s="82">
        <v>0</v>
      </c>
      <c r="BD32" s="207">
        <f t="shared" si="16"/>
        <v>0</v>
      </c>
      <c r="BE32" s="127"/>
      <c r="BF32" s="87" t="e">
        <f t="shared" si="17"/>
        <v>#DIV/0!</v>
      </c>
      <c r="BG32" s="126"/>
    </row>
    <row r="33" spans="2:59" s="89" customFormat="1" ht="43.5" customHeight="1" x14ac:dyDescent="0.35">
      <c r="B33" s="76">
        <v>203</v>
      </c>
      <c r="C33" s="77">
        <v>1</v>
      </c>
      <c r="D33" s="78">
        <v>1</v>
      </c>
      <c r="E33" s="78">
        <v>1</v>
      </c>
      <c r="F33" s="79">
        <v>1</v>
      </c>
      <c r="G33" s="211">
        <f t="shared" si="10"/>
        <v>1</v>
      </c>
      <c r="H33" s="92">
        <v>1</v>
      </c>
      <c r="I33" s="93">
        <v>1</v>
      </c>
      <c r="J33" s="78">
        <v>1</v>
      </c>
      <c r="K33" s="93">
        <v>1</v>
      </c>
      <c r="L33" s="213">
        <f t="shared" si="11"/>
        <v>1</v>
      </c>
      <c r="M33" s="80">
        <v>1</v>
      </c>
      <c r="N33" s="81">
        <v>1</v>
      </c>
      <c r="O33" s="78">
        <v>0.95</v>
      </c>
      <c r="P33" s="82">
        <v>1</v>
      </c>
      <c r="Q33" s="83">
        <v>1</v>
      </c>
      <c r="R33" s="81">
        <v>1</v>
      </c>
      <c r="S33" s="78">
        <v>1</v>
      </c>
      <c r="T33" s="84">
        <v>1</v>
      </c>
      <c r="U33" s="83">
        <v>1</v>
      </c>
      <c r="V33" s="81">
        <v>1</v>
      </c>
      <c r="W33" s="78">
        <v>1</v>
      </c>
      <c r="X33" s="84">
        <v>1</v>
      </c>
      <c r="Y33" s="205">
        <v>1.0000000000000002</v>
      </c>
      <c r="Z33" s="92">
        <v>0.5</v>
      </c>
      <c r="AA33" s="93">
        <v>0.5</v>
      </c>
      <c r="AB33" s="78">
        <v>0.5</v>
      </c>
      <c r="AC33" s="94">
        <v>0.5</v>
      </c>
      <c r="AD33" s="205">
        <f t="shared" si="12"/>
        <v>0.5</v>
      </c>
      <c r="AE33" s="92">
        <v>1</v>
      </c>
      <c r="AF33" s="93">
        <v>0.5</v>
      </c>
      <c r="AG33" s="78">
        <v>0.7</v>
      </c>
      <c r="AH33" s="94">
        <v>0.5</v>
      </c>
      <c r="AI33" s="207">
        <f t="shared" si="18"/>
        <v>0.59499999999999997</v>
      </c>
      <c r="AJ33" s="206">
        <v>1</v>
      </c>
      <c r="AK33" s="93">
        <v>1</v>
      </c>
      <c r="AL33" s="94"/>
      <c r="AM33" s="83">
        <v>1</v>
      </c>
      <c r="AN33" s="81">
        <v>1</v>
      </c>
      <c r="AO33" s="78">
        <v>1</v>
      </c>
      <c r="AP33" s="82">
        <v>0.95</v>
      </c>
      <c r="AQ33" s="207">
        <f t="shared" si="13"/>
        <v>0.98249999999999993</v>
      </c>
      <c r="AR33" s="80">
        <v>1</v>
      </c>
      <c r="AS33" s="81">
        <v>0</v>
      </c>
      <c r="AT33" s="78">
        <v>0</v>
      </c>
      <c r="AU33" s="82">
        <v>1</v>
      </c>
      <c r="AV33" s="205">
        <f t="shared" si="14"/>
        <v>0.55000000000000004</v>
      </c>
      <c r="AW33" s="92">
        <v>0.7</v>
      </c>
      <c r="AX33" s="93">
        <v>0.7</v>
      </c>
      <c r="AY33" s="93">
        <v>0</v>
      </c>
      <c r="AZ33" s="213">
        <f t="shared" si="15"/>
        <v>0.52500000000000002</v>
      </c>
      <c r="BA33" s="80">
        <v>0</v>
      </c>
      <c r="BB33" s="78">
        <v>0</v>
      </c>
      <c r="BC33" s="82">
        <v>0</v>
      </c>
      <c r="BD33" s="207">
        <f t="shared" si="16"/>
        <v>0</v>
      </c>
      <c r="BE33" s="127"/>
      <c r="BF33" s="87" t="e">
        <f t="shared" si="17"/>
        <v>#DIV/0!</v>
      </c>
      <c r="BG33" s="126"/>
    </row>
    <row r="34" spans="2:59" s="89" customFormat="1" ht="43.5" customHeight="1" x14ac:dyDescent="0.35">
      <c r="B34" s="90">
        <v>204</v>
      </c>
      <c r="C34" s="77">
        <v>1</v>
      </c>
      <c r="D34" s="78">
        <v>1</v>
      </c>
      <c r="E34" s="78">
        <v>1</v>
      </c>
      <c r="F34" s="79">
        <v>1</v>
      </c>
      <c r="G34" s="211">
        <f t="shared" si="10"/>
        <v>1</v>
      </c>
      <c r="H34" s="92">
        <v>1</v>
      </c>
      <c r="I34" s="93">
        <v>1</v>
      </c>
      <c r="J34" s="78">
        <v>1</v>
      </c>
      <c r="K34" s="93">
        <v>1</v>
      </c>
      <c r="L34" s="213">
        <f t="shared" si="11"/>
        <v>1</v>
      </c>
      <c r="M34" s="80">
        <v>1</v>
      </c>
      <c r="N34" s="81">
        <v>1</v>
      </c>
      <c r="O34" s="78">
        <v>0.95</v>
      </c>
      <c r="P34" s="82">
        <v>1</v>
      </c>
      <c r="Q34" s="83">
        <v>1</v>
      </c>
      <c r="R34" s="81">
        <v>1</v>
      </c>
      <c r="S34" s="78">
        <v>1</v>
      </c>
      <c r="T34" s="84">
        <v>1</v>
      </c>
      <c r="U34" s="83">
        <v>1</v>
      </c>
      <c r="V34" s="81">
        <v>1</v>
      </c>
      <c r="W34" s="78">
        <v>1</v>
      </c>
      <c r="X34" s="84">
        <v>1</v>
      </c>
      <c r="Y34" s="205">
        <v>1.0000000000000002</v>
      </c>
      <c r="Z34" s="92">
        <v>0.5</v>
      </c>
      <c r="AA34" s="93">
        <v>0.5</v>
      </c>
      <c r="AB34" s="78">
        <v>0.5</v>
      </c>
      <c r="AC34" s="94">
        <v>0.5</v>
      </c>
      <c r="AD34" s="205">
        <f t="shared" si="12"/>
        <v>0.5</v>
      </c>
      <c r="AE34" s="92">
        <v>1</v>
      </c>
      <c r="AF34" s="93">
        <v>1</v>
      </c>
      <c r="AG34" s="78">
        <v>1</v>
      </c>
      <c r="AH34" s="94">
        <v>0</v>
      </c>
      <c r="AI34" s="207">
        <f t="shared" si="18"/>
        <v>0.7</v>
      </c>
      <c r="AJ34" s="206">
        <v>1</v>
      </c>
      <c r="AK34" s="93">
        <v>1</v>
      </c>
      <c r="AL34" s="94"/>
      <c r="AM34" s="83">
        <v>1</v>
      </c>
      <c r="AN34" s="81">
        <v>1</v>
      </c>
      <c r="AO34" s="78">
        <v>1</v>
      </c>
      <c r="AP34" s="82">
        <v>0.95</v>
      </c>
      <c r="AQ34" s="207">
        <f t="shared" si="13"/>
        <v>0.98249999999999993</v>
      </c>
      <c r="AR34" s="80">
        <v>1</v>
      </c>
      <c r="AS34" s="81">
        <v>0</v>
      </c>
      <c r="AT34" s="78">
        <v>0</v>
      </c>
      <c r="AU34" s="82">
        <v>1</v>
      </c>
      <c r="AV34" s="205">
        <f t="shared" si="14"/>
        <v>0.55000000000000004</v>
      </c>
      <c r="AW34" s="92">
        <v>0.7</v>
      </c>
      <c r="AX34" s="93">
        <v>0.7</v>
      </c>
      <c r="AY34" s="93">
        <v>0</v>
      </c>
      <c r="AZ34" s="213">
        <f t="shared" si="15"/>
        <v>0.52500000000000002</v>
      </c>
      <c r="BA34" s="80">
        <v>0</v>
      </c>
      <c r="BB34" s="78">
        <v>0</v>
      </c>
      <c r="BC34" s="82">
        <v>0</v>
      </c>
      <c r="BD34" s="207">
        <f t="shared" si="16"/>
        <v>0</v>
      </c>
      <c r="BE34" s="127"/>
      <c r="BF34" s="87" t="e">
        <f t="shared" si="17"/>
        <v>#DIV/0!</v>
      </c>
      <c r="BG34" s="97"/>
    </row>
    <row r="35" spans="2:59" s="89" customFormat="1" ht="43.5" customHeight="1" x14ac:dyDescent="0.35">
      <c r="B35" s="76">
        <v>205</v>
      </c>
      <c r="C35" s="77">
        <v>1</v>
      </c>
      <c r="D35" s="78">
        <v>1</v>
      </c>
      <c r="E35" s="78">
        <v>1</v>
      </c>
      <c r="F35" s="79">
        <v>1</v>
      </c>
      <c r="G35" s="211">
        <f t="shared" si="10"/>
        <v>1</v>
      </c>
      <c r="H35" s="92">
        <v>1</v>
      </c>
      <c r="I35" s="93">
        <v>1</v>
      </c>
      <c r="J35" s="78">
        <v>1</v>
      </c>
      <c r="K35" s="93">
        <v>1</v>
      </c>
      <c r="L35" s="213">
        <f t="shared" si="11"/>
        <v>1</v>
      </c>
      <c r="M35" s="80">
        <v>1</v>
      </c>
      <c r="N35" s="81">
        <v>1</v>
      </c>
      <c r="O35" s="78">
        <v>0.95</v>
      </c>
      <c r="P35" s="82">
        <v>1</v>
      </c>
      <c r="Q35" s="83">
        <v>1</v>
      </c>
      <c r="R35" s="81">
        <v>1</v>
      </c>
      <c r="S35" s="78">
        <v>1</v>
      </c>
      <c r="T35" s="84">
        <v>1</v>
      </c>
      <c r="U35" s="83">
        <v>1</v>
      </c>
      <c r="V35" s="81">
        <v>1</v>
      </c>
      <c r="W35" s="78">
        <v>1</v>
      </c>
      <c r="X35" s="84">
        <v>1</v>
      </c>
      <c r="Y35" s="205">
        <v>1.0000000000000002</v>
      </c>
      <c r="Z35" s="92">
        <v>0.5</v>
      </c>
      <c r="AA35" s="93">
        <v>0.5</v>
      </c>
      <c r="AB35" s="78">
        <v>0.5</v>
      </c>
      <c r="AC35" s="94">
        <v>0.5</v>
      </c>
      <c r="AD35" s="205">
        <f t="shared" si="12"/>
        <v>0.5</v>
      </c>
      <c r="AE35" s="92">
        <v>1</v>
      </c>
      <c r="AF35" s="93">
        <v>1</v>
      </c>
      <c r="AG35" s="78">
        <v>1</v>
      </c>
      <c r="AH35" s="94">
        <v>0.5</v>
      </c>
      <c r="AI35" s="207">
        <f t="shared" si="18"/>
        <v>0.85</v>
      </c>
      <c r="AJ35" s="206">
        <v>1</v>
      </c>
      <c r="AK35" s="93">
        <v>1</v>
      </c>
      <c r="AL35" s="94"/>
      <c r="AM35" s="83">
        <v>1</v>
      </c>
      <c r="AN35" s="81">
        <v>1</v>
      </c>
      <c r="AO35" s="78">
        <v>1</v>
      </c>
      <c r="AP35" s="82">
        <v>0.95</v>
      </c>
      <c r="AQ35" s="207">
        <f t="shared" si="13"/>
        <v>0.98249999999999993</v>
      </c>
      <c r="AR35" s="80">
        <v>1</v>
      </c>
      <c r="AS35" s="81">
        <v>0</v>
      </c>
      <c r="AT35" s="78">
        <v>0</v>
      </c>
      <c r="AU35" s="82">
        <v>1</v>
      </c>
      <c r="AV35" s="205">
        <f t="shared" si="14"/>
        <v>0.55000000000000004</v>
      </c>
      <c r="AW35" s="92">
        <v>0.7</v>
      </c>
      <c r="AX35" s="93">
        <v>0.8</v>
      </c>
      <c r="AY35" s="93">
        <v>0</v>
      </c>
      <c r="AZ35" s="213">
        <f t="shared" si="15"/>
        <v>0.57000000000000006</v>
      </c>
      <c r="BA35" s="80">
        <v>0</v>
      </c>
      <c r="BB35" s="78">
        <v>0</v>
      </c>
      <c r="BC35" s="82">
        <v>0</v>
      </c>
      <c r="BD35" s="207">
        <f t="shared" si="16"/>
        <v>0</v>
      </c>
      <c r="BE35" s="127"/>
      <c r="BF35" s="87" t="e">
        <f t="shared" si="17"/>
        <v>#DIV/0!</v>
      </c>
      <c r="BG35" s="98"/>
    </row>
    <row r="36" spans="2:59" s="89" customFormat="1" ht="43.5" customHeight="1" x14ac:dyDescent="0.35">
      <c r="B36" s="90">
        <v>206</v>
      </c>
      <c r="C36" s="77">
        <v>1</v>
      </c>
      <c r="D36" s="78">
        <v>1</v>
      </c>
      <c r="E36" s="78">
        <v>1</v>
      </c>
      <c r="F36" s="79">
        <v>1</v>
      </c>
      <c r="G36" s="211">
        <f t="shared" si="10"/>
        <v>1</v>
      </c>
      <c r="H36" s="92">
        <v>1</v>
      </c>
      <c r="I36" s="93">
        <v>1</v>
      </c>
      <c r="J36" s="78">
        <v>1</v>
      </c>
      <c r="K36" s="93">
        <v>1</v>
      </c>
      <c r="L36" s="213">
        <f t="shared" si="11"/>
        <v>1</v>
      </c>
      <c r="M36" s="80">
        <v>1</v>
      </c>
      <c r="N36" s="81">
        <v>1</v>
      </c>
      <c r="O36" s="78">
        <v>0.95</v>
      </c>
      <c r="P36" s="82">
        <v>1</v>
      </c>
      <c r="Q36" s="83">
        <v>1</v>
      </c>
      <c r="R36" s="81">
        <v>1</v>
      </c>
      <c r="S36" s="78">
        <v>1</v>
      </c>
      <c r="T36" s="84">
        <v>1</v>
      </c>
      <c r="U36" s="83">
        <v>1</v>
      </c>
      <c r="V36" s="81">
        <v>1</v>
      </c>
      <c r="W36" s="78">
        <v>1</v>
      </c>
      <c r="X36" s="84">
        <v>1</v>
      </c>
      <c r="Y36" s="205">
        <v>1.0000000000000002</v>
      </c>
      <c r="Z36" s="92">
        <v>0.5</v>
      </c>
      <c r="AA36" s="93">
        <v>0.5</v>
      </c>
      <c r="AB36" s="78">
        <v>0.5</v>
      </c>
      <c r="AC36" s="94">
        <v>0.5</v>
      </c>
      <c r="AD36" s="205">
        <f t="shared" si="12"/>
        <v>0.5</v>
      </c>
      <c r="AE36" s="92">
        <v>1</v>
      </c>
      <c r="AF36" s="93">
        <v>1</v>
      </c>
      <c r="AG36" s="78">
        <v>1</v>
      </c>
      <c r="AH36" s="94">
        <v>1</v>
      </c>
      <c r="AI36" s="207">
        <f t="shared" si="18"/>
        <v>1</v>
      </c>
      <c r="AJ36" s="206">
        <v>1</v>
      </c>
      <c r="AK36" s="93">
        <v>1</v>
      </c>
      <c r="AL36" s="94"/>
      <c r="AM36" s="83">
        <v>1</v>
      </c>
      <c r="AN36" s="81">
        <v>1</v>
      </c>
      <c r="AO36" s="78">
        <v>1</v>
      </c>
      <c r="AP36" s="82">
        <v>0.95</v>
      </c>
      <c r="AQ36" s="207">
        <f t="shared" si="13"/>
        <v>0.98249999999999993</v>
      </c>
      <c r="AR36" s="80">
        <v>1</v>
      </c>
      <c r="AS36" s="81">
        <v>0</v>
      </c>
      <c r="AT36" s="78">
        <v>0</v>
      </c>
      <c r="AU36" s="82">
        <v>1</v>
      </c>
      <c r="AV36" s="205">
        <f t="shared" si="14"/>
        <v>0.55000000000000004</v>
      </c>
      <c r="AW36" s="92">
        <v>0.7</v>
      </c>
      <c r="AX36" s="93">
        <v>0</v>
      </c>
      <c r="AY36" s="93">
        <v>0</v>
      </c>
      <c r="AZ36" s="213">
        <f t="shared" si="15"/>
        <v>0.21</v>
      </c>
      <c r="BA36" s="80">
        <v>0</v>
      </c>
      <c r="BB36" s="78">
        <v>0</v>
      </c>
      <c r="BC36" s="82">
        <v>0</v>
      </c>
      <c r="BD36" s="207">
        <f t="shared" si="16"/>
        <v>0</v>
      </c>
      <c r="BE36" s="127"/>
      <c r="BF36" s="87" t="e">
        <f t="shared" si="17"/>
        <v>#DIV/0!</v>
      </c>
      <c r="BG36" s="99"/>
    </row>
    <row r="37" spans="2:59" s="89" customFormat="1" ht="43.5" customHeight="1" x14ac:dyDescent="0.35">
      <c r="B37" s="76">
        <v>207</v>
      </c>
      <c r="C37" s="77">
        <v>1</v>
      </c>
      <c r="D37" s="78">
        <v>1</v>
      </c>
      <c r="E37" s="78">
        <v>1</v>
      </c>
      <c r="F37" s="79">
        <v>1</v>
      </c>
      <c r="G37" s="211">
        <f t="shared" si="10"/>
        <v>1</v>
      </c>
      <c r="H37" s="92">
        <v>1</v>
      </c>
      <c r="I37" s="93">
        <v>1</v>
      </c>
      <c r="J37" s="78">
        <v>1</v>
      </c>
      <c r="K37" s="93">
        <v>1</v>
      </c>
      <c r="L37" s="213">
        <f t="shared" si="11"/>
        <v>1</v>
      </c>
      <c r="M37" s="80">
        <v>1</v>
      </c>
      <c r="N37" s="81">
        <v>1</v>
      </c>
      <c r="O37" s="78">
        <v>0.95</v>
      </c>
      <c r="P37" s="82">
        <v>1</v>
      </c>
      <c r="Q37" s="83">
        <v>1</v>
      </c>
      <c r="R37" s="81">
        <v>1</v>
      </c>
      <c r="S37" s="78">
        <v>1</v>
      </c>
      <c r="T37" s="84">
        <v>1</v>
      </c>
      <c r="U37" s="83">
        <v>1</v>
      </c>
      <c r="V37" s="81">
        <v>1</v>
      </c>
      <c r="W37" s="78">
        <v>1</v>
      </c>
      <c r="X37" s="84">
        <v>1</v>
      </c>
      <c r="Y37" s="205">
        <v>1.0000000000000002</v>
      </c>
      <c r="Z37" s="92">
        <v>0.5</v>
      </c>
      <c r="AA37" s="93">
        <v>0.5</v>
      </c>
      <c r="AB37" s="78">
        <v>0.5</v>
      </c>
      <c r="AC37" s="94">
        <v>0.5</v>
      </c>
      <c r="AD37" s="205">
        <f t="shared" si="12"/>
        <v>0.5</v>
      </c>
      <c r="AE37" s="92">
        <v>0.9</v>
      </c>
      <c r="AF37" s="93">
        <v>0.7</v>
      </c>
      <c r="AG37" s="78">
        <v>1</v>
      </c>
      <c r="AH37" s="94">
        <v>1</v>
      </c>
      <c r="AI37" s="207">
        <f t="shared" si="18"/>
        <v>0.90500000000000003</v>
      </c>
      <c r="AJ37" s="206">
        <v>1</v>
      </c>
      <c r="AK37" s="93">
        <v>1</v>
      </c>
      <c r="AL37" s="94"/>
      <c r="AM37" s="83">
        <v>1</v>
      </c>
      <c r="AN37" s="81">
        <v>1</v>
      </c>
      <c r="AO37" s="78">
        <v>1</v>
      </c>
      <c r="AP37" s="82">
        <v>0.95</v>
      </c>
      <c r="AQ37" s="207">
        <f t="shared" si="13"/>
        <v>0.98249999999999993</v>
      </c>
      <c r="AR37" s="80">
        <v>1</v>
      </c>
      <c r="AS37" s="81">
        <v>0</v>
      </c>
      <c r="AT37" s="78">
        <v>0</v>
      </c>
      <c r="AU37" s="82">
        <v>1</v>
      </c>
      <c r="AV37" s="205">
        <f t="shared" si="14"/>
        <v>0.55000000000000004</v>
      </c>
      <c r="AW37" s="92">
        <v>0.7</v>
      </c>
      <c r="AX37" s="93">
        <v>0</v>
      </c>
      <c r="AY37" s="93">
        <v>0</v>
      </c>
      <c r="AZ37" s="213">
        <f t="shared" si="15"/>
        <v>0.21</v>
      </c>
      <c r="BA37" s="80">
        <v>0</v>
      </c>
      <c r="BB37" s="78">
        <v>0</v>
      </c>
      <c r="BC37" s="82">
        <v>0</v>
      </c>
      <c r="BD37" s="207">
        <f t="shared" si="16"/>
        <v>0</v>
      </c>
      <c r="BE37" s="127"/>
      <c r="BF37" s="87" t="e">
        <f t="shared" si="17"/>
        <v>#DIV/0!</v>
      </c>
      <c r="BG37" s="98"/>
    </row>
    <row r="38" spans="2:59" s="89" customFormat="1" ht="43.5" customHeight="1" x14ac:dyDescent="0.35">
      <c r="B38" s="90">
        <v>208</v>
      </c>
      <c r="C38" s="77">
        <v>1</v>
      </c>
      <c r="D38" s="78">
        <v>1</v>
      </c>
      <c r="E38" s="78">
        <v>1</v>
      </c>
      <c r="F38" s="79">
        <v>1</v>
      </c>
      <c r="G38" s="211">
        <f t="shared" si="10"/>
        <v>1</v>
      </c>
      <c r="H38" s="92">
        <v>1</v>
      </c>
      <c r="I38" s="93">
        <v>1</v>
      </c>
      <c r="J38" s="78">
        <v>1</v>
      </c>
      <c r="K38" s="93">
        <v>1</v>
      </c>
      <c r="L38" s="213">
        <f t="shared" si="11"/>
        <v>1</v>
      </c>
      <c r="M38" s="80">
        <v>1</v>
      </c>
      <c r="N38" s="81">
        <v>1</v>
      </c>
      <c r="O38" s="78">
        <v>0.95</v>
      </c>
      <c r="P38" s="82">
        <v>1</v>
      </c>
      <c r="Q38" s="83">
        <v>1</v>
      </c>
      <c r="R38" s="81">
        <v>1</v>
      </c>
      <c r="S38" s="78">
        <v>1</v>
      </c>
      <c r="T38" s="84">
        <v>1</v>
      </c>
      <c r="U38" s="83">
        <v>1</v>
      </c>
      <c r="V38" s="81">
        <v>1</v>
      </c>
      <c r="W38" s="78">
        <v>1</v>
      </c>
      <c r="X38" s="84">
        <v>1</v>
      </c>
      <c r="Y38" s="205">
        <v>1.0000000000000002</v>
      </c>
      <c r="Z38" s="92">
        <v>0.5</v>
      </c>
      <c r="AA38" s="93">
        <v>0.5</v>
      </c>
      <c r="AB38" s="78">
        <v>0.5</v>
      </c>
      <c r="AC38" s="94">
        <v>0.5</v>
      </c>
      <c r="AD38" s="205">
        <f t="shared" si="12"/>
        <v>0.5</v>
      </c>
      <c r="AE38" s="92">
        <v>1</v>
      </c>
      <c r="AF38" s="93">
        <v>1</v>
      </c>
      <c r="AG38" s="78">
        <v>1</v>
      </c>
      <c r="AH38" s="94">
        <v>1</v>
      </c>
      <c r="AI38" s="207">
        <f t="shared" si="18"/>
        <v>1</v>
      </c>
      <c r="AJ38" s="206">
        <v>1</v>
      </c>
      <c r="AK38" s="93">
        <v>1</v>
      </c>
      <c r="AL38" s="94"/>
      <c r="AM38" s="83">
        <v>1</v>
      </c>
      <c r="AN38" s="81">
        <v>1</v>
      </c>
      <c r="AO38" s="78">
        <v>1</v>
      </c>
      <c r="AP38" s="82">
        <v>0.95</v>
      </c>
      <c r="AQ38" s="207">
        <f t="shared" si="13"/>
        <v>0.98249999999999993</v>
      </c>
      <c r="AR38" s="80">
        <v>1</v>
      </c>
      <c r="AS38" s="81">
        <v>0</v>
      </c>
      <c r="AT38" s="78">
        <v>0</v>
      </c>
      <c r="AU38" s="82">
        <v>1</v>
      </c>
      <c r="AV38" s="205">
        <f t="shared" si="14"/>
        <v>0.55000000000000004</v>
      </c>
      <c r="AW38" s="92">
        <v>0.7</v>
      </c>
      <c r="AX38" s="93">
        <v>0</v>
      </c>
      <c r="AY38" s="93">
        <v>0</v>
      </c>
      <c r="AZ38" s="213">
        <f t="shared" si="15"/>
        <v>0.21</v>
      </c>
      <c r="BA38" s="80">
        <v>0</v>
      </c>
      <c r="BB38" s="78">
        <v>0</v>
      </c>
      <c r="BC38" s="82">
        <v>0</v>
      </c>
      <c r="BD38" s="207">
        <f t="shared" si="16"/>
        <v>0</v>
      </c>
      <c r="BE38" s="127"/>
      <c r="BF38" s="87" t="e">
        <f t="shared" si="17"/>
        <v>#DIV/0!</v>
      </c>
      <c r="BG38" s="99"/>
    </row>
    <row r="39" spans="2:59" s="89" customFormat="1" ht="43.5" customHeight="1" x14ac:dyDescent="0.35">
      <c r="B39" s="76">
        <v>209</v>
      </c>
      <c r="C39" s="77">
        <v>1</v>
      </c>
      <c r="D39" s="78">
        <v>1</v>
      </c>
      <c r="E39" s="78">
        <v>1</v>
      </c>
      <c r="F39" s="79">
        <v>1</v>
      </c>
      <c r="G39" s="211">
        <f t="shared" si="10"/>
        <v>1</v>
      </c>
      <c r="H39" s="92">
        <v>1</v>
      </c>
      <c r="I39" s="93">
        <v>1</v>
      </c>
      <c r="J39" s="78">
        <v>1</v>
      </c>
      <c r="K39" s="93">
        <v>1</v>
      </c>
      <c r="L39" s="213">
        <f t="shared" si="11"/>
        <v>1</v>
      </c>
      <c r="M39" s="80">
        <v>1</v>
      </c>
      <c r="N39" s="81">
        <v>1</v>
      </c>
      <c r="O39" s="78">
        <v>0.95</v>
      </c>
      <c r="P39" s="82">
        <v>1</v>
      </c>
      <c r="Q39" s="83">
        <v>1</v>
      </c>
      <c r="R39" s="81">
        <v>1</v>
      </c>
      <c r="S39" s="78">
        <v>1</v>
      </c>
      <c r="T39" s="84">
        <v>1</v>
      </c>
      <c r="U39" s="83">
        <v>1</v>
      </c>
      <c r="V39" s="81">
        <v>1</v>
      </c>
      <c r="W39" s="78">
        <v>1</v>
      </c>
      <c r="X39" s="84">
        <v>1</v>
      </c>
      <c r="Y39" s="205">
        <v>1.0000000000000002</v>
      </c>
      <c r="Z39" s="92">
        <v>0.5</v>
      </c>
      <c r="AA39" s="93">
        <v>0.5</v>
      </c>
      <c r="AB39" s="78">
        <v>0.5</v>
      </c>
      <c r="AC39" s="94">
        <v>0.5</v>
      </c>
      <c r="AD39" s="205">
        <f t="shared" si="12"/>
        <v>0.5</v>
      </c>
      <c r="AE39" s="92">
        <v>1</v>
      </c>
      <c r="AF39" s="93">
        <v>0.7</v>
      </c>
      <c r="AG39" s="78">
        <v>1</v>
      </c>
      <c r="AH39" s="94">
        <v>1</v>
      </c>
      <c r="AI39" s="207">
        <f t="shared" si="18"/>
        <v>0.90999999999999992</v>
      </c>
      <c r="AJ39" s="206">
        <v>1</v>
      </c>
      <c r="AK39" s="93">
        <v>1</v>
      </c>
      <c r="AL39" s="94"/>
      <c r="AM39" s="83">
        <v>1</v>
      </c>
      <c r="AN39" s="81">
        <v>1</v>
      </c>
      <c r="AO39" s="78">
        <v>1</v>
      </c>
      <c r="AP39" s="82">
        <v>0.95</v>
      </c>
      <c r="AQ39" s="207">
        <f t="shared" si="13"/>
        <v>0.98249999999999993</v>
      </c>
      <c r="AR39" s="80">
        <v>1</v>
      </c>
      <c r="AS39" s="81">
        <v>0</v>
      </c>
      <c r="AT39" s="78">
        <v>0</v>
      </c>
      <c r="AU39" s="82">
        <v>1</v>
      </c>
      <c r="AV39" s="205">
        <f t="shared" si="14"/>
        <v>0.55000000000000004</v>
      </c>
      <c r="AW39" s="92">
        <v>0.7</v>
      </c>
      <c r="AX39" s="93">
        <v>0</v>
      </c>
      <c r="AY39" s="93">
        <v>0</v>
      </c>
      <c r="AZ39" s="213">
        <f t="shared" si="15"/>
        <v>0.21</v>
      </c>
      <c r="BA39" s="80">
        <v>0</v>
      </c>
      <c r="BB39" s="78">
        <v>0</v>
      </c>
      <c r="BC39" s="82">
        <v>0</v>
      </c>
      <c r="BD39" s="207">
        <f t="shared" si="16"/>
        <v>0</v>
      </c>
      <c r="BE39" s="127"/>
      <c r="BF39" s="87" t="e">
        <f t="shared" si="17"/>
        <v>#DIV/0!</v>
      </c>
      <c r="BG39" s="98"/>
    </row>
    <row r="40" spans="2:59" s="89" customFormat="1" ht="43.5" customHeight="1" x14ac:dyDescent="0.35">
      <c r="B40" s="90">
        <v>210</v>
      </c>
      <c r="C40" s="77">
        <v>1</v>
      </c>
      <c r="D40" s="78">
        <v>1</v>
      </c>
      <c r="E40" s="78">
        <v>1</v>
      </c>
      <c r="F40" s="79">
        <v>1</v>
      </c>
      <c r="G40" s="211">
        <f t="shared" si="10"/>
        <v>1</v>
      </c>
      <c r="H40" s="92">
        <v>1</v>
      </c>
      <c r="I40" s="93">
        <v>1</v>
      </c>
      <c r="J40" s="78">
        <v>1</v>
      </c>
      <c r="K40" s="93">
        <v>1</v>
      </c>
      <c r="L40" s="213">
        <f t="shared" si="11"/>
        <v>1</v>
      </c>
      <c r="M40" s="80">
        <v>1</v>
      </c>
      <c r="N40" s="81">
        <v>1</v>
      </c>
      <c r="O40" s="78">
        <v>0.95</v>
      </c>
      <c r="P40" s="82">
        <v>1</v>
      </c>
      <c r="Q40" s="83">
        <v>1</v>
      </c>
      <c r="R40" s="81">
        <v>1</v>
      </c>
      <c r="S40" s="78">
        <v>1</v>
      </c>
      <c r="T40" s="84">
        <v>1</v>
      </c>
      <c r="U40" s="83">
        <v>1</v>
      </c>
      <c r="V40" s="81">
        <v>1</v>
      </c>
      <c r="W40" s="78">
        <v>1</v>
      </c>
      <c r="X40" s="84">
        <v>1</v>
      </c>
      <c r="Y40" s="205">
        <v>1.0000000000000002</v>
      </c>
      <c r="Z40" s="92">
        <v>0.5</v>
      </c>
      <c r="AA40" s="93">
        <v>0.5</v>
      </c>
      <c r="AB40" s="78">
        <v>0.5</v>
      </c>
      <c r="AC40" s="94">
        <v>0.5</v>
      </c>
      <c r="AD40" s="205">
        <f t="shared" si="12"/>
        <v>0.5</v>
      </c>
      <c r="AE40" s="92">
        <v>1</v>
      </c>
      <c r="AF40" s="93">
        <v>1</v>
      </c>
      <c r="AG40" s="78">
        <v>1</v>
      </c>
      <c r="AH40" s="94">
        <v>1</v>
      </c>
      <c r="AI40" s="207">
        <f t="shared" si="18"/>
        <v>1</v>
      </c>
      <c r="AJ40" s="206">
        <v>1</v>
      </c>
      <c r="AK40" s="93">
        <v>1</v>
      </c>
      <c r="AL40" s="94"/>
      <c r="AM40" s="83">
        <v>1</v>
      </c>
      <c r="AN40" s="81">
        <v>1</v>
      </c>
      <c r="AO40" s="78">
        <v>1</v>
      </c>
      <c r="AP40" s="82">
        <v>0.95</v>
      </c>
      <c r="AQ40" s="207">
        <f t="shared" si="13"/>
        <v>0.98249999999999993</v>
      </c>
      <c r="AR40" s="80">
        <v>1</v>
      </c>
      <c r="AS40" s="81">
        <v>0</v>
      </c>
      <c r="AT40" s="78">
        <v>0</v>
      </c>
      <c r="AU40" s="82">
        <v>1</v>
      </c>
      <c r="AV40" s="205">
        <f t="shared" si="14"/>
        <v>0.55000000000000004</v>
      </c>
      <c r="AW40" s="92">
        <v>0.7</v>
      </c>
      <c r="AX40" s="93">
        <v>0</v>
      </c>
      <c r="AY40" s="93">
        <v>0</v>
      </c>
      <c r="AZ40" s="213">
        <f t="shared" si="15"/>
        <v>0.21</v>
      </c>
      <c r="BA40" s="80">
        <v>0</v>
      </c>
      <c r="BB40" s="78">
        <v>0</v>
      </c>
      <c r="BC40" s="82">
        <v>0</v>
      </c>
      <c r="BD40" s="207">
        <f t="shared" si="16"/>
        <v>0</v>
      </c>
      <c r="BE40" s="127"/>
      <c r="BF40" s="87" t="e">
        <f t="shared" si="17"/>
        <v>#DIV/0!</v>
      </c>
      <c r="BG40" s="98"/>
    </row>
    <row r="41" spans="2:59" s="89" customFormat="1" ht="43.5" customHeight="1" x14ac:dyDescent="0.35">
      <c r="B41" s="76">
        <v>211</v>
      </c>
      <c r="C41" s="77">
        <v>1</v>
      </c>
      <c r="D41" s="78">
        <v>1</v>
      </c>
      <c r="E41" s="78">
        <v>1</v>
      </c>
      <c r="F41" s="79">
        <v>1</v>
      </c>
      <c r="G41" s="211">
        <f t="shared" si="10"/>
        <v>1</v>
      </c>
      <c r="H41" s="92">
        <v>1</v>
      </c>
      <c r="I41" s="93">
        <v>1</v>
      </c>
      <c r="J41" s="78">
        <v>1</v>
      </c>
      <c r="K41" s="93">
        <v>1</v>
      </c>
      <c r="L41" s="213">
        <f t="shared" si="11"/>
        <v>1</v>
      </c>
      <c r="M41" s="80">
        <v>1</v>
      </c>
      <c r="N41" s="81">
        <v>1</v>
      </c>
      <c r="O41" s="78">
        <v>0.95</v>
      </c>
      <c r="P41" s="82">
        <v>1</v>
      </c>
      <c r="Q41" s="83">
        <v>1</v>
      </c>
      <c r="R41" s="81">
        <v>1</v>
      </c>
      <c r="S41" s="78">
        <v>1</v>
      </c>
      <c r="T41" s="84">
        <v>1</v>
      </c>
      <c r="U41" s="83">
        <v>1</v>
      </c>
      <c r="V41" s="81">
        <v>1</v>
      </c>
      <c r="W41" s="78">
        <v>1</v>
      </c>
      <c r="X41" s="84">
        <v>1</v>
      </c>
      <c r="Y41" s="205">
        <v>1.0000000000000002</v>
      </c>
      <c r="Z41" s="92">
        <v>0.5</v>
      </c>
      <c r="AA41" s="93">
        <v>0.5</v>
      </c>
      <c r="AB41" s="78">
        <v>0.5</v>
      </c>
      <c r="AC41" s="94">
        <v>0.5</v>
      </c>
      <c r="AD41" s="205">
        <f t="shared" si="12"/>
        <v>0.5</v>
      </c>
      <c r="AE41" s="92">
        <v>1</v>
      </c>
      <c r="AF41" s="93">
        <v>0.7</v>
      </c>
      <c r="AG41" s="78">
        <v>1</v>
      </c>
      <c r="AH41" s="94">
        <v>0.7</v>
      </c>
      <c r="AI41" s="207">
        <f t="shared" si="18"/>
        <v>0.82</v>
      </c>
      <c r="AJ41" s="206">
        <v>1</v>
      </c>
      <c r="AK41" s="93">
        <v>1</v>
      </c>
      <c r="AL41" s="94"/>
      <c r="AM41" s="83">
        <v>1</v>
      </c>
      <c r="AN41" s="81">
        <v>1</v>
      </c>
      <c r="AO41" s="78">
        <v>1</v>
      </c>
      <c r="AP41" s="82">
        <v>0.95</v>
      </c>
      <c r="AQ41" s="207">
        <f t="shared" si="13"/>
        <v>0.98249999999999993</v>
      </c>
      <c r="AR41" s="80">
        <v>1</v>
      </c>
      <c r="AS41" s="81">
        <v>0</v>
      </c>
      <c r="AT41" s="78">
        <v>0</v>
      </c>
      <c r="AU41" s="82">
        <v>1</v>
      </c>
      <c r="AV41" s="205">
        <f t="shared" si="14"/>
        <v>0.55000000000000004</v>
      </c>
      <c r="AW41" s="92">
        <v>0.7</v>
      </c>
      <c r="AX41" s="93">
        <v>0</v>
      </c>
      <c r="AY41" s="93">
        <v>0</v>
      </c>
      <c r="AZ41" s="213">
        <f t="shared" si="15"/>
        <v>0.21</v>
      </c>
      <c r="BA41" s="80">
        <v>0</v>
      </c>
      <c r="BB41" s="78">
        <v>0</v>
      </c>
      <c r="BC41" s="82">
        <v>0</v>
      </c>
      <c r="BD41" s="207">
        <f t="shared" si="16"/>
        <v>0</v>
      </c>
      <c r="BE41" s="127"/>
      <c r="BF41" s="87" t="e">
        <f t="shared" si="17"/>
        <v>#DIV/0!</v>
      </c>
      <c r="BG41" s="97"/>
    </row>
    <row r="42" spans="2:59" s="89" customFormat="1" ht="43.5" customHeight="1" x14ac:dyDescent="0.35">
      <c r="B42" s="90">
        <v>212</v>
      </c>
      <c r="C42" s="77">
        <v>1</v>
      </c>
      <c r="D42" s="78">
        <v>1</v>
      </c>
      <c r="E42" s="78">
        <v>1</v>
      </c>
      <c r="F42" s="79">
        <v>1</v>
      </c>
      <c r="G42" s="211">
        <f t="shared" si="10"/>
        <v>1</v>
      </c>
      <c r="H42" s="92">
        <v>1</v>
      </c>
      <c r="I42" s="93">
        <v>1</v>
      </c>
      <c r="J42" s="78">
        <v>1</v>
      </c>
      <c r="K42" s="93">
        <v>1</v>
      </c>
      <c r="L42" s="213">
        <f t="shared" si="11"/>
        <v>1</v>
      </c>
      <c r="M42" s="80">
        <v>1</v>
      </c>
      <c r="N42" s="81">
        <v>1</v>
      </c>
      <c r="O42" s="78">
        <v>0.95</v>
      </c>
      <c r="P42" s="82">
        <v>1</v>
      </c>
      <c r="Q42" s="83">
        <v>1</v>
      </c>
      <c r="R42" s="81">
        <v>1</v>
      </c>
      <c r="S42" s="78">
        <v>1</v>
      </c>
      <c r="T42" s="84">
        <v>1</v>
      </c>
      <c r="U42" s="83">
        <v>1</v>
      </c>
      <c r="V42" s="81">
        <v>1</v>
      </c>
      <c r="W42" s="78">
        <v>1</v>
      </c>
      <c r="X42" s="84">
        <v>1</v>
      </c>
      <c r="Y42" s="205">
        <v>1.0000000000000002</v>
      </c>
      <c r="Z42" s="92">
        <v>0.5</v>
      </c>
      <c r="AA42" s="93">
        <v>0.5</v>
      </c>
      <c r="AB42" s="78">
        <v>0.5</v>
      </c>
      <c r="AC42" s="94">
        <v>0.5</v>
      </c>
      <c r="AD42" s="205">
        <f t="shared" si="12"/>
        <v>0.5</v>
      </c>
      <c r="AE42" s="92">
        <v>1</v>
      </c>
      <c r="AF42" s="93">
        <v>1</v>
      </c>
      <c r="AG42" s="78">
        <v>1</v>
      </c>
      <c r="AH42" s="94">
        <v>1</v>
      </c>
      <c r="AI42" s="207">
        <f t="shared" si="18"/>
        <v>1</v>
      </c>
      <c r="AJ42" s="206">
        <v>1</v>
      </c>
      <c r="AK42" s="93">
        <v>1</v>
      </c>
      <c r="AL42" s="94"/>
      <c r="AM42" s="83">
        <v>1</v>
      </c>
      <c r="AN42" s="81">
        <v>1</v>
      </c>
      <c r="AO42" s="78">
        <v>1</v>
      </c>
      <c r="AP42" s="82">
        <v>0.95</v>
      </c>
      <c r="AQ42" s="207">
        <f t="shared" si="13"/>
        <v>0.98249999999999993</v>
      </c>
      <c r="AR42" s="80">
        <v>1</v>
      </c>
      <c r="AS42" s="81">
        <v>0</v>
      </c>
      <c r="AT42" s="78">
        <v>0</v>
      </c>
      <c r="AU42" s="82">
        <v>1</v>
      </c>
      <c r="AV42" s="205">
        <f t="shared" si="14"/>
        <v>0.55000000000000004</v>
      </c>
      <c r="AW42" s="92">
        <v>0.7</v>
      </c>
      <c r="AX42" s="93">
        <v>0</v>
      </c>
      <c r="AY42" s="93">
        <v>0</v>
      </c>
      <c r="AZ42" s="213">
        <f t="shared" si="15"/>
        <v>0.21</v>
      </c>
      <c r="BA42" s="80">
        <v>0</v>
      </c>
      <c r="BB42" s="78">
        <v>0</v>
      </c>
      <c r="BC42" s="82">
        <v>0</v>
      </c>
      <c r="BD42" s="207">
        <f t="shared" si="16"/>
        <v>0</v>
      </c>
      <c r="BE42" s="127"/>
      <c r="BF42" s="87" t="e">
        <f t="shared" si="17"/>
        <v>#DIV/0!</v>
      </c>
      <c r="BG42" s="97"/>
    </row>
    <row r="43" spans="2:59" s="89" customFormat="1" ht="43.5" customHeight="1" x14ac:dyDescent="0.35">
      <c r="B43" s="76">
        <v>213</v>
      </c>
      <c r="C43" s="77">
        <v>1</v>
      </c>
      <c r="D43" s="78">
        <v>1</v>
      </c>
      <c r="E43" s="78">
        <v>1</v>
      </c>
      <c r="F43" s="79">
        <v>1</v>
      </c>
      <c r="G43" s="211">
        <f t="shared" si="10"/>
        <v>1</v>
      </c>
      <c r="H43" s="92">
        <v>1</v>
      </c>
      <c r="I43" s="93">
        <v>1</v>
      </c>
      <c r="J43" s="78">
        <v>1</v>
      </c>
      <c r="K43" s="93">
        <v>1</v>
      </c>
      <c r="L43" s="213">
        <f t="shared" si="11"/>
        <v>1</v>
      </c>
      <c r="M43" s="80">
        <v>1</v>
      </c>
      <c r="N43" s="81">
        <v>1</v>
      </c>
      <c r="O43" s="78">
        <v>0.95</v>
      </c>
      <c r="P43" s="82">
        <v>1</v>
      </c>
      <c r="Q43" s="83">
        <v>1</v>
      </c>
      <c r="R43" s="81">
        <v>1</v>
      </c>
      <c r="S43" s="78">
        <v>1</v>
      </c>
      <c r="T43" s="84">
        <v>0</v>
      </c>
      <c r="U43" s="83">
        <v>1</v>
      </c>
      <c r="V43" s="81">
        <v>1</v>
      </c>
      <c r="W43" s="78">
        <v>1</v>
      </c>
      <c r="X43" s="84">
        <v>0</v>
      </c>
      <c r="Y43" s="205">
        <v>1.0000000000000002</v>
      </c>
      <c r="Z43" s="92">
        <v>0.5</v>
      </c>
      <c r="AA43" s="93">
        <v>0.5</v>
      </c>
      <c r="AB43" s="78">
        <v>0.5</v>
      </c>
      <c r="AC43" s="94">
        <v>0.5</v>
      </c>
      <c r="AD43" s="205">
        <f t="shared" si="12"/>
        <v>0.5</v>
      </c>
      <c r="AE43" s="92">
        <v>1</v>
      </c>
      <c r="AF43" s="93">
        <v>1</v>
      </c>
      <c r="AG43" s="78">
        <v>1</v>
      </c>
      <c r="AH43" s="94">
        <v>1</v>
      </c>
      <c r="AI43" s="207">
        <f t="shared" si="18"/>
        <v>1</v>
      </c>
      <c r="AJ43" s="206">
        <v>1</v>
      </c>
      <c r="AK43" s="93">
        <v>1</v>
      </c>
      <c r="AL43" s="94"/>
      <c r="AM43" s="83">
        <v>0</v>
      </c>
      <c r="AN43" s="81">
        <v>1</v>
      </c>
      <c r="AO43" s="78">
        <v>1</v>
      </c>
      <c r="AP43" s="82">
        <v>0.95</v>
      </c>
      <c r="AQ43" s="207">
        <f t="shared" si="13"/>
        <v>0.83250000000000002</v>
      </c>
      <c r="AR43" s="80">
        <v>1</v>
      </c>
      <c r="AS43" s="81">
        <v>0</v>
      </c>
      <c r="AT43" s="78">
        <v>0</v>
      </c>
      <c r="AU43" s="82">
        <v>1</v>
      </c>
      <c r="AV43" s="205">
        <f t="shared" si="14"/>
        <v>0.55000000000000004</v>
      </c>
      <c r="AW43" s="92">
        <v>0.7</v>
      </c>
      <c r="AX43" s="93">
        <v>0</v>
      </c>
      <c r="AY43" s="93">
        <v>0</v>
      </c>
      <c r="AZ43" s="213">
        <f t="shared" si="15"/>
        <v>0.21</v>
      </c>
      <c r="BA43" s="80">
        <v>0</v>
      </c>
      <c r="BB43" s="78">
        <v>0</v>
      </c>
      <c r="BC43" s="82">
        <v>0</v>
      </c>
      <c r="BD43" s="207">
        <f t="shared" si="16"/>
        <v>0</v>
      </c>
      <c r="BE43" s="127"/>
      <c r="BF43" s="87" t="e">
        <f t="shared" si="17"/>
        <v>#DIV/0!</v>
      </c>
      <c r="BG43" s="100"/>
    </row>
    <row r="44" spans="2:59" s="89" customFormat="1" ht="43.5" customHeight="1" x14ac:dyDescent="0.35">
      <c r="B44" s="90">
        <v>214</v>
      </c>
      <c r="C44" s="77">
        <v>1</v>
      </c>
      <c r="D44" s="78">
        <v>1</v>
      </c>
      <c r="E44" s="78">
        <v>1</v>
      </c>
      <c r="F44" s="79">
        <v>1</v>
      </c>
      <c r="G44" s="211">
        <f t="shared" si="10"/>
        <v>1</v>
      </c>
      <c r="H44" s="92">
        <v>1</v>
      </c>
      <c r="I44" s="93">
        <v>1</v>
      </c>
      <c r="J44" s="78">
        <v>1</v>
      </c>
      <c r="K44" s="93">
        <v>1</v>
      </c>
      <c r="L44" s="213">
        <f t="shared" si="11"/>
        <v>1</v>
      </c>
      <c r="M44" s="80">
        <v>1</v>
      </c>
      <c r="N44" s="81">
        <v>1</v>
      </c>
      <c r="O44" s="78">
        <v>0.95</v>
      </c>
      <c r="P44" s="82">
        <v>1</v>
      </c>
      <c r="Q44" s="83">
        <v>1</v>
      </c>
      <c r="R44" s="81">
        <v>1</v>
      </c>
      <c r="S44" s="78">
        <v>1</v>
      </c>
      <c r="T44" s="84">
        <v>1</v>
      </c>
      <c r="U44" s="83">
        <v>1</v>
      </c>
      <c r="V44" s="81">
        <v>1</v>
      </c>
      <c r="W44" s="78">
        <v>1</v>
      </c>
      <c r="X44" s="84">
        <v>1</v>
      </c>
      <c r="Y44" s="205">
        <v>1.0000000000000002</v>
      </c>
      <c r="Z44" s="92">
        <v>0.5</v>
      </c>
      <c r="AA44" s="93">
        <v>0.5</v>
      </c>
      <c r="AB44" s="78">
        <v>0.5</v>
      </c>
      <c r="AC44" s="94">
        <v>0.5</v>
      </c>
      <c r="AD44" s="205">
        <f t="shared" si="12"/>
        <v>0.5</v>
      </c>
      <c r="AE44" s="92">
        <v>1</v>
      </c>
      <c r="AF44" s="93">
        <v>1</v>
      </c>
      <c r="AG44" s="78">
        <v>1</v>
      </c>
      <c r="AH44" s="94">
        <v>1</v>
      </c>
      <c r="AI44" s="207">
        <f t="shared" si="18"/>
        <v>1</v>
      </c>
      <c r="AJ44" s="206">
        <v>1</v>
      </c>
      <c r="AK44" s="93">
        <v>1</v>
      </c>
      <c r="AL44" s="94"/>
      <c r="AM44" s="83">
        <v>1</v>
      </c>
      <c r="AN44" s="81">
        <v>1</v>
      </c>
      <c r="AO44" s="78">
        <v>1</v>
      </c>
      <c r="AP44" s="82">
        <v>0.95</v>
      </c>
      <c r="AQ44" s="207">
        <f t="shared" si="13"/>
        <v>0.98249999999999993</v>
      </c>
      <c r="AR44" s="80">
        <v>1</v>
      </c>
      <c r="AS44" s="81">
        <v>0</v>
      </c>
      <c r="AT44" s="78">
        <v>0</v>
      </c>
      <c r="AU44" s="82">
        <v>1</v>
      </c>
      <c r="AV44" s="205">
        <f t="shared" si="14"/>
        <v>0.55000000000000004</v>
      </c>
      <c r="AW44" s="92">
        <v>0.7</v>
      </c>
      <c r="AX44" s="93"/>
      <c r="AY44" s="93">
        <v>0</v>
      </c>
      <c r="AZ44" s="213">
        <f t="shared" si="15"/>
        <v>0.21</v>
      </c>
      <c r="BA44" s="80">
        <v>0</v>
      </c>
      <c r="BB44" s="78">
        <v>0</v>
      </c>
      <c r="BC44" s="82">
        <v>0</v>
      </c>
      <c r="BD44" s="207">
        <f t="shared" si="16"/>
        <v>0</v>
      </c>
      <c r="BE44" s="127"/>
      <c r="BF44" s="87" t="e">
        <f t="shared" si="17"/>
        <v>#DIV/0!</v>
      </c>
      <c r="BG44" s="98"/>
    </row>
    <row r="45" spans="2:59" s="89" customFormat="1" ht="43.5" customHeight="1" x14ac:dyDescent="0.35">
      <c r="B45" s="76">
        <v>215</v>
      </c>
      <c r="C45" s="77">
        <v>1</v>
      </c>
      <c r="D45" s="78">
        <v>1</v>
      </c>
      <c r="E45" s="78">
        <v>1</v>
      </c>
      <c r="F45" s="79">
        <v>1</v>
      </c>
      <c r="G45" s="211">
        <f t="shared" si="10"/>
        <v>1</v>
      </c>
      <c r="H45" s="92">
        <v>1</v>
      </c>
      <c r="I45" s="93">
        <v>1</v>
      </c>
      <c r="J45" s="78">
        <v>1</v>
      </c>
      <c r="K45" s="93">
        <v>1</v>
      </c>
      <c r="L45" s="213">
        <f t="shared" si="11"/>
        <v>1</v>
      </c>
      <c r="M45" s="80">
        <v>1</v>
      </c>
      <c r="N45" s="81">
        <v>1</v>
      </c>
      <c r="O45" s="78">
        <v>0.95</v>
      </c>
      <c r="P45" s="82">
        <v>1</v>
      </c>
      <c r="Q45" s="83">
        <v>1</v>
      </c>
      <c r="R45" s="81">
        <v>1</v>
      </c>
      <c r="S45" s="78">
        <v>1</v>
      </c>
      <c r="T45" s="84">
        <v>1</v>
      </c>
      <c r="U45" s="83">
        <v>1</v>
      </c>
      <c r="V45" s="81">
        <v>1</v>
      </c>
      <c r="W45" s="78">
        <v>1</v>
      </c>
      <c r="X45" s="84">
        <v>1</v>
      </c>
      <c r="Y45" s="205">
        <v>1.0000000000000002</v>
      </c>
      <c r="Z45" s="92">
        <v>0.5</v>
      </c>
      <c r="AA45" s="93">
        <v>0.5</v>
      </c>
      <c r="AB45" s="78">
        <v>0.5</v>
      </c>
      <c r="AC45" s="94">
        <v>0.5</v>
      </c>
      <c r="AD45" s="205">
        <f t="shared" si="12"/>
        <v>0.5</v>
      </c>
      <c r="AE45" s="92">
        <v>0.7</v>
      </c>
      <c r="AF45" s="93">
        <v>0</v>
      </c>
      <c r="AG45" s="78">
        <v>1</v>
      </c>
      <c r="AH45" s="94">
        <v>1</v>
      </c>
      <c r="AI45" s="207">
        <f t="shared" si="18"/>
        <v>0.68499999999999994</v>
      </c>
      <c r="AJ45" s="206">
        <v>1</v>
      </c>
      <c r="AK45" s="93">
        <v>1</v>
      </c>
      <c r="AL45" s="94"/>
      <c r="AM45" s="83">
        <v>1</v>
      </c>
      <c r="AN45" s="81">
        <v>1</v>
      </c>
      <c r="AO45" s="78">
        <v>1</v>
      </c>
      <c r="AP45" s="82">
        <v>0.95</v>
      </c>
      <c r="AQ45" s="207">
        <f t="shared" si="13"/>
        <v>0.98249999999999993</v>
      </c>
      <c r="AR45" s="80">
        <v>1</v>
      </c>
      <c r="AS45" s="81">
        <v>0</v>
      </c>
      <c r="AT45" s="78">
        <v>0</v>
      </c>
      <c r="AU45" s="82">
        <v>1</v>
      </c>
      <c r="AV45" s="205">
        <f t="shared" si="14"/>
        <v>0.55000000000000004</v>
      </c>
      <c r="AW45" s="92">
        <v>0.7</v>
      </c>
      <c r="AX45" s="93"/>
      <c r="AY45" s="93">
        <v>0</v>
      </c>
      <c r="AZ45" s="213">
        <f t="shared" si="15"/>
        <v>0.21</v>
      </c>
      <c r="BA45" s="80">
        <v>0</v>
      </c>
      <c r="BB45" s="78">
        <v>0</v>
      </c>
      <c r="BC45" s="82">
        <v>0</v>
      </c>
      <c r="BD45" s="207">
        <f t="shared" si="16"/>
        <v>0</v>
      </c>
      <c r="BE45" s="127"/>
      <c r="BF45" s="87" t="e">
        <f t="shared" si="17"/>
        <v>#DIV/0!</v>
      </c>
      <c r="BG45" s="98"/>
    </row>
    <row r="46" spans="2:59" s="89" customFormat="1" ht="43.5" customHeight="1" thickBot="1" x14ac:dyDescent="0.4">
      <c r="B46" s="128">
        <v>216</v>
      </c>
      <c r="C46" s="129">
        <v>1</v>
      </c>
      <c r="D46" s="105">
        <v>1</v>
      </c>
      <c r="E46" s="105">
        <v>1</v>
      </c>
      <c r="F46" s="130">
        <v>1</v>
      </c>
      <c r="G46" s="214">
        <f t="shared" si="10"/>
        <v>1</v>
      </c>
      <c r="H46" s="109">
        <v>1</v>
      </c>
      <c r="I46" s="110">
        <v>1</v>
      </c>
      <c r="J46" s="105">
        <v>1</v>
      </c>
      <c r="K46" s="110">
        <v>1</v>
      </c>
      <c r="L46" s="215">
        <f t="shared" si="11"/>
        <v>1</v>
      </c>
      <c r="M46" s="107">
        <v>1</v>
      </c>
      <c r="N46" s="104">
        <v>1</v>
      </c>
      <c r="O46" s="105">
        <v>0.95</v>
      </c>
      <c r="P46" s="108">
        <v>1</v>
      </c>
      <c r="Q46" s="103">
        <v>1</v>
      </c>
      <c r="R46" s="104">
        <v>1</v>
      </c>
      <c r="S46" s="105">
        <v>1</v>
      </c>
      <c r="T46" s="106">
        <v>1</v>
      </c>
      <c r="U46" s="103">
        <v>1</v>
      </c>
      <c r="V46" s="104">
        <v>1</v>
      </c>
      <c r="W46" s="105">
        <v>1</v>
      </c>
      <c r="X46" s="106">
        <v>1</v>
      </c>
      <c r="Y46" s="210">
        <v>1.0000000000000002</v>
      </c>
      <c r="Z46" s="109">
        <v>0.5</v>
      </c>
      <c r="AA46" s="110">
        <v>0.5</v>
      </c>
      <c r="AB46" s="105">
        <v>0.5</v>
      </c>
      <c r="AC46" s="111">
        <v>0.5</v>
      </c>
      <c r="AD46" s="210">
        <f t="shared" si="12"/>
        <v>0.5</v>
      </c>
      <c r="AE46" s="109">
        <v>1</v>
      </c>
      <c r="AF46" s="110">
        <v>0.7</v>
      </c>
      <c r="AG46" s="105">
        <v>1</v>
      </c>
      <c r="AH46" s="111">
        <v>1</v>
      </c>
      <c r="AI46" s="209">
        <f t="shared" si="18"/>
        <v>0.90999999999999992</v>
      </c>
      <c r="AJ46" s="208">
        <v>1</v>
      </c>
      <c r="AK46" s="110">
        <v>1</v>
      </c>
      <c r="AL46" s="111"/>
      <c r="AM46" s="103">
        <v>1</v>
      </c>
      <c r="AN46" s="104">
        <v>1</v>
      </c>
      <c r="AO46" s="105">
        <v>1</v>
      </c>
      <c r="AP46" s="108">
        <v>0.95</v>
      </c>
      <c r="AQ46" s="209">
        <f t="shared" si="13"/>
        <v>0.98249999999999993</v>
      </c>
      <c r="AR46" s="107">
        <v>1</v>
      </c>
      <c r="AS46" s="104">
        <v>0</v>
      </c>
      <c r="AT46" s="105">
        <v>0</v>
      </c>
      <c r="AU46" s="108">
        <v>1</v>
      </c>
      <c r="AV46" s="210">
        <f t="shared" si="14"/>
        <v>0.55000000000000004</v>
      </c>
      <c r="AW46" s="109">
        <v>0.7</v>
      </c>
      <c r="AX46" s="110"/>
      <c r="AY46" s="110">
        <v>0</v>
      </c>
      <c r="AZ46" s="215">
        <f t="shared" si="15"/>
        <v>0.21</v>
      </c>
      <c r="BA46" s="107">
        <v>0</v>
      </c>
      <c r="BB46" s="105">
        <v>0</v>
      </c>
      <c r="BC46" s="108">
        <v>0</v>
      </c>
      <c r="BD46" s="209">
        <f t="shared" si="16"/>
        <v>0</v>
      </c>
      <c r="BE46" s="139"/>
      <c r="BF46" s="131" t="e">
        <f t="shared" si="17"/>
        <v>#DIV/0!</v>
      </c>
      <c r="BG46" s="132"/>
    </row>
    <row r="47" spans="2:59" ht="43.5" customHeight="1" thickBot="1" x14ac:dyDescent="0.35">
      <c r="B47" s="253" t="s">
        <v>93</v>
      </c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54"/>
      <c r="AY47" s="254"/>
      <c r="AZ47" s="254"/>
      <c r="BA47" s="254"/>
      <c r="BB47" s="254"/>
      <c r="BC47" s="254"/>
      <c r="BD47" s="254"/>
      <c r="BE47" s="254"/>
      <c r="BF47" s="254"/>
      <c r="BG47" s="255"/>
    </row>
    <row r="48" spans="2:59" s="89" customFormat="1" ht="43.5" customHeight="1" x14ac:dyDescent="0.35">
      <c r="B48" s="76">
        <v>301</v>
      </c>
      <c r="C48" s="77">
        <v>1</v>
      </c>
      <c r="D48" s="78">
        <v>1</v>
      </c>
      <c r="E48" s="78">
        <v>1</v>
      </c>
      <c r="F48" s="199">
        <v>1</v>
      </c>
      <c r="G48" s="85">
        <f t="shared" ref="G48:G63" si="19" xml:space="preserve"> C48*45% + D48*45% + E48*5% + F48*5%</f>
        <v>1</v>
      </c>
      <c r="H48" s="200">
        <v>1</v>
      </c>
      <c r="I48" s="201">
        <v>1</v>
      </c>
      <c r="J48" s="202">
        <v>1</v>
      </c>
      <c r="K48" s="203">
        <v>1</v>
      </c>
      <c r="L48" s="85">
        <f t="shared" ref="L48:L63" si="20" xml:space="preserve"> H48*30% + I48*30% + J48*10% + K48*30%</f>
        <v>1</v>
      </c>
      <c r="M48" s="80">
        <v>1</v>
      </c>
      <c r="N48" s="81">
        <v>1</v>
      </c>
      <c r="O48" s="78">
        <v>0.95</v>
      </c>
      <c r="P48" s="84">
        <v>1</v>
      </c>
      <c r="Q48" s="83">
        <v>1</v>
      </c>
      <c r="R48" s="81">
        <v>1</v>
      </c>
      <c r="S48" s="78">
        <v>1</v>
      </c>
      <c r="T48" s="82">
        <v>1</v>
      </c>
      <c r="U48" s="140">
        <v>1</v>
      </c>
      <c r="V48" s="201">
        <v>1</v>
      </c>
      <c r="W48" s="202">
        <v>1</v>
      </c>
      <c r="X48" s="203">
        <v>1</v>
      </c>
      <c r="Y48" s="204">
        <f t="shared" ref="Y48:Y63" si="21" xml:space="preserve"> (U48*10% + V48*10% + W48*10% + X48*10%+ Q48*5% + R48*5% + S48*5% + T48*5%+M48*10% + N48*15% + O48*5% + P48*10%)</f>
        <v>0.99750000000000005</v>
      </c>
      <c r="Z48" s="140">
        <v>0.5</v>
      </c>
      <c r="AA48" s="201">
        <v>0.5</v>
      </c>
      <c r="AB48" s="202">
        <v>0.5</v>
      </c>
      <c r="AC48" s="203">
        <v>0.5</v>
      </c>
      <c r="AD48" s="85">
        <f t="shared" ref="AD48:AD63" si="22" xml:space="preserve"> Z48*45% + AA48*45% + AB48*5% + AC48*5%</f>
        <v>0.5</v>
      </c>
      <c r="AE48" s="140">
        <v>1</v>
      </c>
      <c r="AF48" s="201">
        <v>0.7</v>
      </c>
      <c r="AG48" s="202">
        <v>0.7</v>
      </c>
      <c r="AH48" s="203">
        <v>0.7</v>
      </c>
      <c r="AI48" s="85">
        <f xml:space="preserve"> AE48*5% + AF48*30% + AG48*35% + AH48*30%</f>
        <v>0.71499999999999997</v>
      </c>
      <c r="AJ48" s="80">
        <v>1</v>
      </c>
      <c r="AK48" s="81">
        <v>1</v>
      </c>
      <c r="AL48" s="82"/>
      <c r="AM48" s="92">
        <v>1</v>
      </c>
      <c r="AN48" s="93">
        <v>0.7</v>
      </c>
      <c r="AO48" s="78">
        <v>0</v>
      </c>
      <c r="AP48" s="94">
        <v>0.95</v>
      </c>
      <c r="AQ48" s="205">
        <f t="shared" ref="AQ48:AQ63" si="23" xml:space="preserve"> AM48*15% + AN48*35% + AO48*15% + AP48*35%</f>
        <v>0.72749999999999992</v>
      </c>
      <c r="AR48" s="140">
        <v>0.7</v>
      </c>
      <c r="AS48" s="201">
        <v>0</v>
      </c>
      <c r="AT48" s="202">
        <v>0</v>
      </c>
      <c r="AU48" s="203">
        <v>0</v>
      </c>
      <c r="AV48" s="204">
        <f t="shared" ref="AV48:AV63" si="24" xml:space="preserve"> AR48*30% + AS48*30% + AT48*15% + AU48*25%</f>
        <v>0.21</v>
      </c>
      <c r="AW48" s="140"/>
      <c r="AX48" s="201"/>
      <c r="AY48" s="203"/>
      <c r="AZ48" s="204">
        <f t="shared" ref="AZ48:AZ63" si="25" xml:space="preserve">  AW48*30% + AX48*45% + AY48*25%</f>
        <v>0</v>
      </c>
      <c r="BA48" s="140">
        <v>0</v>
      </c>
      <c r="BB48" s="202">
        <v>0</v>
      </c>
      <c r="BC48" s="203">
        <v>0</v>
      </c>
      <c r="BD48" s="85">
        <f t="shared" ref="BD48:BD63" si="26" xml:space="preserve">  BA48*30% + BB48*45% + BC48*25%</f>
        <v>0</v>
      </c>
      <c r="BE48" s="86"/>
      <c r="BF48" s="87" t="e">
        <f t="shared" ref="BF48:BF63" si="27">(
(COUNTIF(B48:E48,"✓")/(COUNTIF(B48:E48,"✓")+COUNTIF(B48:E48,"x")))*0.2 +
(COUNTIF(F48:J48,"✓")/(COUNTIF(F48:J48,"✓")+COUNTIF(F48:J48,"x")))*0.1 +
(COUNTIF(K48:O48,"✓")/(COUNTIF(K48:O48,"✓")+COUNTIF(K48:O48,"x")))*0.1 +
(COUNTIF(P48:S48,"✓")/(COUNTIF(P48:S48,"✓")+COUNTIF(P48:S48,"x")))*0.1 +
(COUNTIF(T48:W48,"✓")/(COUNTIF(T48:W48,"✓")+COUNTIF(T48:W48,"x")))*0.1 +
(COUNTIF(X48:AB48,"✓")/(COUNTIF(X48:AB48,"✓")+COUNTIF(X48:AB48,"x")))*0.1 +
(COUNTIF(AC48:AO48,"✓")/(COUNTIF(AC48:AO48,"✓")+COUNTIF(AC48:AO48,"x")))*0.1 +
(COUNTIF(AP48:AT48,"✓")/(COUNTIF(AP48:AT48,"✓")+COUNTIF(AP48:AT48,"x")))*0.05 +
(COUNTIF(AU48:BB48,"✓")/(COUNTIF(AU48:BB48,"✓")+COUNTIF(AU48:BB48,"x")))*0.1 +
(COUNTIF(BC48:BC48,"✓")/(COUNTIF(BC48:BC48,"✓")+COUNTIF(BC48:BC48,"x")))*0.05
)</f>
        <v>#DIV/0!</v>
      </c>
      <c r="BG48" s="88"/>
    </row>
    <row r="49" spans="2:59" s="96" customFormat="1" ht="43.5" customHeight="1" x14ac:dyDescent="0.35">
      <c r="B49" s="90">
        <v>302</v>
      </c>
      <c r="C49" s="77">
        <v>1</v>
      </c>
      <c r="D49" s="78">
        <v>1</v>
      </c>
      <c r="E49" s="78">
        <v>1</v>
      </c>
      <c r="F49" s="199">
        <v>1</v>
      </c>
      <c r="G49" s="91">
        <f t="shared" si="19"/>
        <v>1</v>
      </c>
      <c r="H49" s="206">
        <v>1</v>
      </c>
      <c r="I49" s="93">
        <v>1</v>
      </c>
      <c r="J49" s="78">
        <v>1</v>
      </c>
      <c r="K49" s="94">
        <v>1</v>
      </c>
      <c r="L49" s="207">
        <f t="shared" si="20"/>
        <v>1</v>
      </c>
      <c r="M49" s="80">
        <v>1</v>
      </c>
      <c r="N49" s="81">
        <v>1</v>
      </c>
      <c r="O49" s="78">
        <v>0.95</v>
      </c>
      <c r="P49" s="84">
        <v>1</v>
      </c>
      <c r="Q49" s="83">
        <v>1</v>
      </c>
      <c r="R49" s="81">
        <v>1</v>
      </c>
      <c r="S49" s="78">
        <v>1</v>
      </c>
      <c r="T49" s="82">
        <v>1</v>
      </c>
      <c r="U49" s="92">
        <v>1</v>
      </c>
      <c r="V49" s="93">
        <v>1</v>
      </c>
      <c r="W49" s="78">
        <v>1</v>
      </c>
      <c r="X49" s="94">
        <v>1</v>
      </c>
      <c r="Y49" s="205">
        <f t="shared" si="21"/>
        <v>0.99750000000000005</v>
      </c>
      <c r="Z49" s="92">
        <v>0.5</v>
      </c>
      <c r="AA49" s="93">
        <v>0.5</v>
      </c>
      <c r="AB49" s="78">
        <v>0.5</v>
      </c>
      <c r="AC49" s="94">
        <v>0.5</v>
      </c>
      <c r="AD49" s="207">
        <f t="shared" si="22"/>
        <v>0.5</v>
      </c>
      <c r="AE49" s="92">
        <v>1</v>
      </c>
      <c r="AF49" s="93">
        <v>0.7</v>
      </c>
      <c r="AG49" s="78">
        <v>1</v>
      </c>
      <c r="AH49" s="94">
        <v>0</v>
      </c>
      <c r="AI49" s="207">
        <f t="shared" ref="AI49:AI63" si="28" xml:space="preserve"> AE49*5% + AF49*30% + AG49*35% + AH49*30%</f>
        <v>0.61</v>
      </c>
      <c r="AJ49" s="206">
        <v>1</v>
      </c>
      <c r="AK49" s="93">
        <v>1</v>
      </c>
      <c r="AL49" s="94"/>
      <c r="AM49" s="92">
        <v>1</v>
      </c>
      <c r="AN49" s="93">
        <v>1</v>
      </c>
      <c r="AO49" s="78">
        <v>1</v>
      </c>
      <c r="AP49" s="94">
        <v>0.95</v>
      </c>
      <c r="AQ49" s="205">
        <f t="shared" si="23"/>
        <v>0.98249999999999993</v>
      </c>
      <c r="AR49" s="92">
        <v>0.7</v>
      </c>
      <c r="AS49" s="93">
        <v>0</v>
      </c>
      <c r="AT49" s="78">
        <v>0</v>
      </c>
      <c r="AU49" s="94">
        <v>0</v>
      </c>
      <c r="AV49" s="205">
        <f t="shared" si="24"/>
        <v>0.21</v>
      </c>
      <c r="AW49" s="92"/>
      <c r="AX49" s="93"/>
      <c r="AY49" s="94"/>
      <c r="AZ49" s="205">
        <f t="shared" si="25"/>
        <v>0</v>
      </c>
      <c r="BA49" s="92">
        <v>0</v>
      </c>
      <c r="BB49" s="78">
        <v>0</v>
      </c>
      <c r="BC49" s="94">
        <v>0</v>
      </c>
      <c r="BD49" s="207">
        <f t="shared" si="26"/>
        <v>0</v>
      </c>
      <c r="BE49" s="86"/>
      <c r="BF49" s="87" t="e">
        <f t="shared" si="27"/>
        <v>#DIV/0!</v>
      </c>
      <c r="BG49" s="95"/>
    </row>
    <row r="50" spans="2:59" s="89" customFormat="1" ht="43.5" customHeight="1" x14ac:dyDescent="0.35">
      <c r="B50" s="76">
        <v>303</v>
      </c>
      <c r="C50" s="77">
        <v>1</v>
      </c>
      <c r="D50" s="78">
        <v>1</v>
      </c>
      <c r="E50" s="78">
        <v>1</v>
      </c>
      <c r="F50" s="199">
        <v>1</v>
      </c>
      <c r="G50" s="91">
        <f t="shared" si="19"/>
        <v>1</v>
      </c>
      <c r="H50" s="206">
        <v>1</v>
      </c>
      <c r="I50" s="93">
        <v>1</v>
      </c>
      <c r="J50" s="78">
        <v>1</v>
      </c>
      <c r="K50" s="94">
        <v>1</v>
      </c>
      <c r="L50" s="207">
        <f t="shared" si="20"/>
        <v>1</v>
      </c>
      <c r="M50" s="80">
        <v>1</v>
      </c>
      <c r="N50" s="81">
        <v>1</v>
      </c>
      <c r="O50" s="78">
        <v>0.95</v>
      </c>
      <c r="P50" s="84">
        <v>1</v>
      </c>
      <c r="Q50" s="83">
        <v>1</v>
      </c>
      <c r="R50" s="81">
        <v>1</v>
      </c>
      <c r="S50" s="78">
        <v>1</v>
      </c>
      <c r="T50" s="82">
        <v>1</v>
      </c>
      <c r="U50" s="92">
        <v>1</v>
      </c>
      <c r="V50" s="93">
        <v>1</v>
      </c>
      <c r="W50" s="78">
        <v>1</v>
      </c>
      <c r="X50" s="94">
        <v>1</v>
      </c>
      <c r="Y50" s="205">
        <f t="shared" si="21"/>
        <v>0.99750000000000005</v>
      </c>
      <c r="Z50" s="92">
        <v>0.5</v>
      </c>
      <c r="AA50" s="93">
        <v>0.5</v>
      </c>
      <c r="AB50" s="78">
        <v>0.5</v>
      </c>
      <c r="AC50" s="94">
        <v>0.5</v>
      </c>
      <c r="AD50" s="207">
        <f t="shared" si="22"/>
        <v>0.5</v>
      </c>
      <c r="AE50" s="92">
        <v>1</v>
      </c>
      <c r="AF50" s="93">
        <v>0.7</v>
      </c>
      <c r="AG50" s="78">
        <v>1</v>
      </c>
      <c r="AH50" s="94">
        <v>0.7</v>
      </c>
      <c r="AI50" s="207">
        <f t="shared" si="28"/>
        <v>0.82</v>
      </c>
      <c r="AJ50" s="206">
        <v>1</v>
      </c>
      <c r="AK50" s="93">
        <v>1</v>
      </c>
      <c r="AL50" s="94"/>
      <c r="AM50" s="92">
        <v>1</v>
      </c>
      <c r="AN50" s="93">
        <v>1</v>
      </c>
      <c r="AO50" s="78">
        <v>1</v>
      </c>
      <c r="AP50" s="94">
        <v>0.95</v>
      </c>
      <c r="AQ50" s="205">
        <f t="shared" si="23"/>
        <v>0.98249999999999993</v>
      </c>
      <c r="AR50" s="92">
        <v>0.7</v>
      </c>
      <c r="AS50" s="93">
        <v>0</v>
      </c>
      <c r="AT50" s="78">
        <v>0</v>
      </c>
      <c r="AU50" s="94">
        <v>0</v>
      </c>
      <c r="AV50" s="205">
        <f t="shared" si="24"/>
        <v>0.21</v>
      </c>
      <c r="AW50" s="92"/>
      <c r="AX50" s="93"/>
      <c r="AY50" s="94"/>
      <c r="AZ50" s="205">
        <f t="shared" si="25"/>
        <v>0</v>
      </c>
      <c r="BA50" s="92">
        <v>0</v>
      </c>
      <c r="BB50" s="78">
        <v>0</v>
      </c>
      <c r="BC50" s="94">
        <v>0</v>
      </c>
      <c r="BD50" s="207">
        <f t="shared" si="26"/>
        <v>0</v>
      </c>
      <c r="BE50" s="86"/>
      <c r="BF50" s="87" t="e">
        <f t="shared" si="27"/>
        <v>#DIV/0!</v>
      </c>
      <c r="BG50" s="88"/>
    </row>
    <row r="51" spans="2:59" s="89" customFormat="1" ht="43.5" customHeight="1" x14ac:dyDescent="0.35">
      <c r="B51" s="76">
        <v>304</v>
      </c>
      <c r="C51" s="77">
        <v>1</v>
      </c>
      <c r="D51" s="78">
        <v>1</v>
      </c>
      <c r="E51" s="78">
        <v>1</v>
      </c>
      <c r="F51" s="199">
        <v>1</v>
      </c>
      <c r="G51" s="91">
        <f t="shared" si="19"/>
        <v>1</v>
      </c>
      <c r="H51" s="206">
        <v>1</v>
      </c>
      <c r="I51" s="93">
        <v>1</v>
      </c>
      <c r="J51" s="78">
        <v>1</v>
      </c>
      <c r="K51" s="94">
        <v>1</v>
      </c>
      <c r="L51" s="207">
        <f t="shared" si="20"/>
        <v>1</v>
      </c>
      <c r="M51" s="80">
        <v>1</v>
      </c>
      <c r="N51" s="81">
        <v>1</v>
      </c>
      <c r="O51" s="78">
        <v>0.95</v>
      </c>
      <c r="P51" s="84">
        <v>0</v>
      </c>
      <c r="Q51" s="83">
        <v>1</v>
      </c>
      <c r="R51" s="81">
        <v>1</v>
      </c>
      <c r="S51" s="78">
        <v>1</v>
      </c>
      <c r="T51" s="82">
        <v>1</v>
      </c>
      <c r="U51" s="92">
        <v>1</v>
      </c>
      <c r="V51" s="93">
        <v>1</v>
      </c>
      <c r="W51" s="78">
        <v>1</v>
      </c>
      <c r="X51" s="94">
        <v>1</v>
      </c>
      <c r="Y51" s="205">
        <f t="shared" si="21"/>
        <v>0.89750000000000008</v>
      </c>
      <c r="Z51" s="92">
        <v>0.5</v>
      </c>
      <c r="AA51" s="93">
        <v>0.5</v>
      </c>
      <c r="AB51" s="78">
        <v>0.5</v>
      </c>
      <c r="AC51" s="94">
        <v>0.5</v>
      </c>
      <c r="AD51" s="207">
        <f t="shared" si="22"/>
        <v>0.5</v>
      </c>
      <c r="AE51" s="92">
        <v>0.7</v>
      </c>
      <c r="AF51" s="93">
        <v>1</v>
      </c>
      <c r="AG51" s="78">
        <v>1</v>
      </c>
      <c r="AH51" s="94">
        <v>0</v>
      </c>
      <c r="AI51" s="207">
        <f t="shared" si="28"/>
        <v>0.68499999999999994</v>
      </c>
      <c r="AJ51" s="206">
        <v>1</v>
      </c>
      <c r="AK51" s="93">
        <v>0</v>
      </c>
      <c r="AL51" s="94"/>
      <c r="AM51" s="92">
        <v>1</v>
      </c>
      <c r="AN51" s="93">
        <v>1</v>
      </c>
      <c r="AO51" s="78">
        <v>0.8</v>
      </c>
      <c r="AP51" s="94">
        <v>0.95</v>
      </c>
      <c r="AQ51" s="205">
        <f t="shared" si="23"/>
        <v>0.9524999999999999</v>
      </c>
      <c r="AR51" s="92">
        <v>1</v>
      </c>
      <c r="AS51" s="93">
        <v>0</v>
      </c>
      <c r="AT51" s="78">
        <v>0</v>
      </c>
      <c r="AU51" s="94">
        <v>0</v>
      </c>
      <c r="AV51" s="205">
        <f t="shared" si="24"/>
        <v>0.3</v>
      </c>
      <c r="AW51" s="92"/>
      <c r="AX51" s="93"/>
      <c r="AY51" s="94"/>
      <c r="AZ51" s="205">
        <f t="shared" si="25"/>
        <v>0</v>
      </c>
      <c r="BA51" s="92">
        <v>0</v>
      </c>
      <c r="BB51" s="78">
        <v>0</v>
      </c>
      <c r="BC51" s="94">
        <v>0</v>
      </c>
      <c r="BD51" s="207">
        <f t="shared" si="26"/>
        <v>0</v>
      </c>
      <c r="BE51" s="86"/>
      <c r="BF51" s="87" t="e">
        <f t="shared" si="27"/>
        <v>#DIV/0!</v>
      </c>
      <c r="BG51" s="97"/>
    </row>
    <row r="52" spans="2:59" s="89" customFormat="1" ht="43.5" customHeight="1" x14ac:dyDescent="0.35">
      <c r="B52" s="90">
        <v>305</v>
      </c>
      <c r="C52" s="77">
        <v>1</v>
      </c>
      <c r="D52" s="78">
        <v>1</v>
      </c>
      <c r="E52" s="78">
        <v>1</v>
      </c>
      <c r="F52" s="199">
        <v>1</v>
      </c>
      <c r="G52" s="91">
        <f t="shared" si="19"/>
        <v>1</v>
      </c>
      <c r="H52" s="206">
        <v>1</v>
      </c>
      <c r="I52" s="93">
        <v>1</v>
      </c>
      <c r="J52" s="78">
        <v>1</v>
      </c>
      <c r="K52" s="94">
        <v>1</v>
      </c>
      <c r="L52" s="207">
        <f t="shared" si="20"/>
        <v>1</v>
      </c>
      <c r="M52" s="80">
        <v>1</v>
      </c>
      <c r="N52" s="81">
        <v>1</v>
      </c>
      <c r="O52" s="78">
        <v>0.95</v>
      </c>
      <c r="P52" s="84">
        <v>1</v>
      </c>
      <c r="Q52" s="83">
        <v>1</v>
      </c>
      <c r="R52" s="81">
        <v>1</v>
      </c>
      <c r="S52" s="78">
        <v>1</v>
      </c>
      <c r="T52" s="82">
        <v>1</v>
      </c>
      <c r="U52" s="92">
        <v>1</v>
      </c>
      <c r="V52" s="93">
        <v>1</v>
      </c>
      <c r="W52" s="78">
        <v>1</v>
      </c>
      <c r="X52" s="94">
        <v>1</v>
      </c>
      <c r="Y52" s="205">
        <f t="shared" si="21"/>
        <v>0.99750000000000005</v>
      </c>
      <c r="Z52" s="92">
        <v>0.5</v>
      </c>
      <c r="AA52" s="93">
        <v>0.5</v>
      </c>
      <c r="AB52" s="78">
        <v>0.5</v>
      </c>
      <c r="AC52" s="94">
        <v>0.5</v>
      </c>
      <c r="AD52" s="207">
        <f t="shared" si="22"/>
        <v>0.5</v>
      </c>
      <c r="AE52" s="92">
        <v>0.9</v>
      </c>
      <c r="AF52" s="93">
        <v>1</v>
      </c>
      <c r="AG52" s="78">
        <v>1</v>
      </c>
      <c r="AH52" s="94">
        <v>1</v>
      </c>
      <c r="AI52" s="207">
        <f t="shared" si="28"/>
        <v>0.99499999999999988</v>
      </c>
      <c r="AJ52" s="206">
        <v>1</v>
      </c>
      <c r="AK52" s="93">
        <v>1</v>
      </c>
      <c r="AL52" s="94"/>
      <c r="AM52" s="92">
        <v>1</v>
      </c>
      <c r="AN52" s="93">
        <v>1</v>
      </c>
      <c r="AO52" s="78">
        <v>1</v>
      </c>
      <c r="AP52" s="94">
        <v>0.95</v>
      </c>
      <c r="AQ52" s="205">
        <f t="shared" si="23"/>
        <v>0.98249999999999993</v>
      </c>
      <c r="AR52" s="92">
        <v>0.7</v>
      </c>
      <c r="AS52" s="93">
        <v>0</v>
      </c>
      <c r="AT52" s="78">
        <v>0</v>
      </c>
      <c r="AU52" s="94">
        <v>0</v>
      </c>
      <c r="AV52" s="205">
        <f t="shared" si="24"/>
        <v>0.21</v>
      </c>
      <c r="AW52" s="92"/>
      <c r="AX52" s="93"/>
      <c r="AY52" s="94"/>
      <c r="AZ52" s="205">
        <f t="shared" si="25"/>
        <v>0</v>
      </c>
      <c r="BA52" s="92">
        <v>0</v>
      </c>
      <c r="BB52" s="78">
        <v>0</v>
      </c>
      <c r="BC52" s="94">
        <v>0</v>
      </c>
      <c r="BD52" s="207">
        <f t="shared" si="26"/>
        <v>0</v>
      </c>
      <c r="BE52" s="86"/>
      <c r="BF52" s="87" t="e">
        <f t="shared" si="27"/>
        <v>#DIV/0!</v>
      </c>
      <c r="BG52" s="98"/>
    </row>
    <row r="53" spans="2:59" s="89" customFormat="1" ht="43.5" customHeight="1" x14ac:dyDescent="0.35">
      <c r="B53" s="76">
        <v>306</v>
      </c>
      <c r="C53" s="77">
        <v>1</v>
      </c>
      <c r="D53" s="78">
        <v>1</v>
      </c>
      <c r="E53" s="78">
        <v>1</v>
      </c>
      <c r="F53" s="199">
        <v>1</v>
      </c>
      <c r="G53" s="91">
        <f t="shared" si="19"/>
        <v>1</v>
      </c>
      <c r="H53" s="206">
        <v>1</v>
      </c>
      <c r="I53" s="93">
        <v>1</v>
      </c>
      <c r="J53" s="78">
        <v>1</v>
      </c>
      <c r="K53" s="94">
        <v>1</v>
      </c>
      <c r="L53" s="207">
        <f t="shared" si="20"/>
        <v>1</v>
      </c>
      <c r="M53" s="80">
        <v>1</v>
      </c>
      <c r="N53" s="81">
        <v>1</v>
      </c>
      <c r="O53" s="78">
        <v>0.95</v>
      </c>
      <c r="P53" s="84">
        <v>1</v>
      </c>
      <c r="Q53" s="83">
        <v>1</v>
      </c>
      <c r="R53" s="81">
        <v>1</v>
      </c>
      <c r="S53" s="78">
        <v>1</v>
      </c>
      <c r="T53" s="82">
        <v>1</v>
      </c>
      <c r="U53" s="92">
        <v>1</v>
      </c>
      <c r="V53" s="93">
        <v>1</v>
      </c>
      <c r="W53" s="78">
        <v>1</v>
      </c>
      <c r="X53" s="94">
        <v>1</v>
      </c>
      <c r="Y53" s="205">
        <f t="shared" si="21"/>
        <v>0.99750000000000005</v>
      </c>
      <c r="Z53" s="92">
        <v>0.5</v>
      </c>
      <c r="AA53" s="93">
        <v>0.5</v>
      </c>
      <c r="AB53" s="78">
        <v>0.5</v>
      </c>
      <c r="AC53" s="94">
        <v>0.5</v>
      </c>
      <c r="AD53" s="207">
        <f t="shared" si="22"/>
        <v>0.5</v>
      </c>
      <c r="AE53" s="92">
        <v>1</v>
      </c>
      <c r="AF53" s="93">
        <v>0.5</v>
      </c>
      <c r="AG53" s="78">
        <v>1</v>
      </c>
      <c r="AH53" s="94">
        <v>1</v>
      </c>
      <c r="AI53" s="207">
        <f t="shared" si="28"/>
        <v>0.85000000000000009</v>
      </c>
      <c r="AJ53" s="206">
        <v>1</v>
      </c>
      <c r="AK53" s="93">
        <v>0.9</v>
      </c>
      <c r="AL53" s="94"/>
      <c r="AM53" s="92">
        <v>1</v>
      </c>
      <c r="AN53" s="93">
        <v>1</v>
      </c>
      <c r="AO53" s="78">
        <v>1</v>
      </c>
      <c r="AP53" s="94">
        <v>0.95</v>
      </c>
      <c r="AQ53" s="205">
        <f t="shared" si="23"/>
        <v>0.98249999999999993</v>
      </c>
      <c r="AR53" s="92">
        <v>1</v>
      </c>
      <c r="AS53" s="93">
        <v>0</v>
      </c>
      <c r="AT53" s="78">
        <v>0</v>
      </c>
      <c r="AU53" s="94">
        <v>0</v>
      </c>
      <c r="AV53" s="205">
        <f t="shared" si="24"/>
        <v>0.3</v>
      </c>
      <c r="AW53" s="92"/>
      <c r="AX53" s="93"/>
      <c r="AY53" s="94"/>
      <c r="AZ53" s="205">
        <f t="shared" si="25"/>
        <v>0</v>
      </c>
      <c r="BA53" s="92">
        <v>0</v>
      </c>
      <c r="BB53" s="78">
        <v>0</v>
      </c>
      <c r="BC53" s="94">
        <v>0</v>
      </c>
      <c r="BD53" s="207">
        <f t="shared" si="26"/>
        <v>0</v>
      </c>
      <c r="BE53" s="86"/>
      <c r="BF53" s="87" t="e">
        <f t="shared" si="27"/>
        <v>#DIV/0!</v>
      </c>
      <c r="BG53" s="99"/>
    </row>
    <row r="54" spans="2:59" s="89" customFormat="1" ht="43.5" customHeight="1" x14ac:dyDescent="0.35">
      <c r="B54" s="76">
        <v>307</v>
      </c>
      <c r="C54" s="77">
        <v>1</v>
      </c>
      <c r="D54" s="78">
        <v>1</v>
      </c>
      <c r="E54" s="78">
        <v>1</v>
      </c>
      <c r="F54" s="199">
        <v>1</v>
      </c>
      <c r="G54" s="91">
        <f t="shared" si="19"/>
        <v>1</v>
      </c>
      <c r="H54" s="206">
        <v>1</v>
      </c>
      <c r="I54" s="93">
        <v>1</v>
      </c>
      <c r="J54" s="78">
        <v>1</v>
      </c>
      <c r="K54" s="94">
        <v>1</v>
      </c>
      <c r="L54" s="207">
        <f t="shared" si="20"/>
        <v>1</v>
      </c>
      <c r="M54" s="80">
        <v>1</v>
      </c>
      <c r="N54" s="81">
        <v>1</v>
      </c>
      <c r="O54" s="78">
        <v>0.95</v>
      </c>
      <c r="P54" s="84">
        <v>1</v>
      </c>
      <c r="Q54" s="83">
        <v>1</v>
      </c>
      <c r="R54" s="81">
        <v>1</v>
      </c>
      <c r="S54" s="78">
        <v>1</v>
      </c>
      <c r="T54" s="82">
        <v>1</v>
      </c>
      <c r="U54" s="92">
        <v>1</v>
      </c>
      <c r="V54" s="93">
        <v>1</v>
      </c>
      <c r="W54" s="78">
        <v>1</v>
      </c>
      <c r="X54" s="94">
        <v>1</v>
      </c>
      <c r="Y54" s="205">
        <f t="shared" si="21"/>
        <v>0.99750000000000005</v>
      </c>
      <c r="Z54" s="92">
        <v>0.5</v>
      </c>
      <c r="AA54" s="93">
        <v>0.5</v>
      </c>
      <c r="AB54" s="78">
        <v>0.5</v>
      </c>
      <c r="AC54" s="94">
        <v>0.5</v>
      </c>
      <c r="AD54" s="207">
        <f t="shared" si="22"/>
        <v>0.5</v>
      </c>
      <c r="AE54" s="92">
        <v>1</v>
      </c>
      <c r="AF54" s="93">
        <v>1</v>
      </c>
      <c r="AG54" s="78">
        <v>1</v>
      </c>
      <c r="AH54" s="94">
        <v>1</v>
      </c>
      <c r="AI54" s="207">
        <f t="shared" si="28"/>
        <v>1</v>
      </c>
      <c r="AJ54" s="206">
        <v>1</v>
      </c>
      <c r="AK54" s="93">
        <v>1</v>
      </c>
      <c r="AL54" s="94"/>
      <c r="AM54" s="92">
        <v>1</v>
      </c>
      <c r="AN54" s="93">
        <v>1</v>
      </c>
      <c r="AO54" s="78">
        <v>1</v>
      </c>
      <c r="AP54" s="94">
        <v>0.95</v>
      </c>
      <c r="AQ54" s="205">
        <f t="shared" si="23"/>
        <v>0.98249999999999993</v>
      </c>
      <c r="AR54" s="92">
        <v>0.7</v>
      </c>
      <c r="AS54" s="93">
        <v>0</v>
      </c>
      <c r="AT54" s="78">
        <v>0</v>
      </c>
      <c r="AU54" s="94">
        <v>0</v>
      </c>
      <c r="AV54" s="205">
        <f t="shared" si="24"/>
        <v>0.21</v>
      </c>
      <c r="AW54" s="92"/>
      <c r="AX54" s="93"/>
      <c r="AY54" s="94"/>
      <c r="AZ54" s="205">
        <f t="shared" si="25"/>
        <v>0</v>
      </c>
      <c r="BA54" s="92">
        <v>0</v>
      </c>
      <c r="BB54" s="78">
        <v>0</v>
      </c>
      <c r="BC54" s="94">
        <v>0</v>
      </c>
      <c r="BD54" s="207">
        <f t="shared" si="26"/>
        <v>0</v>
      </c>
      <c r="BE54" s="86"/>
      <c r="BF54" s="87" t="e">
        <f t="shared" si="27"/>
        <v>#DIV/0!</v>
      </c>
      <c r="BG54" s="98"/>
    </row>
    <row r="55" spans="2:59" s="89" customFormat="1" ht="43.5" customHeight="1" x14ac:dyDescent="0.35">
      <c r="B55" s="90">
        <v>308</v>
      </c>
      <c r="C55" s="77">
        <v>1</v>
      </c>
      <c r="D55" s="78">
        <v>1</v>
      </c>
      <c r="E55" s="78">
        <v>1</v>
      </c>
      <c r="F55" s="199">
        <v>1</v>
      </c>
      <c r="G55" s="91">
        <f t="shared" si="19"/>
        <v>1</v>
      </c>
      <c r="H55" s="206">
        <v>1</v>
      </c>
      <c r="I55" s="93">
        <v>1</v>
      </c>
      <c r="J55" s="78">
        <v>1</v>
      </c>
      <c r="K55" s="94">
        <v>1</v>
      </c>
      <c r="L55" s="207">
        <f t="shared" si="20"/>
        <v>1</v>
      </c>
      <c r="M55" s="80">
        <v>1</v>
      </c>
      <c r="N55" s="81">
        <v>1</v>
      </c>
      <c r="O55" s="78">
        <v>0.95</v>
      </c>
      <c r="P55" s="84">
        <v>1</v>
      </c>
      <c r="Q55" s="83">
        <v>1</v>
      </c>
      <c r="R55" s="81">
        <v>1</v>
      </c>
      <c r="S55" s="78">
        <v>1</v>
      </c>
      <c r="T55" s="82">
        <v>1</v>
      </c>
      <c r="U55" s="92">
        <v>1</v>
      </c>
      <c r="V55" s="93">
        <v>1</v>
      </c>
      <c r="W55" s="78">
        <v>1</v>
      </c>
      <c r="X55" s="94">
        <v>1</v>
      </c>
      <c r="Y55" s="205">
        <f t="shared" si="21"/>
        <v>0.99750000000000005</v>
      </c>
      <c r="Z55" s="92">
        <v>0.5</v>
      </c>
      <c r="AA55" s="93">
        <v>0.5</v>
      </c>
      <c r="AB55" s="78">
        <v>0.5</v>
      </c>
      <c r="AC55" s="94">
        <v>0.5</v>
      </c>
      <c r="AD55" s="207">
        <f t="shared" si="22"/>
        <v>0.5</v>
      </c>
      <c r="AE55" s="92">
        <v>1</v>
      </c>
      <c r="AF55" s="93">
        <v>1</v>
      </c>
      <c r="AG55" s="78">
        <v>1</v>
      </c>
      <c r="AH55" s="94">
        <v>1</v>
      </c>
      <c r="AI55" s="207">
        <f t="shared" si="28"/>
        <v>1</v>
      </c>
      <c r="AJ55" s="206">
        <v>1</v>
      </c>
      <c r="AK55" s="93">
        <v>0.9</v>
      </c>
      <c r="AL55" s="94"/>
      <c r="AM55" s="92">
        <v>1</v>
      </c>
      <c r="AN55" s="93">
        <v>1</v>
      </c>
      <c r="AO55" s="78">
        <v>1</v>
      </c>
      <c r="AP55" s="94">
        <v>0.95</v>
      </c>
      <c r="AQ55" s="205">
        <f t="shared" si="23"/>
        <v>0.98249999999999993</v>
      </c>
      <c r="AR55" s="92">
        <v>1</v>
      </c>
      <c r="AS55" s="93">
        <v>0</v>
      </c>
      <c r="AT55" s="78">
        <v>0</v>
      </c>
      <c r="AU55" s="94">
        <v>0</v>
      </c>
      <c r="AV55" s="205">
        <f t="shared" si="24"/>
        <v>0.3</v>
      </c>
      <c r="AW55" s="92"/>
      <c r="AX55" s="93"/>
      <c r="AY55" s="94"/>
      <c r="AZ55" s="205">
        <f t="shared" si="25"/>
        <v>0</v>
      </c>
      <c r="BA55" s="92">
        <v>0</v>
      </c>
      <c r="BB55" s="78">
        <v>0</v>
      </c>
      <c r="BC55" s="94">
        <v>0</v>
      </c>
      <c r="BD55" s="207">
        <f t="shared" si="26"/>
        <v>0</v>
      </c>
      <c r="BE55" s="86"/>
      <c r="BF55" s="87" t="e">
        <f t="shared" si="27"/>
        <v>#DIV/0!</v>
      </c>
      <c r="BG55" s="99"/>
    </row>
    <row r="56" spans="2:59" s="89" customFormat="1" ht="43.5" customHeight="1" x14ac:dyDescent="0.35">
      <c r="B56" s="76">
        <v>309</v>
      </c>
      <c r="C56" s="77">
        <v>1</v>
      </c>
      <c r="D56" s="78">
        <v>1</v>
      </c>
      <c r="E56" s="78">
        <v>1</v>
      </c>
      <c r="F56" s="199">
        <v>1</v>
      </c>
      <c r="G56" s="91">
        <f t="shared" si="19"/>
        <v>1</v>
      </c>
      <c r="H56" s="206">
        <v>1</v>
      </c>
      <c r="I56" s="93">
        <v>1</v>
      </c>
      <c r="J56" s="78">
        <v>1</v>
      </c>
      <c r="K56" s="94">
        <v>1</v>
      </c>
      <c r="L56" s="207">
        <f t="shared" si="20"/>
        <v>1</v>
      </c>
      <c r="M56" s="80">
        <v>1</v>
      </c>
      <c r="N56" s="81">
        <v>1</v>
      </c>
      <c r="O56" s="78">
        <v>0.95</v>
      </c>
      <c r="P56" s="84">
        <v>1</v>
      </c>
      <c r="Q56" s="83">
        <v>1</v>
      </c>
      <c r="R56" s="81">
        <v>1</v>
      </c>
      <c r="S56" s="78">
        <v>1</v>
      </c>
      <c r="T56" s="82">
        <v>1</v>
      </c>
      <c r="U56" s="92">
        <v>1</v>
      </c>
      <c r="V56" s="93">
        <v>1</v>
      </c>
      <c r="W56" s="78">
        <v>1</v>
      </c>
      <c r="X56" s="94">
        <v>1</v>
      </c>
      <c r="Y56" s="205">
        <f t="shared" si="21"/>
        <v>0.99750000000000005</v>
      </c>
      <c r="Z56" s="92">
        <v>0.5</v>
      </c>
      <c r="AA56" s="93">
        <v>0.5</v>
      </c>
      <c r="AB56" s="78">
        <v>0.5</v>
      </c>
      <c r="AC56" s="94">
        <v>0.5</v>
      </c>
      <c r="AD56" s="207">
        <f t="shared" si="22"/>
        <v>0.5</v>
      </c>
      <c r="AE56" s="92">
        <v>1</v>
      </c>
      <c r="AF56" s="93">
        <v>0.7</v>
      </c>
      <c r="AG56" s="78">
        <v>1</v>
      </c>
      <c r="AH56" s="94">
        <v>0.7</v>
      </c>
      <c r="AI56" s="207">
        <f t="shared" si="28"/>
        <v>0.82</v>
      </c>
      <c r="AJ56" s="206">
        <v>1</v>
      </c>
      <c r="AK56" s="93">
        <v>1</v>
      </c>
      <c r="AL56" s="94"/>
      <c r="AM56" s="92">
        <v>1</v>
      </c>
      <c r="AN56" s="93">
        <v>1</v>
      </c>
      <c r="AO56" s="78">
        <v>1</v>
      </c>
      <c r="AP56" s="94">
        <v>0.95</v>
      </c>
      <c r="AQ56" s="205">
        <f t="shared" si="23"/>
        <v>0.98249999999999993</v>
      </c>
      <c r="AR56" s="92">
        <v>0.7</v>
      </c>
      <c r="AS56" s="93">
        <v>0</v>
      </c>
      <c r="AT56" s="78">
        <v>0</v>
      </c>
      <c r="AU56" s="94">
        <v>0</v>
      </c>
      <c r="AV56" s="205">
        <f t="shared" si="24"/>
        <v>0.21</v>
      </c>
      <c r="AW56" s="92"/>
      <c r="AX56" s="93"/>
      <c r="AY56" s="94"/>
      <c r="AZ56" s="205">
        <f t="shared" si="25"/>
        <v>0</v>
      </c>
      <c r="BA56" s="92">
        <v>0</v>
      </c>
      <c r="BB56" s="78">
        <v>0</v>
      </c>
      <c r="BC56" s="94">
        <v>0</v>
      </c>
      <c r="BD56" s="207">
        <f t="shared" si="26"/>
        <v>0</v>
      </c>
      <c r="BE56" s="86"/>
      <c r="BF56" s="87" t="e">
        <f t="shared" si="27"/>
        <v>#DIV/0!</v>
      </c>
      <c r="BG56" s="100"/>
    </row>
    <row r="57" spans="2:59" s="89" customFormat="1" ht="43.5" customHeight="1" x14ac:dyDescent="0.35">
      <c r="B57" s="76">
        <v>310</v>
      </c>
      <c r="C57" s="77">
        <v>1</v>
      </c>
      <c r="D57" s="78">
        <v>1</v>
      </c>
      <c r="E57" s="78">
        <v>1</v>
      </c>
      <c r="F57" s="199">
        <v>1</v>
      </c>
      <c r="G57" s="91">
        <f t="shared" si="19"/>
        <v>1</v>
      </c>
      <c r="H57" s="206">
        <v>1</v>
      </c>
      <c r="I57" s="93">
        <v>1</v>
      </c>
      <c r="J57" s="78">
        <v>1</v>
      </c>
      <c r="K57" s="94">
        <v>1</v>
      </c>
      <c r="L57" s="207">
        <f t="shared" si="20"/>
        <v>1</v>
      </c>
      <c r="M57" s="80">
        <v>1</v>
      </c>
      <c r="N57" s="81">
        <v>1</v>
      </c>
      <c r="O57" s="78">
        <v>0.95</v>
      </c>
      <c r="P57" s="84">
        <v>1</v>
      </c>
      <c r="Q57" s="83">
        <v>1</v>
      </c>
      <c r="R57" s="81">
        <v>1</v>
      </c>
      <c r="S57" s="78">
        <v>1</v>
      </c>
      <c r="T57" s="82">
        <v>1</v>
      </c>
      <c r="U57" s="92">
        <v>1</v>
      </c>
      <c r="V57" s="93">
        <v>1</v>
      </c>
      <c r="W57" s="78">
        <v>1</v>
      </c>
      <c r="X57" s="94">
        <v>1</v>
      </c>
      <c r="Y57" s="205">
        <f t="shared" si="21"/>
        <v>0.99750000000000005</v>
      </c>
      <c r="Z57" s="92">
        <v>0.5</v>
      </c>
      <c r="AA57" s="93">
        <v>0.5</v>
      </c>
      <c r="AB57" s="78">
        <v>0.5</v>
      </c>
      <c r="AC57" s="94">
        <v>0.5</v>
      </c>
      <c r="AD57" s="207">
        <f t="shared" si="22"/>
        <v>0.5</v>
      </c>
      <c r="AE57" s="92">
        <v>1</v>
      </c>
      <c r="AF57" s="93">
        <v>1</v>
      </c>
      <c r="AG57" s="78">
        <v>1</v>
      </c>
      <c r="AH57" s="94">
        <v>1</v>
      </c>
      <c r="AI57" s="207">
        <f t="shared" si="28"/>
        <v>1</v>
      </c>
      <c r="AJ57" s="206">
        <v>1</v>
      </c>
      <c r="AK57" s="93">
        <v>0.9</v>
      </c>
      <c r="AL57" s="94"/>
      <c r="AM57" s="92">
        <v>1</v>
      </c>
      <c r="AN57" s="93">
        <v>1</v>
      </c>
      <c r="AO57" s="78">
        <v>1</v>
      </c>
      <c r="AP57" s="94">
        <v>0.95</v>
      </c>
      <c r="AQ57" s="205">
        <f t="shared" si="23"/>
        <v>0.98249999999999993</v>
      </c>
      <c r="AR57" s="92">
        <v>1</v>
      </c>
      <c r="AS57" s="93">
        <v>0</v>
      </c>
      <c r="AT57" s="78">
        <v>0</v>
      </c>
      <c r="AU57" s="94">
        <v>0</v>
      </c>
      <c r="AV57" s="205">
        <f t="shared" si="24"/>
        <v>0.3</v>
      </c>
      <c r="AW57" s="92"/>
      <c r="AX57" s="93"/>
      <c r="AY57" s="94"/>
      <c r="AZ57" s="205">
        <f t="shared" si="25"/>
        <v>0</v>
      </c>
      <c r="BA57" s="92">
        <v>0</v>
      </c>
      <c r="BB57" s="78">
        <v>0</v>
      </c>
      <c r="BC57" s="94">
        <v>0</v>
      </c>
      <c r="BD57" s="207">
        <f t="shared" si="26"/>
        <v>0</v>
      </c>
      <c r="BE57" s="86"/>
      <c r="BF57" s="87" t="e">
        <f t="shared" si="27"/>
        <v>#DIV/0!</v>
      </c>
      <c r="BG57" s="98"/>
    </row>
    <row r="58" spans="2:59" s="89" customFormat="1" ht="43.5" customHeight="1" x14ac:dyDescent="0.35">
      <c r="B58" s="90">
        <v>311</v>
      </c>
      <c r="C58" s="77">
        <v>1</v>
      </c>
      <c r="D58" s="78">
        <v>1</v>
      </c>
      <c r="E58" s="78">
        <v>1</v>
      </c>
      <c r="F58" s="199">
        <v>1</v>
      </c>
      <c r="G58" s="91">
        <f t="shared" si="19"/>
        <v>1</v>
      </c>
      <c r="H58" s="206">
        <v>1</v>
      </c>
      <c r="I58" s="93">
        <v>1</v>
      </c>
      <c r="J58" s="78">
        <v>1</v>
      </c>
      <c r="K58" s="94">
        <v>1</v>
      </c>
      <c r="L58" s="207">
        <f t="shared" si="20"/>
        <v>1</v>
      </c>
      <c r="M58" s="80">
        <v>1</v>
      </c>
      <c r="N58" s="81">
        <v>1</v>
      </c>
      <c r="O58" s="78">
        <v>0.95</v>
      </c>
      <c r="P58" s="84">
        <v>1</v>
      </c>
      <c r="Q58" s="83">
        <v>1</v>
      </c>
      <c r="R58" s="81">
        <v>1</v>
      </c>
      <c r="S58" s="78">
        <v>1</v>
      </c>
      <c r="T58" s="82">
        <v>1</v>
      </c>
      <c r="U58" s="92">
        <v>1</v>
      </c>
      <c r="V58" s="93">
        <v>1</v>
      </c>
      <c r="W58" s="78">
        <v>1</v>
      </c>
      <c r="X58" s="94">
        <v>1</v>
      </c>
      <c r="Y58" s="205">
        <f t="shared" si="21"/>
        <v>0.99750000000000005</v>
      </c>
      <c r="Z58" s="92">
        <v>0.5</v>
      </c>
      <c r="AA58" s="93">
        <v>0.5</v>
      </c>
      <c r="AB58" s="78">
        <v>0.5</v>
      </c>
      <c r="AC58" s="94">
        <v>0.5</v>
      </c>
      <c r="AD58" s="207">
        <f t="shared" si="22"/>
        <v>0.5</v>
      </c>
      <c r="AE58" s="92">
        <v>1</v>
      </c>
      <c r="AF58" s="93">
        <v>1</v>
      </c>
      <c r="AG58" s="78">
        <v>1</v>
      </c>
      <c r="AH58" s="94">
        <v>0.7</v>
      </c>
      <c r="AI58" s="207">
        <f t="shared" si="28"/>
        <v>0.90999999999999992</v>
      </c>
      <c r="AJ58" s="206">
        <v>1</v>
      </c>
      <c r="AK58" s="93">
        <v>1</v>
      </c>
      <c r="AL58" s="94"/>
      <c r="AM58" s="92">
        <v>1</v>
      </c>
      <c r="AN58" s="93">
        <v>1</v>
      </c>
      <c r="AO58" s="78">
        <v>1</v>
      </c>
      <c r="AP58" s="94">
        <v>0.95</v>
      </c>
      <c r="AQ58" s="205">
        <f t="shared" si="23"/>
        <v>0.98249999999999993</v>
      </c>
      <c r="AR58" s="92">
        <v>0.7</v>
      </c>
      <c r="AS58" s="93">
        <v>0</v>
      </c>
      <c r="AT58" s="78">
        <v>0</v>
      </c>
      <c r="AU58" s="94">
        <v>0</v>
      </c>
      <c r="AV58" s="205">
        <f t="shared" si="24"/>
        <v>0.21</v>
      </c>
      <c r="AW58" s="92"/>
      <c r="AX58" s="93"/>
      <c r="AY58" s="94"/>
      <c r="AZ58" s="205">
        <f t="shared" si="25"/>
        <v>0</v>
      </c>
      <c r="BA58" s="92">
        <v>0</v>
      </c>
      <c r="BB58" s="78">
        <v>0</v>
      </c>
      <c r="BC58" s="94">
        <v>0</v>
      </c>
      <c r="BD58" s="207">
        <f t="shared" si="26"/>
        <v>0</v>
      </c>
      <c r="BE58" s="86"/>
      <c r="BF58" s="87" t="e">
        <f t="shared" si="27"/>
        <v>#DIV/0!</v>
      </c>
      <c r="BG58" s="97"/>
    </row>
    <row r="59" spans="2:59" s="89" customFormat="1" ht="43.5" customHeight="1" x14ac:dyDescent="0.35">
      <c r="B59" s="76">
        <v>312</v>
      </c>
      <c r="C59" s="77">
        <v>1</v>
      </c>
      <c r="D59" s="78">
        <v>1</v>
      </c>
      <c r="E59" s="78">
        <v>1</v>
      </c>
      <c r="F59" s="199">
        <v>1</v>
      </c>
      <c r="G59" s="91">
        <f t="shared" si="19"/>
        <v>1</v>
      </c>
      <c r="H59" s="206">
        <v>0.9</v>
      </c>
      <c r="I59" s="93">
        <v>0.9</v>
      </c>
      <c r="J59" s="78">
        <v>0.9</v>
      </c>
      <c r="K59" s="94">
        <v>0.9</v>
      </c>
      <c r="L59" s="207">
        <f t="shared" si="20"/>
        <v>0.9</v>
      </c>
      <c r="M59" s="80">
        <v>1</v>
      </c>
      <c r="N59" s="81">
        <v>1</v>
      </c>
      <c r="O59" s="78">
        <v>0.95</v>
      </c>
      <c r="P59" s="84">
        <v>1</v>
      </c>
      <c r="Q59" s="83">
        <v>1</v>
      </c>
      <c r="R59" s="81">
        <v>1</v>
      </c>
      <c r="S59" s="78">
        <v>1</v>
      </c>
      <c r="T59" s="82">
        <v>1</v>
      </c>
      <c r="U59" s="92">
        <v>1</v>
      </c>
      <c r="V59" s="93">
        <v>1</v>
      </c>
      <c r="W59" s="78">
        <v>1</v>
      </c>
      <c r="X59" s="94">
        <v>1</v>
      </c>
      <c r="Y59" s="205">
        <f t="shared" si="21"/>
        <v>0.99750000000000005</v>
      </c>
      <c r="Z59" s="92">
        <v>0.5</v>
      </c>
      <c r="AA59" s="93">
        <v>0.5</v>
      </c>
      <c r="AB59" s="78">
        <v>0.5</v>
      </c>
      <c r="AC59" s="94">
        <v>0.5</v>
      </c>
      <c r="AD59" s="207">
        <f t="shared" si="22"/>
        <v>0.5</v>
      </c>
      <c r="AE59" s="92">
        <v>1</v>
      </c>
      <c r="AF59" s="93">
        <v>1</v>
      </c>
      <c r="AG59" s="78">
        <v>1</v>
      </c>
      <c r="AH59" s="94">
        <v>1</v>
      </c>
      <c r="AI59" s="207">
        <f t="shared" si="28"/>
        <v>1</v>
      </c>
      <c r="AJ59" s="206">
        <v>1</v>
      </c>
      <c r="AK59" s="93">
        <v>1</v>
      </c>
      <c r="AL59" s="94"/>
      <c r="AM59" s="92">
        <v>1</v>
      </c>
      <c r="AN59" s="93">
        <v>1</v>
      </c>
      <c r="AO59" s="78">
        <v>1</v>
      </c>
      <c r="AP59" s="94">
        <v>0.95</v>
      </c>
      <c r="AQ59" s="205">
        <f t="shared" si="23"/>
        <v>0.98249999999999993</v>
      </c>
      <c r="AR59" s="92">
        <v>1</v>
      </c>
      <c r="AS59" s="93">
        <v>0</v>
      </c>
      <c r="AT59" s="78">
        <v>0</v>
      </c>
      <c r="AU59" s="94">
        <v>0</v>
      </c>
      <c r="AV59" s="205">
        <f t="shared" si="24"/>
        <v>0.3</v>
      </c>
      <c r="AW59" s="92"/>
      <c r="AX59" s="93"/>
      <c r="AY59" s="94"/>
      <c r="AZ59" s="205">
        <f t="shared" si="25"/>
        <v>0</v>
      </c>
      <c r="BA59" s="92">
        <v>1</v>
      </c>
      <c r="BB59" s="78">
        <v>1</v>
      </c>
      <c r="BC59" s="94">
        <v>0</v>
      </c>
      <c r="BD59" s="207">
        <f t="shared" si="26"/>
        <v>0.75</v>
      </c>
      <c r="BE59" s="86"/>
      <c r="BF59" s="87" t="e">
        <f t="shared" si="27"/>
        <v>#DIV/0!</v>
      </c>
      <c r="BG59" s="97"/>
    </row>
    <row r="60" spans="2:59" s="89" customFormat="1" ht="43.5" customHeight="1" x14ac:dyDescent="0.35">
      <c r="B60" s="76">
        <v>313</v>
      </c>
      <c r="C60" s="77">
        <v>1</v>
      </c>
      <c r="D60" s="78">
        <v>1</v>
      </c>
      <c r="E60" s="78">
        <v>1</v>
      </c>
      <c r="F60" s="199">
        <v>1</v>
      </c>
      <c r="G60" s="91">
        <f t="shared" si="19"/>
        <v>1</v>
      </c>
      <c r="H60" s="206">
        <v>0.9</v>
      </c>
      <c r="I60" s="93">
        <v>0.9</v>
      </c>
      <c r="J60" s="78">
        <v>0.8</v>
      </c>
      <c r="K60" s="94">
        <v>0.7</v>
      </c>
      <c r="L60" s="207">
        <f t="shared" si="20"/>
        <v>0.83000000000000007</v>
      </c>
      <c r="M60" s="80">
        <v>1</v>
      </c>
      <c r="N60" s="81">
        <v>1</v>
      </c>
      <c r="O60" s="78">
        <v>0.95</v>
      </c>
      <c r="P60" s="84">
        <v>1</v>
      </c>
      <c r="Q60" s="83">
        <v>1</v>
      </c>
      <c r="R60" s="81">
        <v>1</v>
      </c>
      <c r="S60" s="78">
        <v>1</v>
      </c>
      <c r="T60" s="82">
        <v>1</v>
      </c>
      <c r="U60" s="92">
        <v>1</v>
      </c>
      <c r="V60" s="93">
        <v>1</v>
      </c>
      <c r="W60" s="78">
        <v>1</v>
      </c>
      <c r="X60" s="94">
        <v>1</v>
      </c>
      <c r="Y60" s="205">
        <f t="shared" si="21"/>
        <v>0.99750000000000005</v>
      </c>
      <c r="Z60" s="92">
        <v>0.5</v>
      </c>
      <c r="AA60" s="93">
        <v>0.5</v>
      </c>
      <c r="AB60" s="78">
        <v>0.5</v>
      </c>
      <c r="AC60" s="94">
        <v>0.5</v>
      </c>
      <c r="AD60" s="207">
        <f t="shared" si="22"/>
        <v>0.5</v>
      </c>
      <c r="AE60" s="92">
        <v>1</v>
      </c>
      <c r="AF60" s="93">
        <v>1</v>
      </c>
      <c r="AG60" s="78">
        <v>1</v>
      </c>
      <c r="AH60" s="94">
        <v>1</v>
      </c>
      <c r="AI60" s="207">
        <f t="shared" si="28"/>
        <v>1</v>
      </c>
      <c r="AJ60" s="206">
        <v>1</v>
      </c>
      <c r="AK60" s="93">
        <v>0</v>
      </c>
      <c r="AL60" s="94"/>
      <c r="AM60" s="92">
        <v>0</v>
      </c>
      <c r="AN60" s="93">
        <v>0.7</v>
      </c>
      <c r="AO60" s="78">
        <v>1</v>
      </c>
      <c r="AP60" s="94">
        <v>0.95</v>
      </c>
      <c r="AQ60" s="205">
        <f t="shared" si="23"/>
        <v>0.72749999999999992</v>
      </c>
      <c r="AR60" s="92">
        <v>0.7</v>
      </c>
      <c r="AS60" s="93">
        <v>0</v>
      </c>
      <c r="AT60" s="78">
        <v>0</v>
      </c>
      <c r="AU60" s="94">
        <v>0</v>
      </c>
      <c r="AV60" s="205">
        <f t="shared" si="24"/>
        <v>0.21</v>
      </c>
      <c r="AW60" s="92"/>
      <c r="AX60" s="93"/>
      <c r="AY60" s="94"/>
      <c r="AZ60" s="205">
        <f t="shared" si="25"/>
        <v>0</v>
      </c>
      <c r="BA60" s="92">
        <v>0</v>
      </c>
      <c r="BB60" s="78">
        <v>0</v>
      </c>
      <c r="BC60" s="94">
        <v>0</v>
      </c>
      <c r="BD60" s="207">
        <f t="shared" si="26"/>
        <v>0</v>
      </c>
      <c r="BE60" s="86"/>
      <c r="BF60" s="87" t="e">
        <f t="shared" si="27"/>
        <v>#DIV/0!</v>
      </c>
      <c r="BG60" s="100"/>
    </row>
    <row r="61" spans="2:59" s="89" customFormat="1" ht="43.5" customHeight="1" x14ac:dyDescent="0.35">
      <c r="B61" s="90">
        <v>314</v>
      </c>
      <c r="C61" s="77">
        <v>1</v>
      </c>
      <c r="D61" s="78">
        <v>1</v>
      </c>
      <c r="E61" s="78">
        <v>1</v>
      </c>
      <c r="F61" s="199">
        <v>1</v>
      </c>
      <c r="G61" s="91">
        <f t="shared" si="19"/>
        <v>1</v>
      </c>
      <c r="H61" s="206">
        <v>0.9</v>
      </c>
      <c r="I61" s="93">
        <v>0.9</v>
      </c>
      <c r="J61" s="78">
        <v>0.9</v>
      </c>
      <c r="K61" s="94">
        <v>0.9</v>
      </c>
      <c r="L61" s="207">
        <f t="shared" si="20"/>
        <v>0.9</v>
      </c>
      <c r="M61" s="80">
        <v>1</v>
      </c>
      <c r="N61" s="81">
        <v>1</v>
      </c>
      <c r="O61" s="78">
        <v>0.95</v>
      </c>
      <c r="P61" s="84">
        <v>1</v>
      </c>
      <c r="Q61" s="83">
        <v>1</v>
      </c>
      <c r="R61" s="81">
        <v>1</v>
      </c>
      <c r="S61" s="78">
        <v>1</v>
      </c>
      <c r="T61" s="82">
        <v>1</v>
      </c>
      <c r="U61" s="92">
        <v>1</v>
      </c>
      <c r="V61" s="93">
        <v>1</v>
      </c>
      <c r="W61" s="78">
        <v>1</v>
      </c>
      <c r="X61" s="94">
        <v>1</v>
      </c>
      <c r="Y61" s="205">
        <f t="shared" si="21"/>
        <v>0.99750000000000005</v>
      </c>
      <c r="Z61" s="92">
        <v>0.5</v>
      </c>
      <c r="AA61" s="93">
        <v>0.5</v>
      </c>
      <c r="AB61" s="78">
        <v>0.5</v>
      </c>
      <c r="AC61" s="94">
        <v>0.5</v>
      </c>
      <c r="AD61" s="207">
        <f t="shared" si="22"/>
        <v>0.5</v>
      </c>
      <c r="AE61" s="92">
        <v>1</v>
      </c>
      <c r="AF61" s="93">
        <v>1</v>
      </c>
      <c r="AG61" s="78">
        <v>1</v>
      </c>
      <c r="AH61" s="94">
        <v>1</v>
      </c>
      <c r="AI61" s="207">
        <f t="shared" si="28"/>
        <v>1</v>
      </c>
      <c r="AJ61" s="206">
        <v>1</v>
      </c>
      <c r="AK61" s="93">
        <v>0</v>
      </c>
      <c r="AL61" s="94"/>
      <c r="AM61" s="92">
        <v>1</v>
      </c>
      <c r="AN61" s="93">
        <v>1</v>
      </c>
      <c r="AO61" s="78">
        <v>1</v>
      </c>
      <c r="AP61" s="94">
        <v>0.95</v>
      </c>
      <c r="AQ61" s="205">
        <f t="shared" si="23"/>
        <v>0.98249999999999993</v>
      </c>
      <c r="AR61" s="92">
        <v>0</v>
      </c>
      <c r="AS61" s="93">
        <v>0</v>
      </c>
      <c r="AT61" s="78">
        <v>0</v>
      </c>
      <c r="AU61" s="94">
        <v>0</v>
      </c>
      <c r="AV61" s="205">
        <f t="shared" si="24"/>
        <v>0</v>
      </c>
      <c r="AW61" s="92"/>
      <c r="AX61" s="93"/>
      <c r="AY61" s="94"/>
      <c r="AZ61" s="205">
        <f t="shared" si="25"/>
        <v>0</v>
      </c>
      <c r="BA61" s="92">
        <v>0</v>
      </c>
      <c r="BB61" s="78">
        <v>0</v>
      </c>
      <c r="BC61" s="94">
        <v>0</v>
      </c>
      <c r="BD61" s="207">
        <f t="shared" si="26"/>
        <v>0</v>
      </c>
      <c r="BE61" s="86"/>
      <c r="BF61" s="87" t="e">
        <f t="shared" si="27"/>
        <v>#DIV/0!</v>
      </c>
      <c r="BG61" s="98"/>
    </row>
    <row r="62" spans="2:59" s="89" customFormat="1" ht="43.5" customHeight="1" x14ac:dyDescent="0.35">
      <c r="B62" s="76">
        <v>315</v>
      </c>
      <c r="C62" s="77">
        <v>1</v>
      </c>
      <c r="D62" s="78">
        <v>1</v>
      </c>
      <c r="E62" s="78">
        <v>1</v>
      </c>
      <c r="F62" s="199">
        <v>1</v>
      </c>
      <c r="G62" s="91">
        <f t="shared" si="19"/>
        <v>1</v>
      </c>
      <c r="H62" s="206">
        <v>0.9</v>
      </c>
      <c r="I62" s="93">
        <v>0.9</v>
      </c>
      <c r="J62" s="78">
        <v>0.9</v>
      </c>
      <c r="K62" s="94">
        <v>0.9</v>
      </c>
      <c r="L62" s="207">
        <f t="shared" si="20"/>
        <v>0.9</v>
      </c>
      <c r="M62" s="80">
        <v>1</v>
      </c>
      <c r="N62" s="81">
        <v>1</v>
      </c>
      <c r="O62" s="78">
        <v>0.95</v>
      </c>
      <c r="P62" s="84">
        <v>1</v>
      </c>
      <c r="Q62" s="83">
        <v>1</v>
      </c>
      <c r="R62" s="81">
        <v>1</v>
      </c>
      <c r="S62" s="78">
        <v>1</v>
      </c>
      <c r="T62" s="82">
        <v>1</v>
      </c>
      <c r="U62" s="92">
        <v>1</v>
      </c>
      <c r="V62" s="93">
        <v>1</v>
      </c>
      <c r="W62" s="78">
        <v>1</v>
      </c>
      <c r="X62" s="94">
        <v>1</v>
      </c>
      <c r="Y62" s="205">
        <f t="shared" si="21"/>
        <v>0.99750000000000005</v>
      </c>
      <c r="Z62" s="92">
        <v>0.5</v>
      </c>
      <c r="AA62" s="93">
        <v>0.5</v>
      </c>
      <c r="AB62" s="78">
        <v>0.5</v>
      </c>
      <c r="AC62" s="94">
        <v>0.5</v>
      </c>
      <c r="AD62" s="207">
        <f t="shared" si="22"/>
        <v>0.5</v>
      </c>
      <c r="AE62" s="92">
        <v>0.7</v>
      </c>
      <c r="AF62" s="93">
        <v>0</v>
      </c>
      <c r="AG62" s="78">
        <v>1</v>
      </c>
      <c r="AH62" s="94">
        <v>0.7</v>
      </c>
      <c r="AI62" s="207">
        <f t="shared" si="28"/>
        <v>0.59499999999999997</v>
      </c>
      <c r="AJ62" s="206">
        <v>1</v>
      </c>
      <c r="AK62" s="93">
        <v>0</v>
      </c>
      <c r="AL62" s="94"/>
      <c r="AM62" s="92">
        <v>1</v>
      </c>
      <c r="AN62" s="93">
        <v>1</v>
      </c>
      <c r="AO62" s="78">
        <v>1</v>
      </c>
      <c r="AP62" s="94">
        <v>0.95</v>
      </c>
      <c r="AQ62" s="205">
        <f t="shared" si="23"/>
        <v>0.98249999999999993</v>
      </c>
      <c r="AR62" s="92">
        <v>0</v>
      </c>
      <c r="AS62" s="93">
        <v>0</v>
      </c>
      <c r="AT62" s="78">
        <v>0</v>
      </c>
      <c r="AU62" s="94">
        <v>0</v>
      </c>
      <c r="AV62" s="205">
        <f t="shared" si="24"/>
        <v>0</v>
      </c>
      <c r="AW62" s="92"/>
      <c r="AX62" s="93"/>
      <c r="AY62" s="94"/>
      <c r="AZ62" s="205">
        <f t="shared" si="25"/>
        <v>0</v>
      </c>
      <c r="BA62" s="92">
        <v>0</v>
      </c>
      <c r="BB62" s="78">
        <v>0</v>
      </c>
      <c r="BC62" s="94">
        <v>0</v>
      </c>
      <c r="BD62" s="207">
        <f t="shared" si="26"/>
        <v>0</v>
      </c>
      <c r="BE62" s="86"/>
      <c r="BF62" s="87" t="e">
        <f t="shared" si="27"/>
        <v>#DIV/0!</v>
      </c>
      <c r="BG62" s="98"/>
    </row>
    <row r="63" spans="2:59" s="89" customFormat="1" ht="43.5" customHeight="1" thickBot="1" x14ac:dyDescent="0.4">
      <c r="B63" s="101">
        <v>316</v>
      </c>
      <c r="C63" s="77">
        <v>1</v>
      </c>
      <c r="D63" s="78">
        <v>1</v>
      </c>
      <c r="E63" s="78">
        <v>1</v>
      </c>
      <c r="F63" s="199">
        <v>1</v>
      </c>
      <c r="G63" s="102">
        <f t="shared" si="19"/>
        <v>1</v>
      </c>
      <c r="H63" s="208">
        <v>0.9</v>
      </c>
      <c r="I63" s="110">
        <v>0.9</v>
      </c>
      <c r="J63" s="105">
        <v>0.9</v>
      </c>
      <c r="K63" s="111">
        <v>0.9</v>
      </c>
      <c r="L63" s="209">
        <f t="shared" si="20"/>
        <v>0.9</v>
      </c>
      <c r="M63" s="107">
        <v>1</v>
      </c>
      <c r="N63" s="104">
        <v>1</v>
      </c>
      <c r="O63" s="105">
        <v>0.95</v>
      </c>
      <c r="P63" s="106">
        <v>1</v>
      </c>
      <c r="Q63" s="103">
        <v>1</v>
      </c>
      <c r="R63" s="104">
        <v>1</v>
      </c>
      <c r="S63" s="105">
        <v>1</v>
      </c>
      <c r="T63" s="108">
        <v>1</v>
      </c>
      <c r="U63" s="109">
        <v>1</v>
      </c>
      <c r="V63" s="110">
        <v>1</v>
      </c>
      <c r="W63" s="105">
        <v>1</v>
      </c>
      <c r="X63" s="111">
        <v>1</v>
      </c>
      <c r="Y63" s="210">
        <f t="shared" si="21"/>
        <v>0.99750000000000005</v>
      </c>
      <c r="Z63" s="109">
        <v>0.5</v>
      </c>
      <c r="AA63" s="110">
        <v>0.5</v>
      </c>
      <c r="AB63" s="105">
        <v>0.5</v>
      </c>
      <c r="AC63" s="111">
        <v>0.5</v>
      </c>
      <c r="AD63" s="209">
        <f t="shared" si="22"/>
        <v>0.5</v>
      </c>
      <c r="AE63" s="109">
        <v>1</v>
      </c>
      <c r="AF63" s="110">
        <v>1</v>
      </c>
      <c r="AG63" s="105">
        <v>0.7</v>
      </c>
      <c r="AH63" s="111">
        <v>1</v>
      </c>
      <c r="AI63" s="209">
        <f t="shared" si="28"/>
        <v>0.89500000000000002</v>
      </c>
      <c r="AJ63" s="208">
        <v>1</v>
      </c>
      <c r="AK63" s="110">
        <v>0</v>
      </c>
      <c r="AL63" s="111"/>
      <c r="AM63" s="109">
        <v>1</v>
      </c>
      <c r="AN63" s="110">
        <v>1</v>
      </c>
      <c r="AO63" s="105">
        <v>1</v>
      </c>
      <c r="AP63" s="111">
        <v>0.95</v>
      </c>
      <c r="AQ63" s="210">
        <f t="shared" si="23"/>
        <v>0.98249999999999993</v>
      </c>
      <c r="AR63" s="109">
        <v>0</v>
      </c>
      <c r="AS63" s="110">
        <v>0</v>
      </c>
      <c r="AT63" s="105">
        <v>0</v>
      </c>
      <c r="AU63" s="111">
        <v>0</v>
      </c>
      <c r="AV63" s="210">
        <f t="shared" si="24"/>
        <v>0</v>
      </c>
      <c r="AW63" s="109"/>
      <c r="AX63" s="110"/>
      <c r="AY63" s="111"/>
      <c r="AZ63" s="210">
        <f t="shared" si="25"/>
        <v>0</v>
      </c>
      <c r="BA63" s="109">
        <v>0</v>
      </c>
      <c r="BB63" s="105">
        <v>0</v>
      </c>
      <c r="BC63" s="111">
        <v>0</v>
      </c>
      <c r="BD63" s="209">
        <f t="shared" si="26"/>
        <v>0</v>
      </c>
      <c r="BE63" s="127"/>
      <c r="BF63" s="87" t="e">
        <f t="shared" si="27"/>
        <v>#DIV/0!</v>
      </c>
      <c r="BG63" s="112"/>
    </row>
    <row r="64" spans="2:59" s="89" customFormat="1" ht="43.5" customHeight="1" thickBot="1" x14ac:dyDescent="0.4">
      <c r="B64" s="256" t="s">
        <v>94</v>
      </c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  <c r="AJ64" s="257"/>
      <c r="AK64" s="257"/>
      <c r="AL64" s="257"/>
      <c r="AM64" s="257"/>
      <c r="AN64" s="257"/>
      <c r="AO64" s="257"/>
      <c r="AP64" s="257"/>
      <c r="AQ64" s="257"/>
      <c r="AR64" s="257"/>
      <c r="AS64" s="257"/>
      <c r="AT64" s="257"/>
      <c r="AU64" s="257"/>
      <c r="AV64" s="257"/>
      <c r="AW64" s="257"/>
      <c r="AX64" s="257"/>
      <c r="AY64" s="257"/>
      <c r="AZ64" s="257"/>
      <c r="BA64" s="257"/>
      <c r="BB64" s="257"/>
      <c r="BC64" s="257"/>
      <c r="BD64" s="257"/>
      <c r="BE64" s="257"/>
      <c r="BF64" s="257"/>
      <c r="BG64" s="258"/>
    </row>
    <row r="65" spans="2:59" s="89" customFormat="1" ht="43.5" customHeight="1" x14ac:dyDescent="0.35">
      <c r="B65" s="76">
        <v>401</v>
      </c>
      <c r="C65" s="77">
        <v>1</v>
      </c>
      <c r="D65" s="78">
        <v>1</v>
      </c>
      <c r="E65" s="78">
        <v>1</v>
      </c>
      <c r="F65" s="199">
        <v>1</v>
      </c>
      <c r="G65" s="85">
        <f t="shared" ref="G65:G80" si="29" xml:space="preserve"> C65*45% + D65*45% + E65*5% + F65*5%</f>
        <v>1</v>
      </c>
      <c r="H65" s="200">
        <v>0.95</v>
      </c>
      <c r="I65" s="201">
        <v>0.95</v>
      </c>
      <c r="J65" s="202">
        <v>0.95</v>
      </c>
      <c r="K65" s="203">
        <v>0.95</v>
      </c>
      <c r="L65" s="85">
        <f t="shared" ref="L65:L80" si="30" xml:space="preserve"> H65*30% + I65*30% + J65*10% + K65*30%</f>
        <v>0.95</v>
      </c>
      <c r="M65" s="80">
        <v>1</v>
      </c>
      <c r="N65" s="81">
        <v>1</v>
      </c>
      <c r="O65" s="78">
        <v>0.95</v>
      </c>
      <c r="P65" s="84">
        <v>1</v>
      </c>
      <c r="Q65" s="83">
        <v>1</v>
      </c>
      <c r="R65" s="81">
        <v>1</v>
      </c>
      <c r="S65" s="78">
        <v>1</v>
      </c>
      <c r="T65" s="82">
        <v>1</v>
      </c>
      <c r="U65" s="140">
        <v>1</v>
      </c>
      <c r="V65" s="201">
        <v>1</v>
      </c>
      <c r="W65" s="202">
        <v>1</v>
      </c>
      <c r="X65" s="203">
        <v>1</v>
      </c>
      <c r="Y65" s="204">
        <f t="shared" ref="Y65:Y80" si="31" xml:space="preserve"> (U65*10% + V65*10% + W65*10% + X65*10%+ Q65*5% + R65*5% + S65*5% + T65*5%+M65*10% + N65*15% + O65*5% + P65*10%)</f>
        <v>0.99750000000000005</v>
      </c>
      <c r="Z65" s="140">
        <v>0.5</v>
      </c>
      <c r="AA65" s="201">
        <v>0.5</v>
      </c>
      <c r="AB65" s="202">
        <v>0.5</v>
      </c>
      <c r="AC65" s="203">
        <v>0.5</v>
      </c>
      <c r="AD65" s="85">
        <f t="shared" ref="AD65:AD80" si="32" xml:space="preserve"> Z65*45% + AA65*45% + AB65*5% + AC65*5%</f>
        <v>0.5</v>
      </c>
      <c r="AE65" s="140">
        <v>1</v>
      </c>
      <c r="AF65" s="201">
        <v>1</v>
      </c>
      <c r="AG65" s="202">
        <v>1</v>
      </c>
      <c r="AH65" s="203">
        <v>1</v>
      </c>
      <c r="AI65" s="85">
        <f xml:space="preserve"> AE65*5% + AF65*30% + AG65*35% + AH65*30%</f>
        <v>1</v>
      </c>
      <c r="AJ65" s="80">
        <v>1</v>
      </c>
      <c r="AK65" s="81">
        <v>1</v>
      </c>
      <c r="AL65" s="82"/>
      <c r="AM65" s="92">
        <v>0.7</v>
      </c>
      <c r="AN65" s="93">
        <v>0.8</v>
      </c>
      <c r="AO65" s="78">
        <v>0</v>
      </c>
      <c r="AP65" s="94">
        <v>0.85</v>
      </c>
      <c r="AQ65" s="205">
        <f t="shared" ref="AQ65:AQ80" si="33" xml:space="preserve"> AM65*15% + AN65*35% + AO65*15% + AP65*35%</f>
        <v>0.68249999999999988</v>
      </c>
      <c r="AR65" s="140">
        <v>0</v>
      </c>
      <c r="AS65" s="201">
        <v>0</v>
      </c>
      <c r="AT65" s="202">
        <v>0</v>
      </c>
      <c r="AU65" s="203">
        <v>0</v>
      </c>
      <c r="AV65" s="204">
        <f t="shared" ref="AV65:AV80" si="34" xml:space="preserve"> AR65*30% + AS65*30% + AT65*15% + AU65*25%</f>
        <v>0</v>
      </c>
      <c r="AW65" s="140"/>
      <c r="AX65" s="201"/>
      <c r="AY65" s="203"/>
      <c r="AZ65" s="204">
        <f xml:space="preserve">  AW65*30% + AX65*45% + AY65*25%</f>
        <v>0</v>
      </c>
      <c r="BA65" s="140">
        <v>0</v>
      </c>
      <c r="BB65" s="202">
        <v>0</v>
      </c>
      <c r="BC65" s="203">
        <v>0</v>
      </c>
      <c r="BD65" s="85">
        <f t="shared" ref="BD65:BD80" si="35" xml:space="preserve">  BA65*30% + BB65*45% + BC65*25%</f>
        <v>0</v>
      </c>
      <c r="BE65" s="86"/>
      <c r="BF65" s="87" t="e">
        <f t="shared" ref="BF65:BF80" si="36">(
(COUNTIF(B65:E65,"✓")/(COUNTIF(B65:E65,"✓")+COUNTIF(B65:E65,"x")))*0.2 +
(COUNTIF(F65:J65,"✓")/(COUNTIF(F65:J65,"✓")+COUNTIF(F65:J65,"x")))*0.1 +
(COUNTIF(K65:O65,"✓")/(COUNTIF(K65:O65,"✓")+COUNTIF(K65:O65,"x")))*0.1 +
(COUNTIF(P65:S65,"✓")/(COUNTIF(P65:S65,"✓")+COUNTIF(P65:S65,"x")))*0.1 +
(COUNTIF(T65:W65,"✓")/(COUNTIF(T65:W65,"✓")+COUNTIF(T65:W65,"x")))*0.1 +
(COUNTIF(X65:AB65,"✓")/(COUNTIF(X65:AB65,"✓")+COUNTIF(X65:AB65,"x")))*0.1 +
(COUNTIF(AC65:AO65,"✓")/(COUNTIF(AC65:AO65,"✓")+COUNTIF(AC65:AO65,"x")))*0.1 +
(COUNTIF(AP65:AT65,"✓")/(COUNTIF(AP65:AT65,"✓")+COUNTIF(AP65:AT65,"x")))*0.05 +
(COUNTIF(AU65:BB65,"✓")/(COUNTIF(AU65:BB65,"✓")+COUNTIF(AU65:BB65,"x")))*0.1 +
(COUNTIF(BC65:BC65,"✓")/(COUNTIF(BC65:BC65,"✓")+COUNTIF(BC65:BC65,"x")))*0.05
)</f>
        <v>#DIV/0!</v>
      </c>
      <c r="BG65" s="88"/>
    </row>
    <row r="66" spans="2:59" s="96" customFormat="1" ht="43.5" customHeight="1" x14ac:dyDescent="0.35">
      <c r="B66" s="90">
        <v>402</v>
      </c>
      <c r="C66" s="77">
        <v>1</v>
      </c>
      <c r="D66" s="78">
        <v>1</v>
      </c>
      <c r="E66" s="78">
        <v>1</v>
      </c>
      <c r="F66" s="199">
        <v>1</v>
      </c>
      <c r="G66" s="91">
        <f t="shared" si="29"/>
        <v>1</v>
      </c>
      <c r="H66" s="206">
        <v>1</v>
      </c>
      <c r="I66" s="93">
        <v>0.9</v>
      </c>
      <c r="J66" s="78">
        <v>0.9</v>
      </c>
      <c r="K66" s="94">
        <v>0.9</v>
      </c>
      <c r="L66" s="207">
        <f t="shared" si="30"/>
        <v>0.93</v>
      </c>
      <c r="M66" s="80">
        <v>1</v>
      </c>
      <c r="N66" s="81">
        <v>1</v>
      </c>
      <c r="O66" s="78">
        <v>0.95</v>
      </c>
      <c r="P66" s="84">
        <v>1</v>
      </c>
      <c r="Q66" s="83">
        <v>1</v>
      </c>
      <c r="R66" s="81">
        <v>1</v>
      </c>
      <c r="S66" s="78">
        <v>1</v>
      </c>
      <c r="T66" s="82">
        <v>1</v>
      </c>
      <c r="U66" s="92">
        <v>1</v>
      </c>
      <c r="V66" s="93">
        <v>1</v>
      </c>
      <c r="W66" s="78">
        <v>1</v>
      </c>
      <c r="X66" s="94">
        <v>1</v>
      </c>
      <c r="Y66" s="205">
        <f t="shared" si="31"/>
        <v>0.99750000000000005</v>
      </c>
      <c r="Z66" s="92">
        <v>0.5</v>
      </c>
      <c r="AA66" s="93">
        <v>0.5</v>
      </c>
      <c r="AB66" s="78">
        <v>0.5</v>
      </c>
      <c r="AC66" s="94">
        <v>0.5</v>
      </c>
      <c r="AD66" s="207">
        <f t="shared" si="32"/>
        <v>0.5</v>
      </c>
      <c r="AE66" s="92">
        <v>0.7</v>
      </c>
      <c r="AF66" s="93">
        <v>0.7</v>
      </c>
      <c r="AG66" s="78">
        <v>1</v>
      </c>
      <c r="AH66" s="94">
        <v>0</v>
      </c>
      <c r="AI66" s="207">
        <f t="shared" ref="AI66:AI80" si="37" xml:space="preserve"> AE66*5% + AF66*30% + AG66*35% + AH66*30%</f>
        <v>0.59499999999999997</v>
      </c>
      <c r="AJ66" s="206">
        <v>1</v>
      </c>
      <c r="AK66" s="93">
        <v>0</v>
      </c>
      <c r="AL66" s="94"/>
      <c r="AM66" s="92">
        <v>0.7</v>
      </c>
      <c r="AN66" s="93">
        <v>0.85</v>
      </c>
      <c r="AO66" s="78">
        <v>0.7</v>
      </c>
      <c r="AP66" s="94">
        <v>0.85</v>
      </c>
      <c r="AQ66" s="205">
        <f t="shared" si="33"/>
        <v>0.80499999999999994</v>
      </c>
      <c r="AR66" s="92">
        <v>0</v>
      </c>
      <c r="AS66" s="93">
        <v>0</v>
      </c>
      <c r="AT66" s="78">
        <v>0</v>
      </c>
      <c r="AU66" s="94">
        <v>0</v>
      </c>
      <c r="AV66" s="205">
        <f t="shared" si="34"/>
        <v>0</v>
      </c>
      <c r="AW66" s="92"/>
      <c r="AX66" s="93"/>
      <c r="AY66" s="94"/>
      <c r="AZ66" s="205">
        <f t="shared" ref="AZ66:AZ80" si="38" xml:space="preserve">  AW66*30% + AX66*45% + AY66*25%</f>
        <v>0</v>
      </c>
      <c r="BA66" s="92">
        <v>0</v>
      </c>
      <c r="BB66" s="78">
        <v>0</v>
      </c>
      <c r="BC66" s="94">
        <v>0</v>
      </c>
      <c r="BD66" s="207">
        <f t="shared" si="35"/>
        <v>0</v>
      </c>
      <c r="BE66" s="86"/>
      <c r="BF66" s="87" t="e">
        <f t="shared" si="36"/>
        <v>#DIV/0!</v>
      </c>
      <c r="BG66" s="95"/>
    </row>
    <row r="67" spans="2:59" s="89" customFormat="1" ht="43.5" customHeight="1" x14ac:dyDescent="0.35">
      <c r="B67" s="76">
        <v>403</v>
      </c>
      <c r="C67" s="77">
        <v>1</v>
      </c>
      <c r="D67" s="78">
        <v>1</v>
      </c>
      <c r="E67" s="78">
        <v>1</v>
      </c>
      <c r="F67" s="199">
        <v>1</v>
      </c>
      <c r="G67" s="91">
        <f t="shared" si="29"/>
        <v>1</v>
      </c>
      <c r="H67" s="206">
        <v>1</v>
      </c>
      <c r="I67" s="93">
        <v>1</v>
      </c>
      <c r="J67" s="78">
        <v>1</v>
      </c>
      <c r="K67" s="94">
        <v>1</v>
      </c>
      <c r="L67" s="207">
        <f t="shared" si="30"/>
        <v>1</v>
      </c>
      <c r="M67" s="80">
        <v>1</v>
      </c>
      <c r="N67" s="81">
        <v>1</v>
      </c>
      <c r="O67" s="78">
        <v>0.95</v>
      </c>
      <c r="P67" s="84">
        <v>1</v>
      </c>
      <c r="Q67" s="83">
        <v>1</v>
      </c>
      <c r="R67" s="81">
        <v>1</v>
      </c>
      <c r="S67" s="78">
        <v>1</v>
      </c>
      <c r="T67" s="82">
        <v>1</v>
      </c>
      <c r="U67" s="92">
        <v>1</v>
      </c>
      <c r="V67" s="93">
        <v>1</v>
      </c>
      <c r="W67" s="78">
        <v>1</v>
      </c>
      <c r="X67" s="94">
        <v>1</v>
      </c>
      <c r="Y67" s="205">
        <f t="shared" si="31"/>
        <v>0.99750000000000005</v>
      </c>
      <c r="Z67" s="92">
        <v>0.5</v>
      </c>
      <c r="AA67" s="93">
        <v>0.5</v>
      </c>
      <c r="AB67" s="78">
        <v>0.5</v>
      </c>
      <c r="AC67" s="94">
        <v>0.5</v>
      </c>
      <c r="AD67" s="207">
        <f t="shared" si="32"/>
        <v>0.5</v>
      </c>
      <c r="AE67" s="92">
        <v>1</v>
      </c>
      <c r="AF67" s="93">
        <v>1</v>
      </c>
      <c r="AG67" s="78">
        <v>0.7</v>
      </c>
      <c r="AH67" s="94">
        <v>1</v>
      </c>
      <c r="AI67" s="207">
        <f t="shared" si="37"/>
        <v>0.89500000000000002</v>
      </c>
      <c r="AJ67" s="206">
        <v>1</v>
      </c>
      <c r="AK67" s="93">
        <v>1</v>
      </c>
      <c r="AL67" s="94"/>
      <c r="AM67" s="92">
        <v>0.95</v>
      </c>
      <c r="AN67" s="93">
        <v>0.9</v>
      </c>
      <c r="AO67" s="78">
        <v>0.7</v>
      </c>
      <c r="AP67" s="94">
        <v>0.85</v>
      </c>
      <c r="AQ67" s="205">
        <f t="shared" si="33"/>
        <v>0.86</v>
      </c>
      <c r="AR67" s="92">
        <v>0</v>
      </c>
      <c r="AS67" s="93">
        <v>0</v>
      </c>
      <c r="AT67" s="78">
        <v>0</v>
      </c>
      <c r="AU67" s="94">
        <v>0</v>
      </c>
      <c r="AV67" s="205">
        <f t="shared" si="34"/>
        <v>0</v>
      </c>
      <c r="AW67" s="92"/>
      <c r="AX67" s="93"/>
      <c r="AY67" s="94"/>
      <c r="AZ67" s="205">
        <f t="shared" si="38"/>
        <v>0</v>
      </c>
      <c r="BA67" s="92">
        <v>0</v>
      </c>
      <c r="BB67" s="78">
        <v>0</v>
      </c>
      <c r="BC67" s="94">
        <v>0</v>
      </c>
      <c r="BD67" s="207">
        <f t="shared" si="35"/>
        <v>0</v>
      </c>
      <c r="BE67" s="86"/>
      <c r="BF67" s="87" t="e">
        <f t="shared" si="36"/>
        <v>#DIV/0!</v>
      </c>
      <c r="BG67" s="88"/>
    </row>
    <row r="68" spans="2:59" s="89" customFormat="1" ht="43.5" customHeight="1" x14ac:dyDescent="0.35">
      <c r="B68" s="76">
        <v>404</v>
      </c>
      <c r="C68" s="77">
        <v>1</v>
      </c>
      <c r="D68" s="78">
        <v>1</v>
      </c>
      <c r="E68" s="78">
        <v>1</v>
      </c>
      <c r="F68" s="199">
        <v>1</v>
      </c>
      <c r="G68" s="91">
        <f t="shared" si="29"/>
        <v>1</v>
      </c>
      <c r="H68" s="206">
        <v>0.9</v>
      </c>
      <c r="I68" s="93">
        <v>0.9</v>
      </c>
      <c r="J68" s="78">
        <v>0.9</v>
      </c>
      <c r="K68" s="94">
        <v>0.9</v>
      </c>
      <c r="L68" s="207">
        <f t="shared" si="30"/>
        <v>0.9</v>
      </c>
      <c r="M68" s="80">
        <v>1</v>
      </c>
      <c r="N68" s="81">
        <v>1</v>
      </c>
      <c r="O68" s="78">
        <v>0.95</v>
      </c>
      <c r="P68" s="84">
        <v>1</v>
      </c>
      <c r="Q68" s="83">
        <v>1</v>
      </c>
      <c r="R68" s="81">
        <v>1</v>
      </c>
      <c r="S68" s="78">
        <v>1</v>
      </c>
      <c r="T68" s="82">
        <v>1</v>
      </c>
      <c r="U68" s="92">
        <v>1</v>
      </c>
      <c r="V68" s="93">
        <v>1</v>
      </c>
      <c r="W68" s="78">
        <v>1</v>
      </c>
      <c r="X68" s="94">
        <v>1</v>
      </c>
      <c r="Y68" s="205">
        <f t="shared" si="31"/>
        <v>0.99750000000000005</v>
      </c>
      <c r="Z68" s="92">
        <v>0.5</v>
      </c>
      <c r="AA68" s="93">
        <v>0.5</v>
      </c>
      <c r="AB68" s="78">
        <v>0.5</v>
      </c>
      <c r="AC68" s="94">
        <v>0.5</v>
      </c>
      <c r="AD68" s="207">
        <f t="shared" si="32"/>
        <v>0.5</v>
      </c>
      <c r="AE68" s="92">
        <v>0.7</v>
      </c>
      <c r="AF68" s="93">
        <v>1</v>
      </c>
      <c r="AG68" s="78">
        <v>1</v>
      </c>
      <c r="AH68" s="94">
        <v>0</v>
      </c>
      <c r="AI68" s="207">
        <f t="shared" si="37"/>
        <v>0.68499999999999994</v>
      </c>
      <c r="AJ68" s="206">
        <v>1</v>
      </c>
      <c r="AK68" s="93">
        <v>0</v>
      </c>
      <c r="AL68" s="94"/>
      <c r="AM68" s="92">
        <v>0.95</v>
      </c>
      <c r="AN68" s="93">
        <v>0.95</v>
      </c>
      <c r="AO68" s="78">
        <v>0.95</v>
      </c>
      <c r="AP68" s="94">
        <v>0.85</v>
      </c>
      <c r="AQ68" s="205">
        <f t="shared" si="33"/>
        <v>0.91499999999999992</v>
      </c>
      <c r="AR68" s="92">
        <v>0</v>
      </c>
      <c r="AS68" s="93">
        <v>0</v>
      </c>
      <c r="AT68" s="78">
        <v>0</v>
      </c>
      <c r="AU68" s="94">
        <v>0</v>
      </c>
      <c r="AV68" s="205">
        <f t="shared" si="34"/>
        <v>0</v>
      </c>
      <c r="AW68" s="92"/>
      <c r="AX68" s="93"/>
      <c r="AY68" s="94"/>
      <c r="AZ68" s="205">
        <f t="shared" si="38"/>
        <v>0</v>
      </c>
      <c r="BA68" s="92">
        <v>0</v>
      </c>
      <c r="BB68" s="78">
        <v>0</v>
      </c>
      <c r="BC68" s="94">
        <v>0</v>
      </c>
      <c r="BD68" s="207">
        <f t="shared" si="35"/>
        <v>0</v>
      </c>
      <c r="BE68" s="86"/>
      <c r="BF68" s="87" t="e">
        <f t="shared" si="36"/>
        <v>#DIV/0!</v>
      </c>
      <c r="BG68" s="97"/>
    </row>
    <row r="69" spans="2:59" s="89" customFormat="1" ht="43.5" customHeight="1" x14ac:dyDescent="0.35">
      <c r="B69" s="90">
        <v>405</v>
      </c>
      <c r="C69" s="77">
        <v>1</v>
      </c>
      <c r="D69" s="78">
        <v>1</v>
      </c>
      <c r="E69" s="78">
        <v>1</v>
      </c>
      <c r="F69" s="199">
        <v>1</v>
      </c>
      <c r="G69" s="91">
        <f t="shared" si="29"/>
        <v>1</v>
      </c>
      <c r="H69" s="206">
        <v>0.9</v>
      </c>
      <c r="I69" s="93">
        <v>0.9</v>
      </c>
      <c r="J69" s="78">
        <v>0.9</v>
      </c>
      <c r="K69" s="94">
        <v>0.9</v>
      </c>
      <c r="L69" s="207">
        <f t="shared" si="30"/>
        <v>0.9</v>
      </c>
      <c r="M69" s="80">
        <v>1</v>
      </c>
      <c r="N69" s="81">
        <v>1</v>
      </c>
      <c r="O69" s="78">
        <v>0.95</v>
      </c>
      <c r="P69" s="84">
        <v>1</v>
      </c>
      <c r="Q69" s="83">
        <v>1</v>
      </c>
      <c r="R69" s="81">
        <v>1</v>
      </c>
      <c r="S69" s="78">
        <v>1</v>
      </c>
      <c r="T69" s="82">
        <v>1</v>
      </c>
      <c r="U69" s="92">
        <v>1</v>
      </c>
      <c r="V69" s="93">
        <v>1</v>
      </c>
      <c r="W69" s="78">
        <v>1</v>
      </c>
      <c r="X69" s="94">
        <v>1</v>
      </c>
      <c r="Y69" s="205">
        <f t="shared" si="31"/>
        <v>0.99750000000000005</v>
      </c>
      <c r="Z69" s="92">
        <v>0.5</v>
      </c>
      <c r="AA69" s="93">
        <v>0.5</v>
      </c>
      <c r="AB69" s="78">
        <v>0.5</v>
      </c>
      <c r="AC69" s="94">
        <v>0.5</v>
      </c>
      <c r="AD69" s="207">
        <f t="shared" si="32"/>
        <v>0.5</v>
      </c>
      <c r="AE69" s="92">
        <v>1</v>
      </c>
      <c r="AF69" s="93">
        <v>1</v>
      </c>
      <c r="AG69" s="78">
        <v>0.7</v>
      </c>
      <c r="AH69" s="94">
        <v>1</v>
      </c>
      <c r="AI69" s="207">
        <f t="shared" si="37"/>
        <v>0.89500000000000002</v>
      </c>
      <c r="AJ69" s="206">
        <v>1</v>
      </c>
      <c r="AK69" s="93">
        <v>1</v>
      </c>
      <c r="AL69" s="94"/>
      <c r="AM69" s="92">
        <v>0.95</v>
      </c>
      <c r="AN69" s="93">
        <v>0.95</v>
      </c>
      <c r="AO69" s="78">
        <v>0.95</v>
      </c>
      <c r="AP69" s="94">
        <v>0.85</v>
      </c>
      <c r="AQ69" s="205">
        <f t="shared" si="33"/>
        <v>0.91499999999999992</v>
      </c>
      <c r="AR69" s="92">
        <v>0</v>
      </c>
      <c r="AS69" s="93">
        <v>0</v>
      </c>
      <c r="AT69" s="78">
        <v>0</v>
      </c>
      <c r="AU69" s="94">
        <v>0</v>
      </c>
      <c r="AV69" s="205">
        <f t="shared" si="34"/>
        <v>0</v>
      </c>
      <c r="AW69" s="92"/>
      <c r="AX69" s="93"/>
      <c r="AY69" s="94"/>
      <c r="AZ69" s="205">
        <f t="shared" si="38"/>
        <v>0</v>
      </c>
      <c r="BA69" s="92">
        <v>0</v>
      </c>
      <c r="BB69" s="78">
        <v>0</v>
      </c>
      <c r="BC69" s="94">
        <v>0</v>
      </c>
      <c r="BD69" s="207">
        <f t="shared" si="35"/>
        <v>0</v>
      </c>
      <c r="BE69" s="86"/>
      <c r="BF69" s="87" t="e">
        <f t="shared" si="36"/>
        <v>#DIV/0!</v>
      </c>
      <c r="BG69" s="98"/>
    </row>
    <row r="70" spans="2:59" s="89" customFormat="1" ht="43.5" customHeight="1" x14ac:dyDescent="0.35">
      <c r="B70" s="76">
        <v>406</v>
      </c>
      <c r="C70" s="77">
        <v>1</v>
      </c>
      <c r="D70" s="78">
        <v>1</v>
      </c>
      <c r="E70" s="78">
        <v>1</v>
      </c>
      <c r="F70" s="199">
        <v>1</v>
      </c>
      <c r="G70" s="91">
        <f t="shared" si="29"/>
        <v>1</v>
      </c>
      <c r="H70" s="206">
        <v>1</v>
      </c>
      <c r="I70" s="93">
        <v>1</v>
      </c>
      <c r="J70" s="78">
        <v>1</v>
      </c>
      <c r="K70" s="94">
        <v>1</v>
      </c>
      <c r="L70" s="207">
        <f t="shared" si="30"/>
        <v>1</v>
      </c>
      <c r="M70" s="80">
        <v>1</v>
      </c>
      <c r="N70" s="81">
        <v>1</v>
      </c>
      <c r="O70" s="78">
        <v>0.95</v>
      </c>
      <c r="P70" s="84">
        <v>1</v>
      </c>
      <c r="Q70" s="83">
        <v>1</v>
      </c>
      <c r="R70" s="81">
        <v>1</v>
      </c>
      <c r="S70" s="78">
        <v>1</v>
      </c>
      <c r="T70" s="82">
        <v>1</v>
      </c>
      <c r="U70" s="92">
        <v>1</v>
      </c>
      <c r="V70" s="93">
        <v>1</v>
      </c>
      <c r="W70" s="78">
        <v>1</v>
      </c>
      <c r="X70" s="94">
        <v>1</v>
      </c>
      <c r="Y70" s="205">
        <f t="shared" si="31"/>
        <v>0.99750000000000005</v>
      </c>
      <c r="Z70" s="92">
        <v>0.5</v>
      </c>
      <c r="AA70" s="93">
        <v>0.5</v>
      </c>
      <c r="AB70" s="78">
        <v>0.5</v>
      </c>
      <c r="AC70" s="94">
        <v>0.5</v>
      </c>
      <c r="AD70" s="207">
        <f t="shared" si="32"/>
        <v>0.5</v>
      </c>
      <c r="AE70" s="92">
        <v>0.7</v>
      </c>
      <c r="AF70" s="93">
        <v>0</v>
      </c>
      <c r="AG70" s="78">
        <v>1</v>
      </c>
      <c r="AH70" s="94">
        <v>1</v>
      </c>
      <c r="AI70" s="207">
        <f t="shared" si="37"/>
        <v>0.68499999999999994</v>
      </c>
      <c r="AJ70" s="206">
        <v>1</v>
      </c>
      <c r="AK70" s="93">
        <v>1</v>
      </c>
      <c r="AL70" s="94"/>
      <c r="AM70" s="92">
        <v>0.7</v>
      </c>
      <c r="AN70" s="93">
        <v>0.95</v>
      </c>
      <c r="AO70" s="78">
        <v>0.95</v>
      </c>
      <c r="AP70" s="94">
        <v>0.85</v>
      </c>
      <c r="AQ70" s="205">
        <f t="shared" si="33"/>
        <v>0.87749999999999995</v>
      </c>
      <c r="AR70" s="92">
        <v>0</v>
      </c>
      <c r="AS70" s="93">
        <v>0</v>
      </c>
      <c r="AT70" s="78">
        <v>0</v>
      </c>
      <c r="AU70" s="94">
        <v>0</v>
      </c>
      <c r="AV70" s="205">
        <f t="shared" si="34"/>
        <v>0</v>
      </c>
      <c r="AW70" s="92"/>
      <c r="AX70" s="93"/>
      <c r="AY70" s="94"/>
      <c r="AZ70" s="205">
        <f t="shared" si="38"/>
        <v>0</v>
      </c>
      <c r="BA70" s="92">
        <v>0</v>
      </c>
      <c r="BB70" s="78">
        <v>0</v>
      </c>
      <c r="BC70" s="94">
        <v>0</v>
      </c>
      <c r="BD70" s="207">
        <f t="shared" si="35"/>
        <v>0</v>
      </c>
      <c r="BE70" s="86"/>
      <c r="BF70" s="87" t="e">
        <f t="shared" si="36"/>
        <v>#DIV/0!</v>
      </c>
      <c r="BG70" s="99"/>
    </row>
    <row r="71" spans="2:59" s="89" customFormat="1" ht="43.5" customHeight="1" x14ac:dyDescent="0.35">
      <c r="B71" s="76">
        <v>407</v>
      </c>
      <c r="C71" s="77">
        <v>1</v>
      </c>
      <c r="D71" s="78">
        <v>1</v>
      </c>
      <c r="E71" s="78">
        <v>1</v>
      </c>
      <c r="F71" s="199">
        <v>1</v>
      </c>
      <c r="G71" s="91">
        <f t="shared" si="29"/>
        <v>1</v>
      </c>
      <c r="H71" s="206">
        <v>1</v>
      </c>
      <c r="I71" s="93">
        <v>1</v>
      </c>
      <c r="J71" s="78">
        <v>0.7</v>
      </c>
      <c r="K71" s="94">
        <v>1</v>
      </c>
      <c r="L71" s="207">
        <f t="shared" si="30"/>
        <v>0.97</v>
      </c>
      <c r="M71" s="80">
        <v>1</v>
      </c>
      <c r="N71" s="81">
        <v>1</v>
      </c>
      <c r="O71" s="78">
        <v>0.95</v>
      </c>
      <c r="P71" s="84">
        <v>1</v>
      </c>
      <c r="Q71" s="83">
        <v>1</v>
      </c>
      <c r="R71" s="81">
        <v>1</v>
      </c>
      <c r="S71" s="78">
        <v>1</v>
      </c>
      <c r="T71" s="82">
        <v>1</v>
      </c>
      <c r="U71" s="92">
        <v>1</v>
      </c>
      <c r="V71" s="93">
        <v>1</v>
      </c>
      <c r="W71" s="78">
        <v>1</v>
      </c>
      <c r="X71" s="94">
        <v>1</v>
      </c>
      <c r="Y71" s="205">
        <f t="shared" si="31"/>
        <v>0.99750000000000005</v>
      </c>
      <c r="Z71" s="92">
        <v>0.5</v>
      </c>
      <c r="AA71" s="93">
        <v>0.5</v>
      </c>
      <c r="AB71" s="78">
        <v>0.5</v>
      </c>
      <c r="AC71" s="94">
        <v>0.5</v>
      </c>
      <c r="AD71" s="207">
        <f t="shared" si="32"/>
        <v>0.5</v>
      </c>
      <c r="AE71" s="92">
        <v>1</v>
      </c>
      <c r="AF71" s="93">
        <v>1</v>
      </c>
      <c r="AG71" s="78">
        <v>1</v>
      </c>
      <c r="AH71" s="94">
        <v>1</v>
      </c>
      <c r="AI71" s="207">
        <f t="shared" si="37"/>
        <v>1</v>
      </c>
      <c r="AJ71" s="206">
        <v>1</v>
      </c>
      <c r="AK71" s="93">
        <v>1</v>
      </c>
      <c r="AL71" s="94"/>
      <c r="AM71" s="92">
        <v>0.7</v>
      </c>
      <c r="AN71" s="93">
        <v>0.4</v>
      </c>
      <c r="AO71" s="78">
        <v>0.95</v>
      </c>
      <c r="AP71" s="94">
        <v>0.85</v>
      </c>
      <c r="AQ71" s="205">
        <f t="shared" si="33"/>
        <v>0.68499999999999994</v>
      </c>
      <c r="AR71" s="92">
        <v>0</v>
      </c>
      <c r="AS71" s="93">
        <v>0</v>
      </c>
      <c r="AT71" s="78">
        <v>0</v>
      </c>
      <c r="AU71" s="94">
        <v>0</v>
      </c>
      <c r="AV71" s="205">
        <f t="shared" si="34"/>
        <v>0</v>
      </c>
      <c r="AW71" s="92"/>
      <c r="AX71" s="93"/>
      <c r="AY71" s="94"/>
      <c r="AZ71" s="205">
        <f t="shared" si="38"/>
        <v>0</v>
      </c>
      <c r="BA71" s="92">
        <v>0</v>
      </c>
      <c r="BB71" s="78">
        <v>0</v>
      </c>
      <c r="BC71" s="94">
        <v>0</v>
      </c>
      <c r="BD71" s="207">
        <f t="shared" si="35"/>
        <v>0</v>
      </c>
      <c r="BE71" s="86"/>
      <c r="BF71" s="87" t="e">
        <f t="shared" si="36"/>
        <v>#DIV/0!</v>
      </c>
      <c r="BG71" s="98"/>
    </row>
    <row r="72" spans="2:59" s="89" customFormat="1" ht="43.5" customHeight="1" x14ac:dyDescent="0.35">
      <c r="B72" s="90">
        <v>408</v>
      </c>
      <c r="C72" s="77">
        <v>1</v>
      </c>
      <c r="D72" s="78">
        <v>1</v>
      </c>
      <c r="E72" s="78">
        <v>1</v>
      </c>
      <c r="F72" s="199">
        <v>1</v>
      </c>
      <c r="G72" s="91">
        <f t="shared" si="29"/>
        <v>1</v>
      </c>
      <c r="H72" s="206">
        <v>1</v>
      </c>
      <c r="I72" s="93">
        <v>1</v>
      </c>
      <c r="J72" s="78">
        <v>1</v>
      </c>
      <c r="K72" s="94">
        <v>1</v>
      </c>
      <c r="L72" s="207">
        <f t="shared" si="30"/>
        <v>1</v>
      </c>
      <c r="M72" s="80">
        <v>1</v>
      </c>
      <c r="N72" s="81">
        <v>1</v>
      </c>
      <c r="O72" s="78">
        <v>0.95</v>
      </c>
      <c r="P72" s="84">
        <v>1</v>
      </c>
      <c r="Q72" s="83">
        <v>1</v>
      </c>
      <c r="R72" s="81">
        <v>1</v>
      </c>
      <c r="S72" s="78">
        <v>1</v>
      </c>
      <c r="T72" s="82">
        <v>1</v>
      </c>
      <c r="U72" s="92">
        <v>1</v>
      </c>
      <c r="V72" s="93">
        <v>1</v>
      </c>
      <c r="W72" s="78">
        <v>1</v>
      </c>
      <c r="X72" s="94">
        <v>1</v>
      </c>
      <c r="Y72" s="205">
        <f t="shared" si="31"/>
        <v>0.99750000000000005</v>
      </c>
      <c r="Z72" s="92">
        <v>0.5</v>
      </c>
      <c r="AA72" s="93">
        <v>0.5</v>
      </c>
      <c r="AB72" s="78">
        <v>0.5</v>
      </c>
      <c r="AC72" s="94">
        <v>0.5</v>
      </c>
      <c r="AD72" s="207">
        <f t="shared" si="32"/>
        <v>0.5</v>
      </c>
      <c r="AE72" s="92">
        <v>1</v>
      </c>
      <c r="AF72" s="93">
        <v>1</v>
      </c>
      <c r="AG72" s="78">
        <v>1</v>
      </c>
      <c r="AH72" s="94">
        <v>1</v>
      </c>
      <c r="AI72" s="207">
        <f t="shared" si="37"/>
        <v>1</v>
      </c>
      <c r="AJ72" s="206">
        <v>1</v>
      </c>
      <c r="AK72" s="93">
        <v>1</v>
      </c>
      <c r="AL72" s="94"/>
      <c r="AM72" s="92">
        <v>0.95</v>
      </c>
      <c r="AN72" s="93">
        <v>0.95</v>
      </c>
      <c r="AO72" s="78">
        <v>0.95</v>
      </c>
      <c r="AP72" s="94">
        <v>0.85</v>
      </c>
      <c r="AQ72" s="205">
        <f t="shared" si="33"/>
        <v>0.91499999999999992</v>
      </c>
      <c r="AR72" s="92">
        <v>0</v>
      </c>
      <c r="AS72" s="93">
        <v>0</v>
      </c>
      <c r="AT72" s="78">
        <v>0</v>
      </c>
      <c r="AU72" s="94">
        <v>0</v>
      </c>
      <c r="AV72" s="205">
        <f t="shared" si="34"/>
        <v>0</v>
      </c>
      <c r="AW72" s="92"/>
      <c r="AX72" s="93"/>
      <c r="AY72" s="94"/>
      <c r="AZ72" s="205">
        <f t="shared" si="38"/>
        <v>0</v>
      </c>
      <c r="BA72" s="92">
        <v>0</v>
      </c>
      <c r="BB72" s="78">
        <v>0</v>
      </c>
      <c r="BC72" s="94">
        <v>0</v>
      </c>
      <c r="BD72" s="207">
        <f t="shared" si="35"/>
        <v>0</v>
      </c>
      <c r="BE72" s="86"/>
      <c r="BF72" s="87" t="e">
        <f t="shared" si="36"/>
        <v>#DIV/0!</v>
      </c>
      <c r="BG72" s="99"/>
    </row>
    <row r="73" spans="2:59" s="89" customFormat="1" ht="43.5" customHeight="1" x14ac:dyDescent="0.35">
      <c r="B73" s="76">
        <v>409</v>
      </c>
      <c r="C73" s="77">
        <v>1</v>
      </c>
      <c r="D73" s="78">
        <v>1</v>
      </c>
      <c r="E73" s="78">
        <v>1</v>
      </c>
      <c r="F73" s="199">
        <v>1</v>
      </c>
      <c r="G73" s="91">
        <f t="shared" si="29"/>
        <v>1</v>
      </c>
      <c r="H73" s="206">
        <v>1</v>
      </c>
      <c r="I73" s="93">
        <v>1</v>
      </c>
      <c r="J73" s="78">
        <v>1</v>
      </c>
      <c r="K73" s="94">
        <v>1</v>
      </c>
      <c r="L73" s="207">
        <f t="shared" si="30"/>
        <v>1</v>
      </c>
      <c r="M73" s="80">
        <v>1</v>
      </c>
      <c r="N73" s="81">
        <v>1</v>
      </c>
      <c r="O73" s="78">
        <v>0.95</v>
      </c>
      <c r="P73" s="84">
        <v>1</v>
      </c>
      <c r="Q73" s="83">
        <v>1</v>
      </c>
      <c r="R73" s="81">
        <v>1</v>
      </c>
      <c r="S73" s="78">
        <v>1</v>
      </c>
      <c r="T73" s="82">
        <v>1</v>
      </c>
      <c r="U73" s="92">
        <v>1</v>
      </c>
      <c r="V73" s="93">
        <v>1</v>
      </c>
      <c r="W73" s="78">
        <v>1</v>
      </c>
      <c r="X73" s="94">
        <v>1</v>
      </c>
      <c r="Y73" s="205">
        <f t="shared" si="31"/>
        <v>0.99750000000000005</v>
      </c>
      <c r="Z73" s="92">
        <v>0.5</v>
      </c>
      <c r="AA73" s="93">
        <v>0.5</v>
      </c>
      <c r="AB73" s="78">
        <v>0.5</v>
      </c>
      <c r="AC73" s="94">
        <v>0.5</v>
      </c>
      <c r="AD73" s="207">
        <f t="shared" si="32"/>
        <v>0.5</v>
      </c>
      <c r="AE73" s="92">
        <v>1</v>
      </c>
      <c r="AF73" s="93">
        <v>1</v>
      </c>
      <c r="AG73" s="78">
        <v>1</v>
      </c>
      <c r="AH73" s="94">
        <v>1</v>
      </c>
      <c r="AI73" s="207">
        <f t="shared" si="37"/>
        <v>1</v>
      </c>
      <c r="AJ73" s="206">
        <v>1</v>
      </c>
      <c r="AK73" s="93">
        <v>1</v>
      </c>
      <c r="AL73" s="94"/>
      <c r="AM73" s="92">
        <v>0.95</v>
      </c>
      <c r="AN73" s="93">
        <v>0.95</v>
      </c>
      <c r="AO73" s="78">
        <v>0.95</v>
      </c>
      <c r="AP73" s="94">
        <v>0.85</v>
      </c>
      <c r="AQ73" s="205">
        <f t="shared" si="33"/>
        <v>0.91499999999999992</v>
      </c>
      <c r="AR73" s="92">
        <v>0</v>
      </c>
      <c r="AS73" s="93">
        <v>0</v>
      </c>
      <c r="AT73" s="78">
        <v>0</v>
      </c>
      <c r="AU73" s="94">
        <v>0</v>
      </c>
      <c r="AV73" s="205">
        <f t="shared" si="34"/>
        <v>0</v>
      </c>
      <c r="AW73" s="92"/>
      <c r="AX73" s="93"/>
      <c r="AY73" s="94"/>
      <c r="AZ73" s="205">
        <f t="shared" si="38"/>
        <v>0</v>
      </c>
      <c r="BA73" s="92">
        <v>0</v>
      </c>
      <c r="BB73" s="78">
        <v>0</v>
      </c>
      <c r="BC73" s="94">
        <v>0</v>
      </c>
      <c r="BD73" s="207">
        <f t="shared" si="35"/>
        <v>0</v>
      </c>
      <c r="BE73" s="86"/>
      <c r="BF73" s="87" t="e">
        <f t="shared" si="36"/>
        <v>#DIV/0!</v>
      </c>
      <c r="BG73" s="100"/>
    </row>
    <row r="74" spans="2:59" s="89" customFormat="1" ht="43.5" customHeight="1" x14ac:dyDescent="0.35">
      <c r="B74" s="76">
        <v>410</v>
      </c>
      <c r="C74" s="77">
        <v>1</v>
      </c>
      <c r="D74" s="78">
        <v>1</v>
      </c>
      <c r="E74" s="78">
        <v>1</v>
      </c>
      <c r="F74" s="199">
        <v>1</v>
      </c>
      <c r="G74" s="91">
        <f t="shared" si="29"/>
        <v>1</v>
      </c>
      <c r="H74" s="206">
        <v>1</v>
      </c>
      <c r="I74" s="93">
        <v>1</v>
      </c>
      <c r="J74" s="78">
        <v>1</v>
      </c>
      <c r="K74" s="94">
        <v>1</v>
      </c>
      <c r="L74" s="207">
        <f t="shared" si="30"/>
        <v>1</v>
      </c>
      <c r="M74" s="80">
        <v>1</v>
      </c>
      <c r="N74" s="81">
        <v>1</v>
      </c>
      <c r="O74" s="78">
        <v>0.95</v>
      </c>
      <c r="P74" s="84">
        <v>1</v>
      </c>
      <c r="Q74" s="83">
        <v>1</v>
      </c>
      <c r="R74" s="81">
        <v>1</v>
      </c>
      <c r="S74" s="78">
        <v>1</v>
      </c>
      <c r="T74" s="82">
        <v>1</v>
      </c>
      <c r="U74" s="92">
        <v>1</v>
      </c>
      <c r="V74" s="93">
        <v>1</v>
      </c>
      <c r="W74" s="78">
        <v>1</v>
      </c>
      <c r="X74" s="94">
        <v>1</v>
      </c>
      <c r="Y74" s="205">
        <f t="shared" si="31"/>
        <v>0.99750000000000005</v>
      </c>
      <c r="Z74" s="92">
        <v>0.5</v>
      </c>
      <c r="AA74" s="93">
        <v>0.5</v>
      </c>
      <c r="AB74" s="78">
        <v>0.5</v>
      </c>
      <c r="AC74" s="94">
        <v>0.5</v>
      </c>
      <c r="AD74" s="207">
        <f t="shared" si="32"/>
        <v>0.5</v>
      </c>
      <c r="AE74" s="92">
        <v>1</v>
      </c>
      <c r="AF74" s="93">
        <v>1</v>
      </c>
      <c r="AG74" s="78">
        <v>1</v>
      </c>
      <c r="AH74" s="94">
        <v>1</v>
      </c>
      <c r="AI74" s="207">
        <f t="shared" si="37"/>
        <v>1</v>
      </c>
      <c r="AJ74" s="206">
        <v>1</v>
      </c>
      <c r="AK74" s="93">
        <v>1</v>
      </c>
      <c r="AL74" s="94"/>
      <c r="AM74" s="92">
        <v>0.95</v>
      </c>
      <c r="AN74" s="93">
        <v>0.95</v>
      </c>
      <c r="AO74" s="78">
        <v>0.7</v>
      </c>
      <c r="AP74" s="94">
        <v>0.85</v>
      </c>
      <c r="AQ74" s="205">
        <f t="shared" si="33"/>
        <v>0.87749999999999995</v>
      </c>
      <c r="AR74" s="92">
        <v>0</v>
      </c>
      <c r="AS74" s="93">
        <v>0</v>
      </c>
      <c r="AT74" s="78">
        <v>0</v>
      </c>
      <c r="AU74" s="94">
        <v>0</v>
      </c>
      <c r="AV74" s="205">
        <f t="shared" si="34"/>
        <v>0</v>
      </c>
      <c r="AW74" s="92"/>
      <c r="AX74" s="93"/>
      <c r="AY74" s="94"/>
      <c r="AZ74" s="205">
        <f t="shared" si="38"/>
        <v>0</v>
      </c>
      <c r="BA74" s="92">
        <v>0</v>
      </c>
      <c r="BB74" s="78">
        <v>0</v>
      </c>
      <c r="BC74" s="94">
        <v>0</v>
      </c>
      <c r="BD74" s="207">
        <f t="shared" si="35"/>
        <v>0</v>
      </c>
      <c r="BE74" s="86"/>
      <c r="BF74" s="87" t="e">
        <f t="shared" si="36"/>
        <v>#DIV/0!</v>
      </c>
      <c r="BG74" s="98"/>
    </row>
    <row r="75" spans="2:59" s="89" customFormat="1" ht="43.5" customHeight="1" x14ac:dyDescent="0.35">
      <c r="B75" s="90">
        <v>411</v>
      </c>
      <c r="C75" s="77">
        <v>1</v>
      </c>
      <c r="D75" s="78">
        <v>1</v>
      </c>
      <c r="E75" s="78">
        <v>1</v>
      </c>
      <c r="F75" s="199">
        <v>1</v>
      </c>
      <c r="G75" s="91">
        <f t="shared" si="29"/>
        <v>1</v>
      </c>
      <c r="H75" s="206">
        <v>1</v>
      </c>
      <c r="I75" s="93">
        <v>1</v>
      </c>
      <c r="J75" s="78">
        <v>1</v>
      </c>
      <c r="K75" s="94">
        <v>1</v>
      </c>
      <c r="L75" s="207">
        <f t="shared" si="30"/>
        <v>1</v>
      </c>
      <c r="M75" s="80">
        <v>1</v>
      </c>
      <c r="N75" s="81">
        <v>1</v>
      </c>
      <c r="O75" s="78">
        <v>0.95</v>
      </c>
      <c r="P75" s="84">
        <v>1</v>
      </c>
      <c r="Q75" s="83">
        <v>1</v>
      </c>
      <c r="R75" s="81">
        <v>1</v>
      </c>
      <c r="S75" s="78">
        <v>1</v>
      </c>
      <c r="T75" s="82">
        <v>1</v>
      </c>
      <c r="U75" s="92">
        <v>1</v>
      </c>
      <c r="V75" s="93">
        <v>1</v>
      </c>
      <c r="W75" s="78">
        <v>1</v>
      </c>
      <c r="X75" s="94">
        <v>1</v>
      </c>
      <c r="Y75" s="205">
        <f t="shared" si="31"/>
        <v>0.99750000000000005</v>
      </c>
      <c r="Z75" s="92">
        <v>0.5</v>
      </c>
      <c r="AA75" s="93">
        <v>0.5</v>
      </c>
      <c r="AB75" s="78">
        <v>0.5</v>
      </c>
      <c r="AC75" s="94">
        <v>0.5</v>
      </c>
      <c r="AD75" s="207">
        <f t="shared" si="32"/>
        <v>0.5</v>
      </c>
      <c r="AE75" s="92">
        <v>1</v>
      </c>
      <c r="AF75" s="93">
        <v>0.7</v>
      </c>
      <c r="AG75" s="78">
        <v>0.7</v>
      </c>
      <c r="AH75" s="94">
        <v>1</v>
      </c>
      <c r="AI75" s="207">
        <f t="shared" si="37"/>
        <v>0.80499999999999994</v>
      </c>
      <c r="AJ75" s="206">
        <v>1</v>
      </c>
      <c r="AK75" s="93">
        <v>1</v>
      </c>
      <c r="AL75" s="94"/>
      <c r="AM75" s="92">
        <v>0.7</v>
      </c>
      <c r="AN75" s="93">
        <v>0.7</v>
      </c>
      <c r="AO75" s="78">
        <v>0.95</v>
      </c>
      <c r="AP75" s="94">
        <v>0.85</v>
      </c>
      <c r="AQ75" s="205">
        <f t="shared" si="33"/>
        <v>0.78999999999999992</v>
      </c>
      <c r="AR75" s="92">
        <v>0</v>
      </c>
      <c r="AS75" s="93">
        <v>0</v>
      </c>
      <c r="AT75" s="78">
        <v>0</v>
      </c>
      <c r="AU75" s="94">
        <v>0</v>
      </c>
      <c r="AV75" s="205">
        <f t="shared" si="34"/>
        <v>0</v>
      </c>
      <c r="AW75" s="92"/>
      <c r="AX75" s="93"/>
      <c r="AY75" s="94"/>
      <c r="AZ75" s="205">
        <f t="shared" si="38"/>
        <v>0</v>
      </c>
      <c r="BA75" s="92">
        <v>0</v>
      </c>
      <c r="BB75" s="78">
        <v>0</v>
      </c>
      <c r="BC75" s="94">
        <v>0</v>
      </c>
      <c r="BD75" s="207">
        <f t="shared" si="35"/>
        <v>0</v>
      </c>
      <c r="BE75" s="86"/>
      <c r="BF75" s="87" t="e">
        <f t="shared" si="36"/>
        <v>#DIV/0!</v>
      </c>
      <c r="BG75" s="97"/>
    </row>
    <row r="76" spans="2:59" s="89" customFormat="1" ht="43.5" customHeight="1" x14ac:dyDescent="0.35">
      <c r="B76" s="76">
        <v>412</v>
      </c>
      <c r="C76" s="77">
        <v>1</v>
      </c>
      <c r="D76" s="78">
        <v>1</v>
      </c>
      <c r="E76" s="78">
        <v>1</v>
      </c>
      <c r="F76" s="199">
        <v>1</v>
      </c>
      <c r="G76" s="91">
        <f t="shared" si="29"/>
        <v>1</v>
      </c>
      <c r="H76" s="206">
        <v>1</v>
      </c>
      <c r="I76" s="93">
        <v>1</v>
      </c>
      <c r="J76" s="78">
        <v>1</v>
      </c>
      <c r="K76" s="94">
        <v>1</v>
      </c>
      <c r="L76" s="207">
        <f t="shared" si="30"/>
        <v>1</v>
      </c>
      <c r="M76" s="80">
        <v>1</v>
      </c>
      <c r="N76" s="81">
        <v>1</v>
      </c>
      <c r="O76" s="78">
        <v>0.95</v>
      </c>
      <c r="P76" s="84">
        <v>1</v>
      </c>
      <c r="Q76" s="83">
        <v>1</v>
      </c>
      <c r="R76" s="81">
        <v>1</v>
      </c>
      <c r="S76" s="78">
        <v>1</v>
      </c>
      <c r="T76" s="82">
        <v>1</v>
      </c>
      <c r="U76" s="92">
        <v>1</v>
      </c>
      <c r="V76" s="93">
        <v>1</v>
      </c>
      <c r="W76" s="78">
        <v>1</v>
      </c>
      <c r="X76" s="94">
        <v>1</v>
      </c>
      <c r="Y76" s="205">
        <f t="shared" si="31"/>
        <v>0.99750000000000005</v>
      </c>
      <c r="Z76" s="92">
        <v>0.5</v>
      </c>
      <c r="AA76" s="93">
        <v>0.5</v>
      </c>
      <c r="AB76" s="78">
        <v>0.5</v>
      </c>
      <c r="AC76" s="94">
        <v>0.5</v>
      </c>
      <c r="AD76" s="207">
        <f t="shared" si="32"/>
        <v>0.5</v>
      </c>
      <c r="AE76" s="92">
        <v>1</v>
      </c>
      <c r="AF76" s="93">
        <v>1</v>
      </c>
      <c r="AG76" s="78">
        <v>1</v>
      </c>
      <c r="AH76" s="94">
        <v>1</v>
      </c>
      <c r="AI76" s="207">
        <f t="shared" si="37"/>
        <v>1</v>
      </c>
      <c r="AJ76" s="206">
        <v>1</v>
      </c>
      <c r="AK76" s="93">
        <v>1</v>
      </c>
      <c r="AL76" s="94"/>
      <c r="AM76" s="92">
        <v>0.95</v>
      </c>
      <c r="AN76" s="93">
        <v>0.6</v>
      </c>
      <c r="AO76" s="78">
        <v>0.95</v>
      </c>
      <c r="AP76" s="94">
        <v>0.85</v>
      </c>
      <c r="AQ76" s="205">
        <f t="shared" si="33"/>
        <v>0.79249999999999998</v>
      </c>
      <c r="AR76" s="92">
        <v>0</v>
      </c>
      <c r="AS76" s="93">
        <v>0</v>
      </c>
      <c r="AT76" s="78">
        <v>0</v>
      </c>
      <c r="AU76" s="94">
        <v>0</v>
      </c>
      <c r="AV76" s="205">
        <f t="shared" si="34"/>
        <v>0</v>
      </c>
      <c r="AW76" s="92"/>
      <c r="AX76" s="93"/>
      <c r="AY76" s="94"/>
      <c r="AZ76" s="205">
        <f t="shared" si="38"/>
        <v>0</v>
      </c>
      <c r="BA76" s="92">
        <v>0</v>
      </c>
      <c r="BB76" s="78">
        <v>0</v>
      </c>
      <c r="BC76" s="94">
        <v>0</v>
      </c>
      <c r="BD76" s="207">
        <f t="shared" si="35"/>
        <v>0</v>
      </c>
      <c r="BE76" s="86"/>
      <c r="BF76" s="87" t="e">
        <f t="shared" si="36"/>
        <v>#DIV/0!</v>
      </c>
      <c r="BG76" s="97"/>
    </row>
    <row r="77" spans="2:59" s="89" customFormat="1" ht="43.5" customHeight="1" x14ac:dyDescent="0.35">
      <c r="B77" s="76">
        <v>413</v>
      </c>
      <c r="C77" s="77">
        <v>1</v>
      </c>
      <c r="D77" s="78">
        <v>1</v>
      </c>
      <c r="E77" s="78">
        <v>1</v>
      </c>
      <c r="F77" s="199">
        <v>1</v>
      </c>
      <c r="G77" s="91">
        <f t="shared" si="29"/>
        <v>1</v>
      </c>
      <c r="H77" s="206">
        <v>1</v>
      </c>
      <c r="I77" s="93">
        <v>1</v>
      </c>
      <c r="J77" s="78">
        <v>1</v>
      </c>
      <c r="K77" s="94">
        <v>1</v>
      </c>
      <c r="L77" s="207">
        <f t="shared" si="30"/>
        <v>1</v>
      </c>
      <c r="M77" s="80">
        <v>1</v>
      </c>
      <c r="N77" s="81">
        <v>1</v>
      </c>
      <c r="O77" s="78">
        <v>0.95</v>
      </c>
      <c r="P77" s="84">
        <v>1</v>
      </c>
      <c r="Q77" s="83">
        <v>1</v>
      </c>
      <c r="R77" s="81">
        <v>1</v>
      </c>
      <c r="S77" s="78">
        <v>1</v>
      </c>
      <c r="T77" s="82">
        <v>1</v>
      </c>
      <c r="U77" s="92">
        <v>1</v>
      </c>
      <c r="V77" s="93">
        <v>1</v>
      </c>
      <c r="W77" s="78">
        <v>1</v>
      </c>
      <c r="X77" s="94">
        <v>1</v>
      </c>
      <c r="Y77" s="205">
        <f t="shared" si="31"/>
        <v>0.99750000000000005</v>
      </c>
      <c r="Z77" s="92">
        <v>0.5</v>
      </c>
      <c r="AA77" s="93">
        <v>0.5</v>
      </c>
      <c r="AB77" s="78">
        <v>0.5</v>
      </c>
      <c r="AC77" s="94">
        <v>0.5</v>
      </c>
      <c r="AD77" s="207">
        <f t="shared" si="32"/>
        <v>0.5</v>
      </c>
      <c r="AE77" s="92">
        <v>1</v>
      </c>
      <c r="AF77" s="93">
        <v>1</v>
      </c>
      <c r="AG77" s="78">
        <v>1</v>
      </c>
      <c r="AH77" s="94">
        <v>1</v>
      </c>
      <c r="AI77" s="207">
        <f t="shared" si="37"/>
        <v>1</v>
      </c>
      <c r="AJ77" s="206">
        <v>1</v>
      </c>
      <c r="AK77" s="93">
        <v>1</v>
      </c>
      <c r="AL77" s="94"/>
      <c r="AM77" s="92">
        <v>0</v>
      </c>
      <c r="AN77" s="93">
        <v>0.6</v>
      </c>
      <c r="AO77" s="78">
        <v>0.7</v>
      </c>
      <c r="AP77" s="94">
        <v>0.85</v>
      </c>
      <c r="AQ77" s="205">
        <f t="shared" si="33"/>
        <v>0.61250000000000004</v>
      </c>
      <c r="AR77" s="92">
        <v>0</v>
      </c>
      <c r="AS77" s="93">
        <v>0</v>
      </c>
      <c r="AT77" s="78">
        <v>0</v>
      </c>
      <c r="AU77" s="94">
        <v>0</v>
      </c>
      <c r="AV77" s="205">
        <f t="shared" si="34"/>
        <v>0</v>
      </c>
      <c r="AW77" s="92"/>
      <c r="AX77" s="93"/>
      <c r="AY77" s="94"/>
      <c r="AZ77" s="205">
        <f t="shared" si="38"/>
        <v>0</v>
      </c>
      <c r="BA77" s="92">
        <v>0</v>
      </c>
      <c r="BB77" s="78">
        <v>0</v>
      </c>
      <c r="BC77" s="94">
        <v>0</v>
      </c>
      <c r="BD77" s="207">
        <f t="shared" si="35"/>
        <v>0</v>
      </c>
      <c r="BE77" s="86"/>
      <c r="BF77" s="87" t="e">
        <f t="shared" si="36"/>
        <v>#DIV/0!</v>
      </c>
      <c r="BG77" s="100"/>
    </row>
    <row r="78" spans="2:59" s="89" customFormat="1" ht="43.5" customHeight="1" x14ac:dyDescent="0.35">
      <c r="B78" s="90">
        <v>414</v>
      </c>
      <c r="C78" s="77">
        <v>1</v>
      </c>
      <c r="D78" s="78">
        <v>1</v>
      </c>
      <c r="E78" s="78">
        <v>1</v>
      </c>
      <c r="F78" s="199">
        <v>1</v>
      </c>
      <c r="G78" s="91">
        <f t="shared" si="29"/>
        <v>1</v>
      </c>
      <c r="H78" s="206">
        <v>0.8</v>
      </c>
      <c r="I78" s="93">
        <v>0.9</v>
      </c>
      <c r="J78" s="78">
        <v>0.9</v>
      </c>
      <c r="K78" s="94">
        <v>0.8</v>
      </c>
      <c r="L78" s="207">
        <f t="shared" si="30"/>
        <v>0.84</v>
      </c>
      <c r="M78" s="80">
        <v>1</v>
      </c>
      <c r="N78" s="81">
        <v>1</v>
      </c>
      <c r="O78" s="78">
        <v>0.95</v>
      </c>
      <c r="P78" s="84">
        <v>1</v>
      </c>
      <c r="Q78" s="83">
        <v>1</v>
      </c>
      <c r="R78" s="81">
        <v>1</v>
      </c>
      <c r="S78" s="78">
        <v>1</v>
      </c>
      <c r="T78" s="82">
        <v>1</v>
      </c>
      <c r="U78" s="92">
        <v>1</v>
      </c>
      <c r="V78" s="93">
        <v>1</v>
      </c>
      <c r="W78" s="78">
        <v>1</v>
      </c>
      <c r="X78" s="94">
        <v>1</v>
      </c>
      <c r="Y78" s="205">
        <f t="shared" si="31"/>
        <v>0.99750000000000005</v>
      </c>
      <c r="Z78" s="92">
        <v>0.5</v>
      </c>
      <c r="AA78" s="93">
        <v>0.5</v>
      </c>
      <c r="AB78" s="78">
        <v>0.5</v>
      </c>
      <c r="AC78" s="94">
        <v>0.5</v>
      </c>
      <c r="AD78" s="207">
        <f t="shared" si="32"/>
        <v>0.5</v>
      </c>
      <c r="AE78" s="92">
        <v>1</v>
      </c>
      <c r="AF78" s="93">
        <v>1</v>
      </c>
      <c r="AG78" s="78">
        <v>1</v>
      </c>
      <c r="AH78" s="94">
        <v>1</v>
      </c>
      <c r="AI78" s="207">
        <f t="shared" si="37"/>
        <v>1</v>
      </c>
      <c r="AJ78" s="206">
        <v>1</v>
      </c>
      <c r="AK78" s="93">
        <v>0</v>
      </c>
      <c r="AL78" s="94"/>
      <c r="AM78" s="92">
        <v>0.95</v>
      </c>
      <c r="AN78" s="93">
        <v>0.7</v>
      </c>
      <c r="AO78" s="78">
        <v>0.7</v>
      </c>
      <c r="AP78" s="94">
        <v>0.85</v>
      </c>
      <c r="AQ78" s="205">
        <f t="shared" si="33"/>
        <v>0.78999999999999992</v>
      </c>
      <c r="AR78" s="92">
        <v>0</v>
      </c>
      <c r="AS78" s="93">
        <v>0</v>
      </c>
      <c r="AT78" s="78">
        <v>0</v>
      </c>
      <c r="AU78" s="94">
        <v>0</v>
      </c>
      <c r="AV78" s="205">
        <f t="shared" si="34"/>
        <v>0</v>
      </c>
      <c r="AW78" s="92"/>
      <c r="AX78" s="93"/>
      <c r="AY78" s="94"/>
      <c r="AZ78" s="205">
        <f t="shared" si="38"/>
        <v>0</v>
      </c>
      <c r="BA78" s="92">
        <v>0</v>
      </c>
      <c r="BB78" s="78">
        <v>0</v>
      </c>
      <c r="BC78" s="94">
        <v>0</v>
      </c>
      <c r="BD78" s="207">
        <f t="shared" si="35"/>
        <v>0</v>
      </c>
      <c r="BE78" s="86"/>
      <c r="BF78" s="87" t="e">
        <f t="shared" si="36"/>
        <v>#DIV/0!</v>
      </c>
      <c r="BG78" s="98"/>
    </row>
    <row r="79" spans="2:59" s="89" customFormat="1" ht="43.5" customHeight="1" x14ac:dyDescent="0.35">
      <c r="B79" s="76">
        <v>415</v>
      </c>
      <c r="C79" s="77">
        <v>1</v>
      </c>
      <c r="D79" s="78">
        <v>1</v>
      </c>
      <c r="E79" s="78">
        <v>1</v>
      </c>
      <c r="F79" s="199">
        <v>1</v>
      </c>
      <c r="G79" s="91">
        <f t="shared" si="29"/>
        <v>1</v>
      </c>
      <c r="H79" s="206">
        <v>1</v>
      </c>
      <c r="I79" s="93">
        <v>1</v>
      </c>
      <c r="J79" s="78">
        <v>1</v>
      </c>
      <c r="K79" s="94">
        <v>1</v>
      </c>
      <c r="L79" s="207">
        <f t="shared" si="30"/>
        <v>1</v>
      </c>
      <c r="M79" s="80">
        <v>1</v>
      </c>
      <c r="N79" s="81">
        <v>1</v>
      </c>
      <c r="O79" s="78">
        <v>0.95</v>
      </c>
      <c r="P79" s="84">
        <v>1</v>
      </c>
      <c r="Q79" s="83">
        <v>1</v>
      </c>
      <c r="R79" s="81">
        <v>1</v>
      </c>
      <c r="S79" s="78">
        <v>1</v>
      </c>
      <c r="T79" s="82">
        <v>1</v>
      </c>
      <c r="U79" s="92">
        <v>1</v>
      </c>
      <c r="V79" s="93">
        <v>1</v>
      </c>
      <c r="W79" s="78">
        <v>1</v>
      </c>
      <c r="X79" s="94">
        <v>1</v>
      </c>
      <c r="Y79" s="205">
        <f t="shared" si="31"/>
        <v>0.99750000000000005</v>
      </c>
      <c r="Z79" s="92">
        <v>0.5</v>
      </c>
      <c r="AA79" s="93">
        <v>0.5</v>
      </c>
      <c r="AB79" s="78">
        <v>0.5</v>
      </c>
      <c r="AC79" s="94">
        <v>0.5</v>
      </c>
      <c r="AD79" s="207">
        <f t="shared" si="32"/>
        <v>0.5</v>
      </c>
      <c r="AE79" s="92">
        <v>0.7</v>
      </c>
      <c r="AF79" s="93">
        <v>0</v>
      </c>
      <c r="AG79" s="78">
        <v>0.7</v>
      </c>
      <c r="AH79" s="94">
        <v>1</v>
      </c>
      <c r="AI79" s="207">
        <f t="shared" si="37"/>
        <v>0.57999999999999996</v>
      </c>
      <c r="AJ79" s="206">
        <v>1</v>
      </c>
      <c r="AK79" s="93">
        <v>1</v>
      </c>
      <c r="AL79" s="94"/>
      <c r="AM79" s="92">
        <v>0.7</v>
      </c>
      <c r="AN79" s="93">
        <v>0.7</v>
      </c>
      <c r="AO79" s="78">
        <v>0.7</v>
      </c>
      <c r="AP79" s="94">
        <v>0.7</v>
      </c>
      <c r="AQ79" s="205">
        <f t="shared" si="33"/>
        <v>0.7</v>
      </c>
      <c r="AR79" s="92">
        <v>0</v>
      </c>
      <c r="AS79" s="93">
        <v>0</v>
      </c>
      <c r="AT79" s="78">
        <v>0</v>
      </c>
      <c r="AU79" s="94">
        <v>0</v>
      </c>
      <c r="AV79" s="205">
        <f t="shared" si="34"/>
        <v>0</v>
      </c>
      <c r="AW79" s="92"/>
      <c r="AX79" s="93"/>
      <c r="AY79" s="94"/>
      <c r="AZ79" s="205">
        <f t="shared" si="38"/>
        <v>0</v>
      </c>
      <c r="BA79" s="92">
        <v>0</v>
      </c>
      <c r="BB79" s="78">
        <v>0</v>
      </c>
      <c r="BC79" s="94">
        <v>0</v>
      </c>
      <c r="BD79" s="207">
        <f t="shared" si="35"/>
        <v>0</v>
      </c>
      <c r="BE79" s="86"/>
      <c r="BF79" s="87" t="e">
        <f t="shared" si="36"/>
        <v>#DIV/0!</v>
      </c>
      <c r="BG79" s="98"/>
    </row>
    <row r="80" spans="2:59" s="89" customFormat="1" ht="43.5" customHeight="1" thickBot="1" x14ac:dyDescent="0.4">
      <c r="B80" s="101">
        <v>416</v>
      </c>
      <c r="C80" s="77">
        <v>1</v>
      </c>
      <c r="D80" s="78">
        <v>1</v>
      </c>
      <c r="E80" s="78">
        <v>1</v>
      </c>
      <c r="F80" s="199">
        <v>1</v>
      </c>
      <c r="G80" s="102">
        <f t="shared" si="29"/>
        <v>1</v>
      </c>
      <c r="H80" s="208">
        <v>1</v>
      </c>
      <c r="I80" s="110">
        <v>1</v>
      </c>
      <c r="J80" s="105">
        <v>1</v>
      </c>
      <c r="K80" s="111">
        <v>1</v>
      </c>
      <c r="L80" s="209">
        <f t="shared" si="30"/>
        <v>1</v>
      </c>
      <c r="M80" s="107">
        <v>1</v>
      </c>
      <c r="N80" s="104">
        <v>1</v>
      </c>
      <c r="O80" s="105">
        <v>0.95</v>
      </c>
      <c r="P80" s="106">
        <v>1</v>
      </c>
      <c r="Q80" s="103">
        <v>1</v>
      </c>
      <c r="R80" s="104">
        <v>1</v>
      </c>
      <c r="S80" s="105">
        <v>1</v>
      </c>
      <c r="T80" s="108">
        <v>1</v>
      </c>
      <c r="U80" s="109">
        <v>1</v>
      </c>
      <c r="V80" s="110">
        <v>1</v>
      </c>
      <c r="W80" s="105">
        <v>1</v>
      </c>
      <c r="X80" s="111">
        <v>1</v>
      </c>
      <c r="Y80" s="210">
        <f t="shared" si="31"/>
        <v>0.99750000000000005</v>
      </c>
      <c r="Z80" s="109">
        <v>0.5</v>
      </c>
      <c r="AA80" s="110">
        <v>0.5</v>
      </c>
      <c r="AB80" s="105">
        <v>0.5</v>
      </c>
      <c r="AC80" s="111">
        <v>0.5</v>
      </c>
      <c r="AD80" s="209">
        <f t="shared" si="32"/>
        <v>0.5</v>
      </c>
      <c r="AE80" s="109">
        <v>1</v>
      </c>
      <c r="AF80" s="110">
        <v>1</v>
      </c>
      <c r="AG80" s="105">
        <v>0.7</v>
      </c>
      <c r="AH80" s="111">
        <v>1</v>
      </c>
      <c r="AI80" s="209">
        <f t="shared" si="37"/>
        <v>0.89500000000000002</v>
      </c>
      <c r="AJ80" s="208">
        <v>1</v>
      </c>
      <c r="AK80" s="110">
        <v>1</v>
      </c>
      <c r="AL80" s="111"/>
      <c r="AM80" s="109">
        <v>0.95</v>
      </c>
      <c r="AN80" s="110">
        <v>0.7</v>
      </c>
      <c r="AO80" s="105">
        <v>0.95</v>
      </c>
      <c r="AP80" s="111">
        <v>0.85</v>
      </c>
      <c r="AQ80" s="210">
        <f t="shared" si="33"/>
        <v>0.8274999999999999</v>
      </c>
      <c r="AR80" s="109">
        <v>0</v>
      </c>
      <c r="AS80" s="110">
        <v>0</v>
      </c>
      <c r="AT80" s="105">
        <v>0</v>
      </c>
      <c r="AU80" s="111">
        <v>0</v>
      </c>
      <c r="AV80" s="210">
        <f t="shared" si="34"/>
        <v>0</v>
      </c>
      <c r="AW80" s="109"/>
      <c r="AX80" s="110"/>
      <c r="AY80" s="111"/>
      <c r="AZ80" s="210">
        <f t="shared" si="38"/>
        <v>0</v>
      </c>
      <c r="BA80" s="109">
        <v>0</v>
      </c>
      <c r="BB80" s="105">
        <v>0</v>
      </c>
      <c r="BC80" s="111">
        <v>0</v>
      </c>
      <c r="BD80" s="209">
        <f t="shared" si="35"/>
        <v>0</v>
      </c>
      <c r="BE80" s="127"/>
      <c r="BF80" s="87" t="e">
        <f t="shared" si="36"/>
        <v>#DIV/0!</v>
      </c>
      <c r="BG80" s="112"/>
    </row>
    <row r="81" spans="2:59" ht="43.5" customHeight="1" thickBot="1" x14ac:dyDescent="0.35">
      <c r="B81" s="256" t="s">
        <v>95</v>
      </c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257"/>
      <c r="AG81" s="257"/>
      <c r="AH81" s="257"/>
      <c r="AI81" s="257"/>
      <c r="AJ81" s="257"/>
      <c r="AK81" s="257"/>
      <c r="AL81" s="257"/>
      <c r="AM81" s="257"/>
      <c r="AN81" s="257"/>
      <c r="AO81" s="257"/>
      <c r="AP81" s="257"/>
      <c r="AQ81" s="257"/>
      <c r="AR81" s="257"/>
      <c r="AS81" s="257"/>
      <c r="AT81" s="257"/>
      <c r="AU81" s="257"/>
      <c r="AV81" s="257"/>
      <c r="AW81" s="257"/>
      <c r="AX81" s="257"/>
      <c r="AY81" s="257"/>
      <c r="AZ81" s="257"/>
      <c r="BA81" s="257"/>
      <c r="BB81" s="257"/>
      <c r="BC81" s="257"/>
      <c r="BD81" s="257"/>
      <c r="BE81" s="257"/>
      <c r="BF81" s="257"/>
      <c r="BG81" s="258"/>
    </row>
    <row r="82" spans="2:59" s="89" customFormat="1" ht="43.5" customHeight="1" x14ac:dyDescent="0.35">
      <c r="B82" s="76">
        <v>501</v>
      </c>
      <c r="C82" s="77">
        <v>1</v>
      </c>
      <c r="D82" s="78">
        <v>1</v>
      </c>
      <c r="E82" s="78">
        <v>1</v>
      </c>
      <c r="F82" s="199">
        <v>1</v>
      </c>
      <c r="G82" s="85">
        <f t="shared" ref="G82:G97" si="39" xml:space="preserve"> C82*45% + D82*45% + E82*5% + F82*5%</f>
        <v>1</v>
      </c>
      <c r="H82" s="200">
        <v>1</v>
      </c>
      <c r="I82" s="201">
        <v>1</v>
      </c>
      <c r="J82" s="202">
        <v>1</v>
      </c>
      <c r="K82" s="203">
        <v>1</v>
      </c>
      <c r="L82" s="85">
        <f t="shared" ref="L82:L97" si="40" xml:space="preserve"> H82*30% + I82*30% + J82*10% + K82*30%</f>
        <v>1</v>
      </c>
      <c r="M82" s="80">
        <v>1</v>
      </c>
      <c r="N82" s="81">
        <v>1</v>
      </c>
      <c r="O82" s="78">
        <v>1</v>
      </c>
      <c r="P82" s="84">
        <v>1</v>
      </c>
      <c r="Q82" s="83">
        <v>1</v>
      </c>
      <c r="R82" s="81">
        <v>1</v>
      </c>
      <c r="S82" s="78">
        <v>1</v>
      </c>
      <c r="T82" s="82">
        <v>1</v>
      </c>
      <c r="U82" s="140">
        <v>1</v>
      </c>
      <c r="V82" s="201">
        <v>1</v>
      </c>
      <c r="W82" s="202">
        <v>1</v>
      </c>
      <c r="X82" s="203">
        <v>1</v>
      </c>
      <c r="Y82" s="204">
        <f t="shared" ref="Y82:Y97" si="41" xml:space="preserve"> (U82*10% + V82*10% + W82*10% + X82*10%+ Q82*5% + R82*5% + S82*5% + T82*5%+M82*10% + N82*15% + O82*5% + P82*10%)</f>
        <v>1.0000000000000002</v>
      </c>
      <c r="Z82" s="140">
        <v>0.5</v>
      </c>
      <c r="AA82" s="201">
        <v>0.5</v>
      </c>
      <c r="AB82" s="202">
        <v>0.5</v>
      </c>
      <c r="AC82" s="203">
        <v>0.5</v>
      </c>
      <c r="AD82" s="85">
        <f t="shared" ref="AD82:AD97" si="42" xml:space="preserve"> Z82*45% + AA82*45% + AB82*5% + AC82*5%</f>
        <v>0.5</v>
      </c>
      <c r="AE82" s="140">
        <v>0.9</v>
      </c>
      <c r="AF82" s="201">
        <v>0.7</v>
      </c>
      <c r="AG82" s="202">
        <v>0.7</v>
      </c>
      <c r="AH82" s="203">
        <v>0.7</v>
      </c>
      <c r="AI82" s="85">
        <f xml:space="preserve"> AE82*5% + AF82*30% + AG82*35% + AH82*30%</f>
        <v>0.71</v>
      </c>
      <c r="AJ82" s="80">
        <v>1</v>
      </c>
      <c r="AK82" s="81">
        <v>1</v>
      </c>
      <c r="AL82" s="82"/>
      <c r="AM82" s="92">
        <v>0</v>
      </c>
      <c r="AN82" s="93">
        <v>0.4</v>
      </c>
      <c r="AO82" s="78">
        <v>0.6</v>
      </c>
      <c r="AP82" s="94">
        <v>0.6</v>
      </c>
      <c r="AQ82" s="205">
        <f t="shared" ref="AQ82:AQ97" si="43" xml:space="preserve"> AM82*15% + AN82*35% + AO82*15% + AP82*35%</f>
        <v>0.43999999999999995</v>
      </c>
      <c r="AR82" s="140">
        <v>0</v>
      </c>
      <c r="AS82" s="201">
        <v>0</v>
      </c>
      <c r="AT82" s="202">
        <v>0</v>
      </c>
      <c r="AU82" s="203">
        <v>0</v>
      </c>
      <c r="AV82" s="204">
        <f t="shared" ref="AV82:AV97" si="44" xml:space="preserve"> AR82*30% + AS82*30% + AT82*15% + AU82*25%</f>
        <v>0</v>
      </c>
      <c r="AW82" s="140">
        <v>0</v>
      </c>
      <c r="AX82" s="201">
        <v>0</v>
      </c>
      <c r="AY82" s="203">
        <v>0</v>
      </c>
      <c r="AZ82" s="204">
        <f t="shared" ref="AZ82:AZ97" si="45" xml:space="preserve">  AW82*30% + AX82*45% + AY82*25%</f>
        <v>0</v>
      </c>
      <c r="BA82" s="140">
        <v>0</v>
      </c>
      <c r="BB82" s="202">
        <v>0</v>
      </c>
      <c r="BC82" s="203">
        <v>0</v>
      </c>
      <c r="BD82" s="85">
        <f t="shared" ref="BD82:BD97" si="46" xml:space="preserve">  BA82*30% + BB82*45% + BC82*25%</f>
        <v>0</v>
      </c>
      <c r="BE82" s="86"/>
      <c r="BF82" s="87" t="e">
        <f t="shared" ref="BF82:BF97" si="47">(
(COUNTIF(B82:E82,"✓")/(COUNTIF(B82:E82,"✓")+COUNTIF(B82:E82,"x")))*0.2 +
(COUNTIF(F82:J82,"✓")/(COUNTIF(F82:J82,"✓")+COUNTIF(F82:J82,"x")))*0.1 +
(COUNTIF(K82:O82,"✓")/(COUNTIF(K82:O82,"✓")+COUNTIF(K82:O82,"x")))*0.1 +
(COUNTIF(P82:S82,"✓")/(COUNTIF(P82:S82,"✓")+COUNTIF(P82:S82,"x")))*0.1 +
(COUNTIF(T82:W82,"✓")/(COUNTIF(T82:W82,"✓")+COUNTIF(T82:W82,"x")))*0.1 +
(COUNTIF(X82:AB82,"✓")/(COUNTIF(X82:AB82,"✓")+COUNTIF(X82:AB82,"x")))*0.1 +
(COUNTIF(AC82:AO82,"✓")/(COUNTIF(AC82:AO82,"✓")+COUNTIF(AC82:AO82,"x")))*0.1 +
(COUNTIF(AP82:AT82,"✓")/(COUNTIF(AP82:AT82,"✓")+COUNTIF(AP82:AT82,"x")))*0.05 +
(COUNTIF(AU82:BB82,"✓")/(COUNTIF(AU82:BB82,"✓")+COUNTIF(AU82:BB82,"x")))*0.1 +
(COUNTIF(BC82:BC82,"✓")/(COUNTIF(BC82:BC82,"✓")+COUNTIF(BC82:BC82,"x")))*0.05
)</f>
        <v>#DIV/0!</v>
      </c>
      <c r="BG82" s="88"/>
    </row>
    <row r="83" spans="2:59" s="96" customFormat="1" ht="43.5" customHeight="1" x14ac:dyDescent="0.35">
      <c r="B83" s="90">
        <v>502</v>
      </c>
      <c r="C83" s="77">
        <v>1</v>
      </c>
      <c r="D83" s="78">
        <v>1</v>
      </c>
      <c r="E83" s="78">
        <v>1</v>
      </c>
      <c r="F83" s="199">
        <v>1</v>
      </c>
      <c r="G83" s="91">
        <f t="shared" si="39"/>
        <v>1</v>
      </c>
      <c r="H83" s="206">
        <v>1</v>
      </c>
      <c r="I83" s="93">
        <v>1</v>
      </c>
      <c r="J83" s="78">
        <v>1</v>
      </c>
      <c r="K83" s="94">
        <v>1</v>
      </c>
      <c r="L83" s="207">
        <f t="shared" si="40"/>
        <v>1</v>
      </c>
      <c r="M83" s="80">
        <v>1</v>
      </c>
      <c r="N83" s="81">
        <v>1</v>
      </c>
      <c r="O83" s="78">
        <v>1</v>
      </c>
      <c r="P83" s="84">
        <v>1</v>
      </c>
      <c r="Q83" s="83">
        <v>1</v>
      </c>
      <c r="R83" s="81">
        <v>1</v>
      </c>
      <c r="S83" s="78">
        <v>1</v>
      </c>
      <c r="T83" s="82">
        <v>1</v>
      </c>
      <c r="U83" s="92">
        <v>1</v>
      </c>
      <c r="V83" s="93">
        <v>1</v>
      </c>
      <c r="W83" s="78">
        <v>1</v>
      </c>
      <c r="X83" s="94">
        <v>1</v>
      </c>
      <c r="Y83" s="205">
        <f t="shared" si="41"/>
        <v>1.0000000000000002</v>
      </c>
      <c r="Z83" s="92">
        <v>0.5</v>
      </c>
      <c r="AA83" s="93">
        <v>0.5</v>
      </c>
      <c r="AB83" s="78">
        <v>0.5</v>
      </c>
      <c r="AC83" s="94">
        <v>0.5</v>
      </c>
      <c r="AD83" s="207">
        <f t="shared" si="42"/>
        <v>0.5</v>
      </c>
      <c r="AE83" s="92">
        <v>0.7</v>
      </c>
      <c r="AF83" s="93">
        <v>0.7</v>
      </c>
      <c r="AG83" s="78">
        <v>0.7</v>
      </c>
      <c r="AH83" s="94">
        <v>0</v>
      </c>
      <c r="AI83" s="207">
        <f t="shared" ref="AI83:AI97" si="48" xml:space="preserve"> AE83*5% + AF83*30% + AG83*35% + AH83*30%</f>
        <v>0.49</v>
      </c>
      <c r="AJ83" s="206">
        <v>1</v>
      </c>
      <c r="AK83" s="93">
        <v>1</v>
      </c>
      <c r="AL83" s="94"/>
      <c r="AM83" s="92">
        <v>0</v>
      </c>
      <c r="AN83" s="93">
        <v>0.5</v>
      </c>
      <c r="AO83" s="78">
        <v>0</v>
      </c>
      <c r="AP83" s="94">
        <v>0.6</v>
      </c>
      <c r="AQ83" s="205">
        <f t="shared" si="43"/>
        <v>0.38500000000000001</v>
      </c>
      <c r="AR83" s="92">
        <v>0</v>
      </c>
      <c r="AS83" s="93">
        <v>0</v>
      </c>
      <c r="AT83" s="78">
        <v>0</v>
      </c>
      <c r="AU83" s="94">
        <v>0</v>
      </c>
      <c r="AV83" s="205">
        <f t="shared" si="44"/>
        <v>0</v>
      </c>
      <c r="AW83" s="92">
        <v>0</v>
      </c>
      <c r="AX83" s="93">
        <v>0</v>
      </c>
      <c r="AY83" s="94">
        <v>0</v>
      </c>
      <c r="AZ83" s="205">
        <f t="shared" si="45"/>
        <v>0</v>
      </c>
      <c r="BA83" s="92">
        <v>0</v>
      </c>
      <c r="BB83" s="78">
        <v>0</v>
      </c>
      <c r="BC83" s="94">
        <v>0</v>
      </c>
      <c r="BD83" s="207">
        <f t="shared" si="46"/>
        <v>0</v>
      </c>
      <c r="BE83" s="86"/>
      <c r="BF83" s="87" t="e">
        <f t="shared" si="47"/>
        <v>#DIV/0!</v>
      </c>
      <c r="BG83" s="95"/>
    </row>
    <row r="84" spans="2:59" s="89" customFormat="1" ht="43.5" customHeight="1" x14ac:dyDescent="0.35">
      <c r="B84" s="76">
        <v>503</v>
      </c>
      <c r="C84" s="77">
        <v>1</v>
      </c>
      <c r="D84" s="78">
        <v>1</v>
      </c>
      <c r="E84" s="78">
        <v>1</v>
      </c>
      <c r="F84" s="199">
        <v>1</v>
      </c>
      <c r="G84" s="91">
        <f t="shared" si="39"/>
        <v>1</v>
      </c>
      <c r="H84" s="206">
        <v>1</v>
      </c>
      <c r="I84" s="93">
        <v>1</v>
      </c>
      <c r="J84" s="78">
        <v>1</v>
      </c>
      <c r="K84" s="94">
        <v>1</v>
      </c>
      <c r="L84" s="207">
        <f t="shared" si="40"/>
        <v>1</v>
      </c>
      <c r="M84" s="80">
        <v>1</v>
      </c>
      <c r="N84" s="81">
        <v>1</v>
      </c>
      <c r="O84" s="78">
        <v>1</v>
      </c>
      <c r="P84" s="84">
        <v>1</v>
      </c>
      <c r="Q84" s="83">
        <v>1</v>
      </c>
      <c r="R84" s="81">
        <v>1</v>
      </c>
      <c r="S84" s="78">
        <v>1</v>
      </c>
      <c r="T84" s="82">
        <v>1</v>
      </c>
      <c r="U84" s="92">
        <v>1</v>
      </c>
      <c r="V84" s="93">
        <v>1</v>
      </c>
      <c r="W84" s="78">
        <v>1</v>
      </c>
      <c r="X84" s="94">
        <v>1</v>
      </c>
      <c r="Y84" s="205">
        <f t="shared" si="41"/>
        <v>1.0000000000000002</v>
      </c>
      <c r="Z84" s="92">
        <v>0.5</v>
      </c>
      <c r="AA84" s="93">
        <v>0.5</v>
      </c>
      <c r="AB84" s="78">
        <v>0.5</v>
      </c>
      <c r="AC84" s="94">
        <v>0.5</v>
      </c>
      <c r="AD84" s="207">
        <f t="shared" si="42"/>
        <v>0.5</v>
      </c>
      <c r="AE84" s="92">
        <v>1</v>
      </c>
      <c r="AF84" s="93">
        <v>0.7</v>
      </c>
      <c r="AG84" s="78">
        <v>0.7</v>
      </c>
      <c r="AH84" s="94">
        <v>0.7</v>
      </c>
      <c r="AI84" s="207">
        <f t="shared" si="48"/>
        <v>0.71499999999999997</v>
      </c>
      <c r="AJ84" s="206">
        <v>1</v>
      </c>
      <c r="AK84" s="93">
        <v>1</v>
      </c>
      <c r="AL84" s="94"/>
      <c r="AM84" s="92">
        <v>0.7</v>
      </c>
      <c r="AN84" s="93">
        <v>0.5</v>
      </c>
      <c r="AO84" s="78">
        <v>0</v>
      </c>
      <c r="AP84" s="94">
        <v>0.3</v>
      </c>
      <c r="AQ84" s="205">
        <f t="shared" si="43"/>
        <v>0.38499999999999995</v>
      </c>
      <c r="AR84" s="92">
        <v>0</v>
      </c>
      <c r="AS84" s="93">
        <v>0</v>
      </c>
      <c r="AT84" s="78">
        <v>0</v>
      </c>
      <c r="AU84" s="94">
        <v>0</v>
      </c>
      <c r="AV84" s="205">
        <f t="shared" si="44"/>
        <v>0</v>
      </c>
      <c r="AW84" s="92">
        <v>0</v>
      </c>
      <c r="AX84" s="93">
        <v>0</v>
      </c>
      <c r="AY84" s="94">
        <v>0</v>
      </c>
      <c r="AZ84" s="205">
        <f t="shared" si="45"/>
        <v>0</v>
      </c>
      <c r="BA84" s="92">
        <v>0</v>
      </c>
      <c r="BB84" s="78">
        <v>0</v>
      </c>
      <c r="BC84" s="94">
        <v>0</v>
      </c>
      <c r="BD84" s="207">
        <f t="shared" si="46"/>
        <v>0</v>
      </c>
      <c r="BE84" s="86"/>
      <c r="BF84" s="87" t="e">
        <f t="shared" si="47"/>
        <v>#DIV/0!</v>
      </c>
      <c r="BG84" s="88"/>
    </row>
    <row r="85" spans="2:59" s="89" customFormat="1" ht="43.5" customHeight="1" x14ac:dyDescent="0.35">
      <c r="B85" s="76">
        <v>504</v>
      </c>
      <c r="C85" s="77">
        <v>1</v>
      </c>
      <c r="D85" s="78">
        <v>1</v>
      </c>
      <c r="E85" s="78">
        <v>1</v>
      </c>
      <c r="F85" s="199">
        <v>1</v>
      </c>
      <c r="G85" s="91">
        <f t="shared" si="39"/>
        <v>1</v>
      </c>
      <c r="H85" s="206">
        <v>1</v>
      </c>
      <c r="I85" s="93">
        <v>1</v>
      </c>
      <c r="J85" s="78">
        <v>1</v>
      </c>
      <c r="K85" s="94">
        <v>1</v>
      </c>
      <c r="L85" s="207">
        <f t="shared" si="40"/>
        <v>1</v>
      </c>
      <c r="M85" s="80">
        <v>1</v>
      </c>
      <c r="N85" s="81">
        <v>1</v>
      </c>
      <c r="O85" s="78">
        <v>1</v>
      </c>
      <c r="P85" s="84">
        <v>1</v>
      </c>
      <c r="Q85" s="83">
        <v>1</v>
      </c>
      <c r="R85" s="81">
        <v>1</v>
      </c>
      <c r="S85" s="78">
        <v>1</v>
      </c>
      <c r="T85" s="82">
        <v>1</v>
      </c>
      <c r="U85" s="92">
        <v>1</v>
      </c>
      <c r="V85" s="93">
        <v>1</v>
      </c>
      <c r="W85" s="78">
        <v>1</v>
      </c>
      <c r="X85" s="94">
        <v>1</v>
      </c>
      <c r="Y85" s="205">
        <f t="shared" si="41"/>
        <v>1.0000000000000002</v>
      </c>
      <c r="Z85" s="92">
        <v>0.5</v>
      </c>
      <c r="AA85" s="93">
        <v>0.5</v>
      </c>
      <c r="AB85" s="78">
        <v>0.5</v>
      </c>
      <c r="AC85" s="94">
        <v>0.5</v>
      </c>
      <c r="AD85" s="207">
        <f t="shared" si="42"/>
        <v>0.5</v>
      </c>
      <c r="AE85" s="92">
        <v>0.7</v>
      </c>
      <c r="AF85" s="93">
        <v>1</v>
      </c>
      <c r="AG85" s="78">
        <v>0.7</v>
      </c>
      <c r="AH85" s="94">
        <v>0</v>
      </c>
      <c r="AI85" s="207">
        <f t="shared" si="48"/>
        <v>0.57999999999999996</v>
      </c>
      <c r="AJ85" s="206">
        <v>1</v>
      </c>
      <c r="AK85" s="93">
        <v>1</v>
      </c>
      <c r="AL85" s="94"/>
      <c r="AM85" s="92">
        <v>0.7</v>
      </c>
      <c r="AN85" s="93">
        <v>0.45</v>
      </c>
      <c r="AO85" s="78">
        <v>0.7</v>
      </c>
      <c r="AP85" s="94">
        <v>0.3</v>
      </c>
      <c r="AQ85" s="205">
        <f t="shared" si="43"/>
        <v>0.47249999999999998</v>
      </c>
      <c r="AR85" s="92">
        <v>0</v>
      </c>
      <c r="AS85" s="93">
        <v>0</v>
      </c>
      <c r="AT85" s="78">
        <v>0</v>
      </c>
      <c r="AU85" s="94">
        <v>0</v>
      </c>
      <c r="AV85" s="205">
        <f t="shared" si="44"/>
        <v>0</v>
      </c>
      <c r="AW85" s="92">
        <v>0</v>
      </c>
      <c r="AX85" s="93">
        <v>0</v>
      </c>
      <c r="AY85" s="94">
        <v>0</v>
      </c>
      <c r="AZ85" s="205">
        <f t="shared" si="45"/>
        <v>0</v>
      </c>
      <c r="BA85" s="92">
        <v>0</v>
      </c>
      <c r="BB85" s="78">
        <v>0</v>
      </c>
      <c r="BC85" s="94">
        <v>0</v>
      </c>
      <c r="BD85" s="207">
        <f t="shared" si="46"/>
        <v>0</v>
      </c>
      <c r="BE85" s="86"/>
      <c r="BF85" s="87" t="e">
        <f t="shared" si="47"/>
        <v>#DIV/0!</v>
      </c>
      <c r="BG85" s="97"/>
    </row>
    <row r="86" spans="2:59" s="89" customFormat="1" ht="43.5" customHeight="1" x14ac:dyDescent="0.35">
      <c r="B86" s="90">
        <v>505</v>
      </c>
      <c r="C86" s="77">
        <v>1</v>
      </c>
      <c r="D86" s="78">
        <v>1</v>
      </c>
      <c r="E86" s="78">
        <v>1</v>
      </c>
      <c r="F86" s="199">
        <v>1</v>
      </c>
      <c r="G86" s="91">
        <f t="shared" si="39"/>
        <v>1</v>
      </c>
      <c r="H86" s="206">
        <v>1</v>
      </c>
      <c r="I86" s="93">
        <v>1</v>
      </c>
      <c r="J86" s="78">
        <v>1</v>
      </c>
      <c r="K86" s="94">
        <v>1</v>
      </c>
      <c r="L86" s="207">
        <f t="shared" si="40"/>
        <v>1</v>
      </c>
      <c r="M86" s="80">
        <v>1</v>
      </c>
      <c r="N86" s="81">
        <v>1</v>
      </c>
      <c r="O86" s="78">
        <v>1</v>
      </c>
      <c r="P86" s="84">
        <v>1</v>
      </c>
      <c r="Q86" s="83">
        <v>1</v>
      </c>
      <c r="R86" s="81">
        <v>1</v>
      </c>
      <c r="S86" s="78">
        <v>1</v>
      </c>
      <c r="T86" s="82">
        <v>1</v>
      </c>
      <c r="U86" s="92">
        <v>1</v>
      </c>
      <c r="V86" s="93">
        <v>1</v>
      </c>
      <c r="W86" s="78">
        <v>1</v>
      </c>
      <c r="X86" s="94">
        <v>1</v>
      </c>
      <c r="Y86" s="205">
        <f t="shared" si="41"/>
        <v>1.0000000000000002</v>
      </c>
      <c r="Z86" s="92">
        <v>0.5</v>
      </c>
      <c r="AA86" s="93">
        <v>0.5</v>
      </c>
      <c r="AB86" s="78">
        <v>0.5</v>
      </c>
      <c r="AC86" s="94">
        <v>0.5</v>
      </c>
      <c r="AD86" s="207">
        <f t="shared" si="42"/>
        <v>0.5</v>
      </c>
      <c r="AE86" s="92">
        <v>1</v>
      </c>
      <c r="AF86" s="93">
        <v>0.7</v>
      </c>
      <c r="AG86" s="78">
        <v>0.7</v>
      </c>
      <c r="AH86" s="94">
        <v>0.7</v>
      </c>
      <c r="AI86" s="207">
        <f t="shared" si="48"/>
        <v>0.71499999999999997</v>
      </c>
      <c r="AJ86" s="206">
        <v>1</v>
      </c>
      <c r="AK86" s="93">
        <v>1</v>
      </c>
      <c r="AL86" s="94"/>
      <c r="AM86" s="92">
        <v>0.5</v>
      </c>
      <c r="AN86" s="93">
        <v>0.45</v>
      </c>
      <c r="AO86" s="78">
        <v>0.5</v>
      </c>
      <c r="AP86" s="94">
        <v>0</v>
      </c>
      <c r="AQ86" s="205">
        <f t="shared" si="43"/>
        <v>0.3075</v>
      </c>
      <c r="AR86" s="92">
        <v>0</v>
      </c>
      <c r="AS86" s="93">
        <v>0</v>
      </c>
      <c r="AT86" s="78">
        <v>0</v>
      </c>
      <c r="AU86" s="94">
        <v>0</v>
      </c>
      <c r="AV86" s="205">
        <f t="shared" si="44"/>
        <v>0</v>
      </c>
      <c r="AW86" s="92">
        <v>0</v>
      </c>
      <c r="AX86" s="93">
        <v>0</v>
      </c>
      <c r="AY86" s="94">
        <v>0</v>
      </c>
      <c r="AZ86" s="205">
        <f t="shared" si="45"/>
        <v>0</v>
      </c>
      <c r="BA86" s="92">
        <v>0</v>
      </c>
      <c r="BB86" s="78">
        <v>0</v>
      </c>
      <c r="BC86" s="94">
        <v>0</v>
      </c>
      <c r="BD86" s="207">
        <f t="shared" si="46"/>
        <v>0</v>
      </c>
      <c r="BE86" s="86"/>
      <c r="BF86" s="87" t="e">
        <f t="shared" si="47"/>
        <v>#DIV/0!</v>
      </c>
      <c r="BG86" s="98"/>
    </row>
    <row r="87" spans="2:59" s="89" customFormat="1" ht="43.5" customHeight="1" x14ac:dyDescent="0.35">
      <c r="B87" s="76">
        <v>506</v>
      </c>
      <c r="C87" s="77">
        <v>1</v>
      </c>
      <c r="D87" s="78">
        <v>1</v>
      </c>
      <c r="E87" s="78">
        <v>1</v>
      </c>
      <c r="F87" s="199">
        <v>1</v>
      </c>
      <c r="G87" s="91">
        <f t="shared" si="39"/>
        <v>1</v>
      </c>
      <c r="H87" s="206">
        <v>1</v>
      </c>
      <c r="I87" s="93">
        <v>1</v>
      </c>
      <c r="J87" s="78">
        <v>1</v>
      </c>
      <c r="K87" s="94">
        <v>1</v>
      </c>
      <c r="L87" s="207">
        <f t="shared" si="40"/>
        <v>1</v>
      </c>
      <c r="M87" s="80">
        <v>1</v>
      </c>
      <c r="N87" s="81">
        <v>1</v>
      </c>
      <c r="O87" s="78">
        <v>1</v>
      </c>
      <c r="P87" s="84">
        <v>1</v>
      </c>
      <c r="Q87" s="83">
        <v>1</v>
      </c>
      <c r="R87" s="81">
        <v>1</v>
      </c>
      <c r="S87" s="78">
        <v>1</v>
      </c>
      <c r="T87" s="82">
        <v>1</v>
      </c>
      <c r="U87" s="92">
        <v>1</v>
      </c>
      <c r="V87" s="93">
        <v>1</v>
      </c>
      <c r="W87" s="78">
        <v>1</v>
      </c>
      <c r="X87" s="94">
        <v>1</v>
      </c>
      <c r="Y87" s="205">
        <f t="shared" si="41"/>
        <v>1.0000000000000002</v>
      </c>
      <c r="Z87" s="92">
        <v>0.5</v>
      </c>
      <c r="AA87" s="93">
        <v>0.5</v>
      </c>
      <c r="AB87" s="78">
        <v>0.5</v>
      </c>
      <c r="AC87" s="94">
        <v>0.5</v>
      </c>
      <c r="AD87" s="207">
        <f t="shared" si="42"/>
        <v>0.5</v>
      </c>
      <c r="AE87" s="92">
        <v>0.7</v>
      </c>
      <c r="AF87" s="93">
        <v>0</v>
      </c>
      <c r="AG87" s="78">
        <v>0</v>
      </c>
      <c r="AH87" s="94">
        <v>1</v>
      </c>
      <c r="AI87" s="207">
        <f t="shared" si="48"/>
        <v>0.33499999999999996</v>
      </c>
      <c r="AJ87" s="206">
        <v>0.4</v>
      </c>
      <c r="AK87" s="93">
        <v>1</v>
      </c>
      <c r="AL87" s="94"/>
      <c r="AM87" s="92">
        <v>0</v>
      </c>
      <c r="AN87" s="93">
        <v>0.7</v>
      </c>
      <c r="AO87" s="78">
        <v>0.7</v>
      </c>
      <c r="AP87" s="94">
        <v>0</v>
      </c>
      <c r="AQ87" s="205">
        <f t="shared" si="43"/>
        <v>0.35</v>
      </c>
      <c r="AR87" s="92">
        <v>0</v>
      </c>
      <c r="AS87" s="93">
        <v>0</v>
      </c>
      <c r="AT87" s="78">
        <v>0</v>
      </c>
      <c r="AU87" s="94">
        <v>0</v>
      </c>
      <c r="AV87" s="205">
        <f t="shared" si="44"/>
        <v>0</v>
      </c>
      <c r="AW87" s="92">
        <v>0</v>
      </c>
      <c r="AX87" s="93">
        <v>0</v>
      </c>
      <c r="AY87" s="94">
        <v>0</v>
      </c>
      <c r="AZ87" s="205">
        <f t="shared" si="45"/>
        <v>0</v>
      </c>
      <c r="BA87" s="92">
        <v>0</v>
      </c>
      <c r="BB87" s="78">
        <v>0</v>
      </c>
      <c r="BC87" s="94">
        <v>0</v>
      </c>
      <c r="BD87" s="207">
        <f t="shared" si="46"/>
        <v>0</v>
      </c>
      <c r="BE87" s="86"/>
      <c r="BF87" s="87" t="e">
        <f t="shared" si="47"/>
        <v>#DIV/0!</v>
      </c>
      <c r="BG87" s="99"/>
    </row>
    <row r="88" spans="2:59" s="89" customFormat="1" ht="43.5" customHeight="1" x14ac:dyDescent="0.35">
      <c r="B88" s="76">
        <v>507</v>
      </c>
      <c r="C88" s="77">
        <v>1</v>
      </c>
      <c r="D88" s="78">
        <v>1</v>
      </c>
      <c r="E88" s="78">
        <v>1</v>
      </c>
      <c r="F88" s="199">
        <v>1</v>
      </c>
      <c r="G88" s="91">
        <f t="shared" si="39"/>
        <v>1</v>
      </c>
      <c r="H88" s="206">
        <v>1</v>
      </c>
      <c r="I88" s="93">
        <v>1</v>
      </c>
      <c r="J88" s="78">
        <v>1</v>
      </c>
      <c r="K88" s="94">
        <v>1</v>
      </c>
      <c r="L88" s="207">
        <f t="shared" si="40"/>
        <v>1</v>
      </c>
      <c r="M88" s="80">
        <v>1</v>
      </c>
      <c r="N88" s="81">
        <v>1</v>
      </c>
      <c r="O88" s="78">
        <v>1</v>
      </c>
      <c r="P88" s="84">
        <v>1</v>
      </c>
      <c r="Q88" s="83">
        <v>1</v>
      </c>
      <c r="R88" s="81">
        <v>1</v>
      </c>
      <c r="S88" s="78">
        <v>1</v>
      </c>
      <c r="T88" s="82">
        <v>1</v>
      </c>
      <c r="U88" s="92">
        <v>1</v>
      </c>
      <c r="V88" s="93">
        <v>1</v>
      </c>
      <c r="W88" s="78">
        <v>1</v>
      </c>
      <c r="X88" s="94">
        <v>1</v>
      </c>
      <c r="Y88" s="205">
        <f t="shared" si="41"/>
        <v>1.0000000000000002</v>
      </c>
      <c r="Z88" s="92">
        <v>0.5</v>
      </c>
      <c r="AA88" s="93">
        <v>0.5</v>
      </c>
      <c r="AB88" s="78">
        <v>0.5</v>
      </c>
      <c r="AC88" s="94">
        <v>0.5</v>
      </c>
      <c r="AD88" s="207">
        <f t="shared" si="42"/>
        <v>0.5</v>
      </c>
      <c r="AE88" s="92">
        <v>1</v>
      </c>
      <c r="AF88" s="93">
        <v>0.7</v>
      </c>
      <c r="AG88" s="78">
        <v>0.7</v>
      </c>
      <c r="AH88" s="94">
        <v>0.7</v>
      </c>
      <c r="AI88" s="207">
        <f t="shared" si="48"/>
        <v>0.71499999999999997</v>
      </c>
      <c r="AJ88" s="206">
        <v>1</v>
      </c>
      <c r="AK88" s="93">
        <v>1</v>
      </c>
      <c r="AL88" s="94"/>
      <c r="AM88" s="92">
        <v>0.5</v>
      </c>
      <c r="AN88" s="93">
        <v>0.4</v>
      </c>
      <c r="AO88" s="78">
        <v>0.7</v>
      </c>
      <c r="AP88" s="94">
        <v>0</v>
      </c>
      <c r="AQ88" s="205">
        <f t="shared" si="43"/>
        <v>0.31999999999999995</v>
      </c>
      <c r="AR88" s="92">
        <v>0</v>
      </c>
      <c r="AS88" s="93">
        <v>0</v>
      </c>
      <c r="AT88" s="78">
        <v>0</v>
      </c>
      <c r="AU88" s="94">
        <v>0</v>
      </c>
      <c r="AV88" s="205">
        <f t="shared" si="44"/>
        <v>0</v>
      </c>
      <c r="AW88" s="92">
        <v>0</v>
      </c>
      <c r="AX88" s="93">
        <v>0</v>
      </c>
      <c r="AY88" s="94">
        <v>0</v>
      </c>
      <c r="AZ88" s="205">
        <f t="shared" si="45"/>
        <v>0</v>
      </c>
      <c r="BA88" s="92">
        <v>0</v>
      </c>
      <c r="BB88" s="78">
        <v>0</v>
      </c>
      <c r="BC88" s="94">
        <v>0</v>
      </c>
      <c r="BD88" s="207">
        <f t="shared" si="46"/>
        <v>0</v>
      </c>
      <c r="BE88" s="86"/>
      <c r="BF88" s="87" t="e">
        <f t="shared" si="47"/>
        <v>#DIV/0!</v>
      </c>
      <c r="BG88" s="98"/>
    </row>
    <row r="89" spans="2:59" s="89" customFormat="1" ht="43.5" customHeight="1" x14ac:dyDescent="0.35">
      <c r="B89" s="90">
        <v>508</v>
      </c>
      <c r="C89" s="77">
        <v>1</v>
      </c>
      <c r="D89" s="78">
        <v>1</v>
      </c>
      <c r="E89" s="78">
        <v>1</v>
      </c>
      <c r="F89" s="199">
        <v>1</v>
      </c>
      <c r="G89" s="91">
        <f t="shared" si="39"/>
        <v>1</v>
      </c>
      <c r="H89" s="206">
        <v>1</v>
      </c>
      <c r="I89" s="93">
        <v>1</v>
      </c>
      <c r="J89" s="78">
        <v>1</v>
      </c>
      <c r="K89" s="94">
        <v>1</v>
      </c>
      <c r="L89" s="207">
        <f t="shared" si="40"/>
        <v>1</v>
      </c>
      <c r="M89" s="80">
        <v>1</v>
      </c>
      <c r="N89" s="81">
        <v>1</v>
      </c>
      <c r="O89" s="78">
        <v>1</v>
      </c>
      <c r="P89" s="84">
        <v>1</v>
      </c>
      <c r="Q89" s="83">
        <v>1</v>
      </c>
      <c r="R89" s="81">
        <v>1</v>
      </c>
      <c r="S89" s="78">
        <v>1</v>
      </c>
      <c r="T89" s="82">
        <v>1</v>
      </c>
      <c r="U89" s="92">
        <v>1</v>
      </c>
      <c r="V89" s="93">
        <v>1</v>
      </c>
      <c r="W89" s="78">
        <v>1</v>
      </c>
      <c r="X89" s="94">
        <v>1</v>
      </c>
      <c r="Y89" s="205">
        <f t="shared" si="41"/>
        <v>1.0000000000000002</v>
      </c>
      <c r="Z89" s="92">
        <v>0.5</v>
      </c>
      <c r="AA89" s="93">
        <v>0.5</v>
      </c>
      <c r="AB89" s="78">
        <v>0.5</v>
      </c>
      <c r="AC89" s="94">
        <v>0.5</v>
      </c>
      <c r="AD89" s="207">
        <f t="shared" si="42"/>
        <v>0.5</v>
      </c>
      <c r="AE89" s="92">
        <v>1</v>
      </c>
      <c r="AF89" s="93">
        <v>1</v>
      </c>
      <c r="AG89" s="78">
        <v>1</v>
      </c>
      <c r="AH89" s="94">
        <v>0.7</v>
      </c>
      <c r="AI89" s="207">
        <f t="shared" si="48"/>
        <v>0.90999999999999992</v>
      </c>
      <c r="AJ89" s="206">
        <v>1</v>
      </c>
      <c r="AK89" s="93">
        <v>1</v>
      </c>
      <c r="AL89" s="94"/>
      <c r="AM89" s="92">
        <v>0.5</v>
      </c>
      <c r="AN89" s="93">
        <v>0</v>
      </c>
      <c r="AO89" s="78">
        <v>0.5</v>
      </c>
      <c r="AP89" s="94">
        <v>0</v>
      </c>
      <c r="AQ89" s="205">
        <f t="shared" si="43"/>
        <v>0.15</v>
      </c>
      <c r="AR89" s="92">
        <v>0</v>
      </c>
      <c r="AS89" s="93">
        <v>0</v>
      </c>
      <c r="AT89" s="78">
        <v>0</v>
      </c>
      <c r="AU89" s="94">
        <v>0</v>
      </c>
      <c r="AV89" s="205">
        <f t="shared" si="44"/>
        <v>0</v>
      </c>
      <c r="AW89" s="92">
        <v>0</v>
      </c>
      <c r="AX89" s="93">
        <v>0</v>
      </c>
      <c r="AY89" s="94">
        <v>0</v>
      </c>
      <c r="AZ89" s="205">
        <f t="shared" si="45"/>
        <v>0</v>
      </c>
      <c r="BA89" s="92">
        <v>0</v>
      </c>
      <c r="BB89" s="78">
        <v>0</v>
      </c>
      <c r="BC89" s="94">
        <v>0</v>
      </c>
      <c r="BD89" s="207">
        <f t="shared" si="46"/>
        <v>0</v>
      </c>
      <c r="BE89" s="86"/>
      <c r="BF89" s="87" t="e">
        <f t="shared" si="47"/>
        <v>#DIV/0!</v>
      </c>
      <c r="BG89" s="99"/>
    </row>
    <row r="90" spans="2:59" s="89" customFormat="1" ht="43.5" customHeight="1" x14ac:dyDescent="0.35">
      <c r="B90" s="76">
        <v>509</v>
      </c>
      <c r="C90" s="77">
        <v>1</v>
      </c>
      <c r="D90" s="78">
        <v>1</v>
      </c>
      <c r="E90" s="78">
        <v>1</v>
      </c>
      <c r="F90" s="199">
        <v>1</v>
      </c>
      <c r="G90" s="91">
        <f t="shared" si="39"/>
        <v>1</v>
      </c>
      <c r="H90" s="206">
        <v>1</v>
      </c>
      <c r="I90" s="93">
        <v>1</v>
      </c>
      <c r="J90" s="78">
        <v>1</v>
      </c>
      <c r="K90" s="94">
        <v>1</v>
      </c>
      <c r="L90" s="207">
        <f t="shared" si="40"/>
        <v>1</v>
      </c>
      <c r="M90" s="80">
        <v>1</v>
      </c>
      <c r="N90" s="81">
        <v>1</v>
      </c>
      <c r="O90" s="78">
        <v>1</v>
      </c>
      <c r="P90" s="84">
        <v>1</v>
      </c>
      <c r="Q90" s="83">
        <v>1</v>
      </c>
      <c r="R90" s="81">
        <v>1</v>
      </c>
      <c r="S90" s="78">
        <v>1</v>
      </c>
      <c r="T90" s="82">
        <v>1</v>
      </c>
      <c r="U90" s="92">
        <v>1</v>
      </c>
      <c r="V90" s="93">
        <v>1</v>
      </c>
      <c r="W90" s="78">
        <v>1</v>
      </c>
      <c r="X90" s="94">
        <v>1</v>
      </c>
      <c r="Y90" s="205">
        <f t="shared" si="41"/>
        <v>1.0000000000000002</v>
      </c>
      <c r="Z90" s="92">
        <v>0.5</v>
      </c>
      <c r="AA90" s="93">
        <v>0.5</v>
      </c>
      <c r="AB90" s="78">
        <v>0.5</v>
      </c>
      <c r="AC90" s="94">
        <v>0.5</v>
      </c>
      <c r="AD90" s="207">
        <f t="shared" si="42"/>
        <v>0.5</v>
      </c>
      <c r="AE90" s="92">
        <v>0.7</v>
      </c>
      <c r="AF90" s="93">
        <v>0.7</v>
      </c>
      <c r="AG90" s="78">
        <v>0.7</v>
      </c>
      <c r="AH90" s="94">
        <v>0.7</v>
      </c>
      <c r="AI90" s="207">
        <f t="shared" si="48"/>
        <v>0.7</v>
      </c>
      <c r="AJ90" s="206">
        <v>1</v>
      </c>
      <c r="AK90" s="93">
        <v>1</v>
      </c>
      <c r="AL90" s="94"/>
      <c r="AM90" s="92">
        <v>0.5</v>
      </c>
      <c r="AN90" s="93">
        <v>0.3</v>
      </c>
      <c r="AO90" s="78">
        <v>0.5</v>
      </c>
      <c r="AP90" s="94">
        <v>0</v>
      </c>
      <c r="AQ90" s="205">
        <f t="shared" si="43"/>
        <v>0.255</v>
      </c>
      <c r="AR90" s="92">
        <v>0</v>
      </c>
      <c r="AS90" s="93">
        <v>0</v>
      </c>
      <c r="AT90" s="78">
        <v>0</v>
      </c>
      <c r="AU90" s="94">
        <v>0</v>
      </c>
      <c r="AV90" s="205">
        <f t="shared" si="44"/>
        <v>0</v>
      </c>
      <c r="AW90" s="92">
        <v>0</v>
      </c>
      <c r="AX90" s="93">
        <v>0</v>
      </c>
      <c r="AY90" s="94">
        <v>0</v>
      </c>
      <c r="AZ90" s="205">
        <f t="shared" si="45"/>
        <v>0</v>
      </c>
      <c r="BA90" s="92">
        <v>0</v>
      </c>
      <c r="BB90" s="78">
        <v>0</v>
      </c>
      <c r="BC90" s="94">
        <v>0</v>
      </c>
      <c r="BD90" s="207">
        <f t="shared" si="46"/>
        <v>0</v>
      </c>
      <c r="BE90" s="86"/>
      <c r="BF90" s="87" t="e">
        <f t="shared" si="47"/>
        <v>#DIV/0!</v>
      </c>
      <c r="BG90" s="100"/>
    </row>
    <row r="91" spans="2:59" s="89" customFormat="1" ht="43.5" customHeight="1" x14ac:dyDescent="0.35">
      <c r="B91" s="76">
        <v>510</v>
      </c>
      <c r="C91" s="77">
        <v>1</v>
      </c>
      <c r="D91" s="78">
        <v>1</v>
      </c>
      <c r="E91" s="78">
        <v>1</v>
      </c>
      <c r="F91" s="199">
        <v>1</v>
      </c>
      <c r="G91" s="91">
        <f t="shared" si="39"/>
        <v>1</v>
      </c>
      <c r="H91" s="206">
        <v>1</v>
      </c>
      <c r="I91" s="93">
        <v>1</v>
      </c>
      <c r="J91" s="78">
        <v>1</v>
      </c>
      <c r="K91" s="94">
        <v>1</v>
      </c>
      <c r="L91" s="207">
        <f t="shared" si="40"/>
        <v>1</v>
      </c>
      <c r="M91" s="80">
        <v>1</v>
      </c>
      <c r="N91" s="81">
        <v>1</v>
      </c>
      <c r="O91" s="78">
        <v>1</v>
      </c>
      <c r="P91" s="84">
        <v>1</v>
      </c>
      <c r="Q91" s="83">
        <v>1</v>
      </c>
      <c r="R91" s="81">
        <v>1</v>
      </c>
      <c r="S91" s="78">
        <v>1</v>
      </c>
      <c r="T91" s="82">
        <v>1</v>
      </c>
      <c r="U91" s="92">
        <v>1</v>
      </c>
      <c r="V91" s="93">
        <v>1</v>
      </c>
      <c r="W91" s="78">
        <v>1</v>
      </c>
      <c r="X91" s="94">
        <v>1</v>
      </c>
      <c r="Y91" s="205">
        <f t="shared" si="41"/>
        <v>1.0000000000000002</v>
      </c>
      <c r="Z91" s="92">
        <v>0.5</v>
      </c>
      <c r="AA91" s="93">
        <v>0.5</v>
      </c>
      <c r="AB91" s="78">
        <v>0.5</v>
      </c>
      <c r="AC91" s="94">
        <v>0.5</v>
      </c>
      <c r="AD91" s="207">
        <f t="shared" si="42"/>
        <v>0.5</v>
      </c>
      <c r="AE91" s="92">
        <v>1</v>
      </c>
      <c r="AF91" s="93">
        <v>1</v>
      </c>
      <c r="AG91" s="78">
        <v>1</v>
      </c>
      <c r="AH91" s="94">
        <v>1</v>
      </c>
      <c r="AI91" s="207">
        <f t="shared" si="48"/>
        <v>1</v>
      </c>
      <c r="AJ91" s="206">
        <v>1</v>
      </c>
      <c r="AK91" s="93">
        <v>1</v>
      </c>
      <c r="AL91" s="94"/>
      <c r="AM91" s="92">
        <v>0.5</v>
      </c>
      <c r="AN91" s="93">
        <v>0.45</v>
      </c>
      <c r="AO91" s="78">
        <v>0.5</v>
      </c>
      <c r="AP91" s="94">
        <v>0</v>
      </c>
      <c r="AQ91" s="205">
        <f t="shared" si="43"/>
        <v>0.3075</v>
      </c>
      <c r="AR91" s="92">
        <v>0</v>
      </c>
      <c r="AS91" s="93">
        <v>0</v>
      </c>
      <c r="AT91" s="78">
        <v>0</v>
      </c>
      <c r="AU91" s="94">
        <v>0</v>
      </c>
      <c r="AV91" s="205">
        <f t="shared" si="44"/>
        <v>0</v>
      </c>
      <c r="AW91" s="92">
        <v>0</v>
      </c>
      <c r="AX91" s="93">
        <v>0</v>
      </c>
      <c r="AY91" s="94">
        <v>0</v>
      </c>
      <c r="AZ91" s="205">
        <f t="shared" si="45"/>
        <v>0</v>
      </c>
      <c r="BA91" s="92">
        <v>0</v>
      </c>
      <c r="BB91" s="78">
        <v>0</v>
      </c>
      <c r="BC91" s="94">
        <v>0</v>
      </c>
      <c r="BD91" s="207">
        <f t="shared" si="46"/>
        <v>0</v>
      </c>
      <c r="BE91" s="86"/>
      <c r="BF91" s="87" t="e">
        <f t="shared" si="47"/>
        <v>#DIV/0!</v>
      </c>
      <c r="BG91" s="98"/>
    </row>
    <row r="92" spans="2:59" s="89" customFormat="1" ht="43.5" customHeight="1" x14ac:dyDescent="0.35">
      <c r="B92" s="90">
        <v>511</v>
      </c>
      <c r="C92" s="77">
        <v>1</v>
      </c>
      <c r="D92" s="78">
        <v>1</v>
      </c>
      <c r="E92" s="78">
        <v>1</v>
      </c>
      <c r="F92" s="199">
        <v>1</v>
      </c>
      <c r="G92" s="91">
        <f t="shared" si="39"/>
        <v>1</v>
      </c>
      <c r="H92" s="206">
        <v>1</v>
      </c>
      <c r="I92" s="93">
        <v>1</v>
      </c>
      <c r="J92" s="78">
        <v>1</v>
      </c>
      <c r="K92" s="94">
        <v>1</v>
      </c>
      <c r="L92" s="207">
        <f t="shared" si="40"/>
        <v>1</v>
      </c>
      <c r="M92" s="80">
        <v>1</v>
      </c>
      <c r="N92" s="81">
        <v>1</v>
      </c>
      <c r="O92" s="78">
        <v>1</v>
      </c>
      <c r="P92" s="84">
        <v>1</v>
      </c>
      <c r="Q92" s="83">
        <v>1</v>
      </c>
      <c r="R92" s="81">
        <v>1</v>
      </c>
      <c r="S92" s="78">
        <v>1</v>
      </c>
      <c r="T92" s="82">
        <v>1</v>
      </c>
      <c r="U92" s="92">
        <v>1</v>
      </c>
      <c r="V92" s="93">
        <v>1</v>
      </c>
      <c r="W92" s="78">
        <v>1</v>
      </c>
      <c r="X92" s="94">
        <v>1</v>
      </c>
      <c r="Y92" s="205">
        <f t="shared" si="41"/>
        <v>1.0000000000000002</v>
      </c>
      <c r="Z92" s="92">
        <v>0.5</v>
      </c>
      <c r="AA92" s="93">
        <v>0.5</v>
      </c>
      <c r="AB92" s="78">
        <v>0.5</v>
      </c>
      <c r="AC92" s="94">
        <v>0.5</v>
      </c>
      <c r="AD92" s="207">
        <f t="shared" si="42"/>
        <v>0.5</v>
      </c>
      <c r="AE92" s="92">
        <v>1</v>
      </c>
      <c r="AF92" s="93">
        <v>0.7</v>
      </c>
      <c r="AG92" s="78">
        <v>0.5</v>
      </c>
      <c r="AH92" s="94">
        <v>0.7</v>
      </c>
      <c r="AI92" s="207">
        <f t="shared" si="48"/>
        <v>0.64500000000000002</v>
      </c>
      <c r="AJ92" s="206">
        <v>1</v>
      </c>
      <c r="AK92" s="93">
        <v>1</v>
      </c>
      <c r="AL92" s="94"/>
      <c r="AM92" s="92">
        <v>0</v>
      </c>
      <c r="AN92" s="93">
        <v>0</v>
      </c>
      <c r="AO92" s="78">
        <v>0.7</v>
      </c>
      <c r="AP92" s="94">
        <v>0</v>
      </c>
      <c r="AQ92" s="205">
        <f t="shared" si="43"/>
        <v>0.105</v>
      </c>
      <c r="AR92" s="92">
        <v>0</v>
      </c>
      <c r="AS92" s="93">
        <v>0</v>
      </c>
      <c r="AT92" s="78">
        <v>0</v>
      </c>
      <c r="AU92" s="94">
        <v>0</v>
      </c>
      <c r="AV92" s="205">
        <f t="shared" si="44"/>
        <v>0</v>
      </c>
      <c r="AW92" s="92">
        <v>0</v>
      </c>
      <c r="AX92" s="93">
        <v>0</v>
      </c>
      <c r="AY92" s="94">
        <v>0</v>
      </c>
      <c r="AZ92" s="205">
        <f t="shared" si="45"/>
        <v>0</v>
      </c>
      <c r="BA92" s="92">
        <v>0</v>
      </c>
      <c r="BB92" s="78">
        <v>0</v>
      </c>
      <c r="BC92" s="94">
        <v>0</v>
      </c>
      <c r="BD92" s="207">
        <f t="shared" si="46"/>
        <v>0</v>
      </c>
      <c r="BE92" s="86"/>
      <c r="BF92" s="87" t="e">
        <f t="shared" si="47"/>
        <v>#DIV/0!</v>
      </c>
      <c r="BG92" s="97"/>
    </row>
    <row r="93" spans="2:59" s="89" customFormat="1" ht="43.5" customHeight="1" x14ac:dyDescent="0.35">
      <c r="B93" s="76">
        <v>512</v>
      </c>
      <c r="C93" s="77">
        <v>1</v>
      </c>
      <c r="D93" s="78">
        <v>1</v>
      </c>
      <c r="E93" s="78">
        <v>1</v>
      </c>
      <c r="F93" s="199">
        <v>1</v>
      </c>
      <c r="G93" s="91">
        <f t="shared" si="39"/>
        <v>1</v>
      </c>
      <c r="H93" s="206">
        <v>0.2</v>
      </c>
      <c r="I93" s="93">
        <v>0.1</v>
      </c>
      <c r="J93" s="78">
        <v>0.2</v>
      </c>
      <c r="K93" s="94">
        <v>0</v>
      </c>
      <c r="L93" s="207">
        <f t="shared" si="40"/>
        <v>0.11</v>
      </c>
      <c r="M93" s="80">
        <v>1</v>
      </c>
      <c r="N93" s="81">
        <v>1</v>
      </c>
      <c r="O93" s="78">
        <v>1</v>
      </c>
      <c r="P93" s="84">
        <v>1</v>
      </c>
      <c r="Q93" s="83">
        <v>1</v>
      </c>
      <c r="R93" s="81">
        <v>1</v>
      </c>
      <c r="S93" s="78">
        <v>1</v>
      </c>
      <c r="T93" s="82">
        <v>1</v>
      </c>
      <c r="U93" s="92">
        <v>1</v>
      </c>
      <c r="V93" s="93">
        <v>1</v>
      </c>
      <c r="W93" s="78">
        <v>1</v>
      </c>
      <c r="X93" s="94">
        <v>1</v>
      </c>
      <c r="Y93" s="205">
        <f t="shared" si="41"/>
        <v>1.0000000000000002</v>
      </c>
      <c r="Z93" s="92">
        <v>0.5</v>
      </c>
      <c r="AA93" s="93">
        <v>0.5</v>
      </c>
      <c r="AB93" s="78">
        <v>0.5</v>
      </c>
      <c r="AC93" s="94">
        <v>0.5</v>
      </c>
      <c r="AD93" s="207">
        <f t="shared" si="42"/>
        <v>0.5</v>
      </c>
      <c r="AE93" s="92">
        <v>1</v>
      </c>
      <c r="AF93" s="93">
        <v>1</v>
      </c>
      <c r="AG93" s="78">
        <v>1</v>
      </c>
      <c r="AH93" s="94">
        <v>1</v>
      </c>
      <c r="AI93" s="207">
        <f t="shared" si="48"/>
        <v>1</v>
      </c>
      <c r="AJ93" s="206">
        <v>1</v>
      </c>
      <c r="AK93" s="93">
        <v>1</v>
      </c>
      <c r="AL93" s="94"/>
      <c r="AM93" s="92">
        <v>0</v>
      </c>
      <c r="AN93" s="93">
        <v>0</v>
      </c>
      <c r="AO93" s="78">
        <v>0</v>
      </c>
      <c r="AP93" s="94">
        <v>0</v>
      </c>
      <c r="AQ93" s="205">
        <f t="shared" si="43"/>
        <v>0</v>
      </c>
      <c r="AR93" s="92">
        <v>0</v>
      </c>
      <c r="AS93" s="93">
        <v>0</v>
      </c>
      <c r="AT93" s="78">
        <v>0</v>
      </c>
      <c r="AU93" s="94">
        <v>0</v>
      </c>
      <c r="AV93" s="205">
        <f t="shared" si="44"/>
        <v>0</v>
      </c>
      <c r="AW93" s="92">
        <v>0</v>
      </c>
      <c r="AX93" s="93">
        <v>0</v>
      </c>
      <c r="AY93" s="94">
        <v>0</v>
      </c>
      <c r="AZ93" s="205">
        <f t="shared" si="45"/>
        <v>0</v>
      </c>
      <c r="BA93" s="92">
        <v>0</v>
      </c>
      <c r="BB93" s="78">
        <v>0</v>
      </c>
      <c r="BC93" s="94">
        <v>0</v>
      </c>
      <c r="BD93" s="207">
        <f t="shared" si="46"/>
        <v>0</v>
      </c>
      <c r="BE93" s="86"/>
      <c r="BF93" s="87" t="e">
        <f t="shared" si="47"/>
        <v>#DIV/0!</v>
      </c>
      <c r="BG93" s="97"/>
    </row>
    <row r="94" spans="2:59" s="89" customFormat="1" ht="43.5" customHeight="1" x14ac:dyDescent="0.35">
      <c r="B94" s="76">
        <v>513</v>
      </c>
      <c r="C94" s="77">
        <v>1</v>
      </c>
      <c r="D94" s="78">
        <v>1</v>
      </c>
      <c r="E94" s="78">
        <v>1</v>
      </c>
      <c r="F94" s="199">
        <v>1</v>
      </c>
      <c r="G94" s="91">
        <f t="shared" si="39"/>
        <v>1</v>
      </c>
      <c r="H94" s="206">
        <v>1</v>
      </c>
      <c r="I94" s="93">
        <v>1</v>
      </c>
      <c r="J94" s="78">
        <v>1</v>
      </c>
      <c r="K94" s="94">
        <v>1</v>
      </c>
      <c r="L94" s="207">
        <f t="shared" si="40"/>
        <v>1</v>
      </c>
      <c r="M94" s="80">
        <v>1</v>
      </c>
      <c r="N94" s="81">
        <v>1</v>
      </c>
      <c r="O94" s="78">
        <v>1</v>
      </c>
      <c r="P94" s="84">
        <v>1</v>
      </c>
      <c r="Q94" s="83">
        <v>1</v>
      </c>
      <c r="R94" s="81">
        <v>1</v>
      </c>
      <c r="S94" s="78">
        <v>1</v>
      </c>
      <c r="T94" s="82">
        <v>1</v>
      </c>
      <c r="U94" s="92">
        <v>1</v>
      </c>
      <c r="V94" s="93">
        <v>1</v>
      </c>
      <c r="W94" s="78">
        <v>1</v>
      </c>
      <c r="X94" s="94">
        <v>1</v>
      </c>
      <c r="Y94" s="205">
        <f t="shared" si="41"/>
        <v>1.0000000000000002</v>
      </c>
      <c r="Z94" s="92">
        <v>0.5</v>
      </c>
      <c r="AA94" s="93">
        <v>0.5</v>
      </c>
      <c r="AB94" s="78">
        <v>0.5</v>
      </c>
      <c r="AC94" s="94">
        <v>0.5</v>
      </c>
      <c r="AD94" s="207">
        <f t="shared" si="42"/>
        <v>0.5</v>
      </c>
      <c r="AE94" s="92">
        <v>1</v>
      </c>
      <c r="AF94" s="93">
        <v>0.7</v>
      </c>
      <c r="AG94" s="78">
        <v>0.7</v>
      </c>
      <c r="AH94" s="94">
        <v>0.7</v>
      </c>
      <c r="AI94" s="207">
        <f t="shared" si="48"/>
        <v>0.71499999999999997</v>
      </c>
      <c r="AJ94" s="206">
        <v>1</v>
      </c>
      <c r="AK94" s="93">
        <v>1</v>
      </c>
      <c r="AL94" s="94"/>
      <c r="AM94" s="92">
        <v>0</v>
      </c>
      <c r="AN94" s="93">
        <v>0.3</v>
      </c>
      <c r="AO94" s="78">
        <v>0.7</v>
      </c>
      <c r="AP94" s="94">
        <v>0</v>
      </c>
      <c r="AQ94" s="205">
        <f t="shared" si="43"/>
        <v>0.21</v>
      </c>
      <c r="AR94" s="92">
        <v>0</v>
      </c>
      <c r="AS94" s="93">
        <v>0</v>
      </c>
      <c r="AT94" s="78">
        <v>0</v>
      </c>
      <c r="AU94" s="94">
        <v>0</v>
      </c>
      <c r="AV94" s="205">
        <f t="shared" si="44"/>
        <v>0</v>
      </c>
      <c r="AW94" s="92">
        <v>0</v>
      </c>
      <c r="AX94" s="93">
        <v>0</v>
      </c>
      <c r="AY94" s="94">
        <v>0</v>
      </c>
      <c r="AZ94" s="205">
        <f t="shared" si="45"/>
        <v>0</v>
      </c>
      <c r="BA94" s="92">
        <v>0</v>
      </c>
      <c r="BB94" s="78">
        <v>0</v>
      </c>
      <c r="BC94" s="94">
        <v>0</v>
      </c>
      <c r="BD94" s="207">
        <f t="shared" si="46"/>
        <v>0</v>
      </c>
      <c r="BE94" s="86"/>
      <c r="BF94" s="87" t="e">
        <f t="shared" si="47"/>
        <v>#DIV/0!</v>
      </c>
      <c r="BG94" s="100"/>
    </row>
    <row r="95" spans="2:59" s="89" customFormat="1" ht="43.5" customHeight="1" x14ac:dyDescent="0.35">
      <c r="B95" s="90">
        <v>514</v>
      </c>
      <c r="C95" s="77">
        <v>1</v>
      </c>
      <c r="D95" s="78">
        <v>1</v>
      </c>
      <c r="E95" s="78">
        <v>1</v>
      </c>
      <c r="F95" s="199">
        <v>1</v>
      </c>
      <c r="G95" s="91">
        <f t="shared" si="39"/>
        <v>1</v>
      </c>
      <c r="H95" s="206">
        <v>1</v>
      </c>
      <c r="I95" s="93">
        <v>1</v>
      </c>
      <c r="J95" s="78">
        <v>1</v>
      </c>
      <c r="K95" s="94">
        <v>1</v>
      </c>
      <c r="L95" s="207">
        <f t="shared" si="40"/>
        <v>1</v>
      </c>
      <c r="M95" s="80">
        <v>1</v>
      </c>
      <c r="N95" s="81">
        <v>1</v>
      </c>
      <c r="O95" s="78">
        <v>1</v>
      </c>
      <c r="P95" s="84">
        <v>1</v>
      </c>
      <c r="Q95" s="83">
        <v>1</v>
      </c>
      <c r="R95" s="81">
        <v>1</v>
      </c>
      <c r="S95" s="78">
        <v>1</v>
      </c>
      <c r="T95" s="82">
        <v>1</v>
      </c>
      <c r="U95" s="92">
        <v>1</v>
      </c>
      <c r="V95" s="93">
        <v>1</v>
      </c>
      <c r="W95" s="78">
        <v>1</v>
      </c>
      <c r="X95" s="94">
        <v>1</v>
      </c>
      <c r="Y95" s="205">
        <f t="shared" si="41"/>
        <v>1.0000000000000002</v>
      </c>
      <c r="Z95" s="92">
        <v>0.5</v>
      </c>
      <c r="AA95" s="93">
        <v>0.5</v>
      </c>
      <c r="AB95" s="78">
        <v>0.5</v>
      </c>
      <c r="AC95" s="94">
        <v>0.5</v>
      </c>
      <c r="AD95" s="207">
        <f t="shared" si="42"/>
        <v>0.5</v>
      </c>
      <c r="AE95" s="92">
        <v>1</v>
      </c>
      <c r="AF95" s="93">
        <v>1</v>
      </c>
      <c r="AG95" s="78">
        <v>0.7</v>
      </c>
      <c r="AH95" s="94">
        <v>1</v>
      </c>
      <c r="AI95" s="207">
        <f t="shared" si="48"/>
        <v>0.89500000000000002</v>
      </c>
      <c r="AJ95" s="206">
        <v>1</v>
      </c>
      <c r="AK95" s="93">
        <v>1</v>
      </c>
      <c r="AL95" s="94"/>
      <c r="AM95" s="92">
        <v>0.7</v>
      </c>
      <c r="AN95" s="93">
        <v>0</v>
      </c>
      <c r="AO95" s="78">
        <v>0</v>
      </c>
      <c r="AP95" s="94">
        <v>0</v>
      </c>
      <c r="AQ95" s="205">
        <f t="shared" si="43"/>
        <v>0.105</v>
      </c>
      <c r="AR95" s="92">
        <v>0</v>
      </c>
      <c r="AS95" s="93">
        <v>0</v>
      </c>
      <c r="AT95" s="78">
        <v>0</v>
      </c>
      <c r="AU95" s="94">
        <v>0</v>
      </c>
      <c r="AV95" s="205">
        <f t="shared" si="44"/>
        <v>0</v>
      </c>
      <c r="AW95" s="92">
        <v>0</v>
      </c>
      <c r="AX95" s="93">
        <v>0</v>
      </c>
      <c r="AY95" s="94">
        <v>0</v>
      </c>
      <c r="AZ95" s="205">
        <f t="shared" si="45"/>
        <v>0</v>
      </c>
      <c r="BA95" s="92">
        <v>0</v>
      </c>
      <c r="BB95" s="78">
        <v>0</v>
      </c>
      <c r="BC95" s="94">
        <v>0</v>
      </c>
      <c r="BD95" s="207">
        <f t="shared" si="46"/>
        <v>0</v>
      </c>
      <c r="BE95" s="86"/>
      <c r="BF95" s="87" t="e">
        <f t="shared" si="47"/>
        <v>#DIV/0!</v>
      </c>
      <c r="BG95" s="98"/>
    </row>
    <row r="96" spans="2:59" s="89" customFormat="1" ht="43.5" customHeight="1" x14ac:dyDescent="0.35">
      <c r="B96" s="76">
        <v>515</v>
      </c>
      <c r="C96" s="77">
        <v>1</v>
      </c>
      <c r="D96" s="78">
        <v>1</v>
      </c>
      <c r="E96" s="78">
        <v>1</v>
      </c>
      <c r="F96" s="199">
        <v>1</v>
      </c>
      <c r="G96" s="91">
        <f t="shared" si="39"/>
        <v>1</v>
      </c>
      <c r="H96" s="206">
        <v>1</v>
      </c>
      <c r="I96" s="93">
        <v>1</v>
      </c>
      <c r="J96" s="78">
        <v>1</v>
      </c>
      <c r="K96" s="94">
        <v>1</v>
      </c>
      <c r="L96" s="207">
        <f t="shared" si="40"/>
        <v>1</v>
      </c>
      <c r="M96" s="80">
        <v>1</v>
      </c>
      <c r="N96" s="81">
        <v>1</v>
      </c>
      <c r="O96" s="78">
        <v>1</v>
      </c>
      <c r="P96" s="84">
        <v>1</v>
      </c>
      <c r="Q96" s="83">
        <v>1</v>
      </c>
      <c r="R96" s="81">
        <v>1</v>
      </c>
      <c r="S96" s="78">
        <v>1</v>
      </c>
      <c r="T96" s="82">
        <v>1</v>
      </c>
      <c r="U96" s="92">
        <v>1</v>
      </c>
      <c r="V96" s="93">
        <v>1</v>
      </c>
      <c r="W96" s="78">
        <v>1</v>
      </c>
      <c r="X96" s="94">
        <v>1</v>
      </c>
      <c r="Y96" s="205">
        <f t="shared" si="41"/>
        <v>1.0000000000000002</v>
      </c>
      <c r="Z96" s="92">
        <v>0.5</v>
      </c>
      <c r="AA96" s="93">
        <v>0.5</v>
      </c>
      <c r="AB96" s="78">
        <v>0.5</v>
      </c>
      <c r="AC96" s="94">
        <v>0.5</v>
      </c>
      <c r="AD96" s="207">
        <f t="shared" si="42"/>
        <v>0.5</v>
      </c>
      <c r="AE96" s="92">
        <v>0.7</v>
      </c>
      <c r="AF96" s="93">
        <v>0</v>
      </c>
      <c r="AG96" s="78">
        <v>0.7</v>
      </c>
      <c r="AH96" s="94">
        <v>0.7</v>
      </c>
      <c r="AI96" s="207">
        <f t="shared" si="48"/>
        <v>0.49</v>
      </c>
      <c r="AJ96" s="206">
        <v>1</v>
      </c>
      <c r="AK96" s="93">
        <v>1</v>
      </c>
      <c r="AL96" s="94"/>
      <c r="AM96" s="92">
        <v>0</v>
      </c>
      <c r="AN96" s="93">
        <v>0.45</v>
      </c>
      <c r="AO96" s="78">
        <v>0.7</v>
      </c>
      <c r="AP96" s="94">
        <v>0</v>
      </c>
      <c r="AQ96" s="205">
        <f t="shared" si="43"/>
        <v>0.26250000000000001</v>
      </c>
      <c r="AR96" s="92">
        <v>0</v>
      </c>
      <c r="AS96" s="93">
        <v>0</v>
      </c>
      <c r="AT96" s="78">
        <v>0</v>
      </c>
      <c r="AU96" s="94">
        <v>0</v>
      </c>
      <c r="AV96" s="205">
        <f t="shared" si="44"/>
        <v>0</v>
      </c>
      <c r="AW96" s="92">
        <v>0</v>
      </c>
      <c r="AX96" s="93">
        <v>0</v>
      </c>
      <c r="AY96" s="94">
        <v>0</v>
      </c>
      <c r="AZ96" s="205">
        <f t="shared" si="45"/>
        <v>0</v>
      </c>
      <c r="BA96" s="92">
        <v>0</v>
      </c>
      <c r="BB96" s="78">
        <v>0</v>
      </c>
      <c r="BC96" s="94">
        <v>0</v>
      </c>
      <c r="BD96" s="207">
        <f t="shared" si="46"/>
        <v>0</v>
      </c>
      <c r="BE96" s="86"/>
      <c r="BF96" s="87" t="e">
        <f t="shared" si="47"/>
        <v>#DIV/0!</v>
      </c>
      <c r="BG96" s="98"/>
    </row>
    <row r="97" spans="2:59" s="89" customFormat="1" ht="43.5" customHeight="1" thickBot="1" x14ac:dyDescent="0.4">
      <c r="B97" s="101">
        <v>516</v>
      </c>
      <c r="C97" s="77">
        <v>1</v>
      </c>
      <c r="D97" s="78">
        <v>1</v>
      </c>
      <c r="E97" s="78">
        <v>1</v>
      </c>
      <c r="F97" s="199">
        <v>1</v>
      </c>
      <c r="G97" s="102">
        <f t="shared" si="39"/>
        <v>1</v>
      </c>
      <c r="H97" s="208">
        <v>1</v>
      </c>
      <c r="I97" s="110">
        <v>1</v>
      </c>
      <c r="J97" s="105">
        <v>1</v>
      </c>
      <c r="K97" s="111">
        <v>1</v>
      </c>
      <c r="L97" s="209">
        <f t="shared" si="40"/>
        <v>1</v>
      </c>
      <c r="M97" s="107">
        <v>1</v>
      </c>
      <c r="N97" s="104">
        <v>1</v>
      </c>
      <c r="O97" s="105">
        <v>1</v>
      </c>
      <c r="P97" s="106">
        <v>1</v>
      </c>
      <c r="Q97" s="103">
        <v>1</v>
      </c>
      <c r="R97" s="104">
        <v>1</v>
      </c>
      <c r="S97" s="105">
        <v>1</v>
      </c>
      <c r="T97" s="108">
        <v>1</v>
      </c>
      <c r="U97" s="109">
        <v>1</v>
      </c>
      <c r="V97" s="110">
        <v>1</v>
      </c>
      <c r="W97" s="105">
        <v>1</v>
      </c>
      <c r="X97" s="111">
        <v>1</v>
      </c>
      <c r="Y97" s="210">
        <f t="shared" si="41"/>
        <v>1.0000000000000002</v>
      </c>
      <c r="Z97" s="109">
        <v>0.5</v>
      </c>
      <c r="AA97" s="110">
        <v>0.5</v>
      </c>
      <c r="AB97" s="105">
        <v>0.5</v>
      </c>
      <c r="AC97" s="111">
        <v>0.5</v>
      </c>
      <c r="AD97" s="209">
        <f t="shared" si="42"/>
        <v>0.5</v>
      </c>
      <c r="AE97" s="109">
        <v>1</v>
      </c>
      <c r="AF97" s="110">
        <v>1</v>
      </c>
      <c r="AG97" s="105">
        <v>1</v>
      </c>
      <c r="AH97" s="111">
        <v>1</v>
      </c>
      <c r="AI97" s="209">
        <f t="shared" si="48"/>
        <v>1</v>
      </c>
      <c r="AJ97" s="208">
        <v>1</v>
      </c>
      <c r="AK97" s="110">
        <v>1</v>
      </c>
      <c r="AL97" s="111"/>
      <c r="AM97" s="109">
        <v>0.5</v>
      </c>
      <c r="AN97" s="110">
        <v>0.45</v>
      </c>
      <c r="AO97" s="105">
        <v>0.5</v>
      </c>
      <c r="AP97" s="111">
        <v>0</v>
      </c>
      <c r="AQ97" s="210">
        <f t="shared" si="43"/>
        <v>0.3075</v>
      </c>
      <c r="AR97" s="109">
        <v>0</v>
      </c>
      <c r="AS97" s="110">
        <v>0</v>
      </c>
      <c r="AT97" s="105">
        <v>0</v>
      </c>
      <c r="AU97" s="111">
        <v>0</v>
      </c>
      <c r="AV97" s="210">
        <f t="shared" si="44"/>
        <v>0</v>
      </c>
      <c r="AW97" s="109">
        <v>0</v>
      </c>
      <c r="AX97" s="110">
        <v>0</v>
      </c>
      <c r="AY97" s="111">
        <v>0</v>
      </c>
      <c r="AZ97" s="210">
        <f t="shared" si="45"/>
        <v>0</v>
      </c>
      <c r="BA97" s="109">
        <v>0</v>
      </c>
      <c r="BB97" s="105">
        <v>0</v>
      </c>
      <c r="BC97" s="111">
        <v>0</v>
      </c>
      <c r="BD97" s="209">
        <f t="shared" si="46"/>
        <v>0</v>
      </c>
      <c r="BE97" s="127"/>
      <c r="BF97" s="87" t="e">
        <f t="shared" si="47"/>
        <v>#DIV/0!</v>
      </c>
      <c r="BG97" s="112"/>
    </row>
    <row r="98" spans="2:59" s="89" customFormat="1" ht="43.5" customHeight="1" thickBot="1" x14ac:dyDescent="0.4">
      <c r="B98" s="256" t="s">
        <v>96</v>
      </c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7"/>
      <c r="AF98" s="257"/>
      <c r="AG98" s="257"/>
      <c r="AH98" s="257"/>
      <c r="AI98" s="257"/>
      <c r="AJ98" s="257"/>
      <c r="AK98" s="257"/>
      <c r="AL98" s="257"/>
      <c r="AM98" s="257"/>
      <c r="AN98" s="257"/>
      <c r="AO98" s="257"/>
      <c r="AP98" s="257"/>
      <c r="AQ98" s="257"/>
      <c r="AR98" s="257"/>
      <c r="AS98" s="257"/>
      <c r="AT98" s="257"/>
      <c r="AU98" s="257"/>
      <c r="AV98" s="257"/>
      <c r="AW98" s="257"/>
      <c r="AX98" s="257"/>
      <c r="AY98" s="257"/>
      <c r="AZ98" s="257"/>
      <c r="BA98" s="257"/>
      <c r="BB98" s="257"/>
      <c r="BC98" s="257"/>
      <c r="BD98" s="257"/>
      <c r="BE98" s="257"/>
      <c r="BF98" s="257"/>
      <c r="BG98" s="258"/>
    </row>
    <row r="99" spans="2:59" s="89" customFormat="1" ht="43.5" customHeight="1" x14ac:dyDescent="0.35">
      <c r="B99" s="76">
        <v>601</v>
      </c>
      <c r="C99" s="77">
        <v>1</v>
      </c>
      <c r="D99" s="78">
        <v>1</v>
      </c>
      <c r="E99" s="78">
        <v>1</v>
      </c>
      <c r="F99" s="199">
        <v>1</v>
      </c>
      <c r="G99" s="85">
        <f t="shared" ref="G99:G114" si="49" xml:space="preserve"> C99*45% + D99*45% + E99*5% + F99*5%</f>
        <v>1</v>
      </c>
      <c r="H99" s="200">
        <v>1</v>
      </c>
      <c r="I99" s="201">
        <v>1</v>
      </c>
      <c r="J99" s="202">
        <v>1</v>
      </c>
      <c r="K99" s="203">
        <v>1</v>
      </c>
      <c r="L99" s="85">
        <f t="shared" ref="L99:L114" si="50" xml:space="preserve"> H99*30% + I99*30% + J99*10% + K99*30%</f>
        <v>1</v>
      </c>
      <c r="M99" s="80">
        <v>1</v>
      </c>
      <c r="N99" s="81">
        <v>1</v>
      </c>
      <c r="O99" s="78">
        <v>1</v>
      </c>
      <c r="P99" s="84">
        <v>1</v>
      </c>
      <c r="Q99" s="83">
        <v>1</v>
      </c>
      <c r="R99" s="81">
        <v>1</v>
      </c>
      <c r="S99" s="78">
        <v>1</v>
      </c>
      <c r="T99" s="82">
        <v>1</v>
      </c>
      <c r="U99" s="140">
        <v>1</v>
      </c>
      <c r="V99" s="201">
        <v>1</v>
      </c>
      <c r="W99" s="202">
        <v>1</v>
      </c>
      <c r="X99" s="203">
        <v>1</v>
      </c>
      <c r="Y99" s="204">
        <f t="shared" ref="Y99:Y114" si="51" xml:space="preserve"> (U99*10% + V99*10% + W99*10% + X99*10%+ Q99*5% + R99*5% + S99*5% + T99*5%+M99*10% + N99*15% + O99*5% + P99*10%)</f>
        <v>1.0000000000000002</v>
      </c>
      <c r="Z99" s="140">
        <v>0.5</v>
      </c>
      <c r="AA99" s="201">
        <v>0.5</v>
      </c>
      <c r="AB99" s="202">
        <v>0.5</v>
      </c>
      <c r="AC99" s="203">
        <v>0.5</v>
      </c>
      <c r="AD99" s="85">
        <f t="shared" ref="AD99:AD114" si="52" xml:space="preserve"> Z99*45% + AA99*45% + AB99*5% + AC99*5%</f>
        <v>0.5</v>
      </c>
      <c r="AE99" s="140">
        <v>0.9</v>
      </c>
      <c r="AF99" s="201">
        <v>0</v>
      </c>
      <c r="AG99" s="202">
        <v>0.7</v>
      </c>
      <c r="AH99" s="203">
        <v>0</v>
      </c>
      <c r="AI99" s="85">
        <f xml:space="preserve"> AE99*5% + AF99*30% + AG99*35% + AH99*30%</f>
        <v>0.28999999999999998</v>
      </c>
      <c r="AJ99" s="80">
        <v>1</v>
      </c>
      <c r="AK99" s="81">
        <v>1</v>
      </c>
      <c r="AL99" s="82"/>
      <c r="AM99" s="92">
        <v>0</v>
      </c>
      <c r="AN99" s="93">
        <v>0</v>
      </c>
      <c r="AO99" s="78">
        <v>0</v>
      </c>
      <c r="AP99" s="94">
        <v>0.3</v>
      </c>
      <c r="AQ99" s="205">
        <f t="shared" ref="AQ99:AQ114" si="53" xml:space="preserve"> AM99*15% + AN99*35% + AO99*15% + AP99*35%</f>
        <v>0.105</v>
      </c>
      <c r="AR99" s="140">
        <v>0</v>
      </c>
      <c r="AS99" s="201">
        <v>0</v>
      </c>
      <c r="AT99" s="202">
        <v>0</v>
      </c>
      <c r="AU99" s="203">
        <v>0</v>
      </c>
      <c r="AV99" s="204">
        <f t="shared" ref="AV99:AV114" si="54" xml:space="preserve"> AR99*30% + AS99*30% + AT99*15% + AU99*25%</f>
        <v>0</v>
      </c>
      <c r="AW99" s="140">
        <v>0</v>
      </c>
      <c r="AX99" s="201">
        <v>0</v>
      </c>
      <c r="AY99" s="203">
        <v>0</v>
      </c>
      <c r="AZ99" s="204">
        <f t="shared" ref="AZ99:AZ114" si="55" xml:space="preserve">  AW99*30% + AX99*45% + AY99*25%</f>
        <v>0</v>
      </c>
      <c r="BA99" s="140">
        <v>0</v>
      </c>
      <c r="BB99" s="202">
        <v>0</v>
      </c>
      <c r="BC99" s="203">
        <v>0</v>
      </c>
      <c r="BD99" s="85">
        <f t="shared" ref="BD99:BD114" si="56" xml:space="preserve">  BA99*30% + BB99*45% + BC99*25%</f>
        <v>0</v>
      </c>
      <c r="BE99" s="86"/>
      <c r="BF99" s="87" t="e">
        <f t="shared" ref="BF99:BF114" si="57">(
(COUNTIF(B99:E99,"✓")/(COUNTIF(B99:E99,"✓")+COUNTIF(B99:E99,"x")))*0.2 +
(COUNTIF(F99:J99,"✓")/(COUNTIF(F99:J99,"✓")+COUNTIF(F99:J99,"x")))*0.1 +
(COUNTIF(K99:O99,"✓")/(COUNTIF(K99:O99,"✓")+COUNTIF(K99:O99,"x")))*0.1 +
(COUNTIF(P99:S99,"✓")/(COUNTIF(P99:S99,"✓")+COUNTIF(P99:S99,"x")))*0.1 +
(COUNTIF(T99:W99,"✓")/(COUNTIF(T99:W99,"✓")+COUNTIF(T99:W99,"x")))*0.1 +
(COUNTIF(X99:AB99,"✓")/(COUNTIF(X99:AB99,"✓")+COUNTIF(X99:AB99,"x")))*0.1 +
(COUNTIF(AC99:AO99,"✓")/(COUNTIF(AC99:AO99,"✓")+COUNTIF(AC99:AO99,"x")))*0.1 +
(COUNTIF(AP99:AT99,"✓")/(COUNTIF(AP99:AT99,"✓")+COUNTIF(AP99:AT99,"x")))*0.05 +
(COUNTIF(AU99:BB99,"✓")/(COUNTIF(AU99:BB99,"✓")+COUNTIF(AU99:BB99,"x")))*0.1 +
(COUNTIF(BC99:BC99,"✓")/(COUNTIF(BC99:BC99,"✓")+COUNTIF(BC99:BC99,"x")))*0.05
)</f>
        <v>#DIV/0!</v>
      </c>
      <c r="BG99" s="88"/>
    </row>
    <row r="100" spans="2:59" s="96" customFormat="1" ht="43.5" customHeight="1" x14ac:dyDescent="0.35">
      <c r="B100" s="90">
        <v>602</v>
      </c>
      <c r="C100" s="77">
        <v>1</v>
      </c>
      <c r="D100" s="78">
        <v>1</v>
      </c>
      <c r="E100" s="78">
        <v>1</v>
      </c>
      <c r="F100" s="199">
        <v>1</v>
      </c>
      <c r="G100" s="91">
        <f t="shared" si="49"/>
        <v>1</v>
      </c>
      <c r="H100" s="206">
        <v>1</v>
      </c>
      <c r="I100" s="93">
        <v>1</v>
      </c>
      <c r="J100" s="78">
        <v>1</v>
      </c>
      <c r="K100" s="94">
        <v>1</v>
      </c>
      <c r="L100" s="207">
        <f t="shared" si="50"/>
        <v>1</v>
      </c>
      <c r="M100" s="80">
        <v>1</v>
      </c>
      <c r="N100" s="81">
        <v>1</v>
      </c>
      <c r="O100" s="78">
        <v>1</v>
      </c>
      <c r="P100" s="84">
        <v>1</v>
      </c>
      <c r="Q100" s="83">
        <v>1</v>
      </c>
      <c r="R100" s="81">
        <v>1</v>
      </c>
      <c r="S100" s="78">
        <v>1</v>
      </c>
      <c r="T100" s="82">
        <v>1</v>
      </c>
      <c r="U100" s="92">
        <v>1</v>
      </c>
      <c r="V100" s="93">
        <v>1</v>
      </c>
      <c r="W100" s="78">
        <v>1</v>
      </c>
      <c r="X100" s="94">
        <v>1</v>
      </c>
      <c r="Y100" s="205">
        <f t="shared" si="51"/>
        <v>1.0000000000000002</v>
      </c>
      <c r="Z100" s="92">
        <v>0.5</v>
      </c>
      <c r="AA100" s="93">
        <v>0.5</v>
      </c>
      <c r="AB100" s="78">
        <v>0.5</v>
      </c>
      <c r="AC100" s="94">
        <v>0.5</v>
      </c>
      <c r="AD100" s="207">
        <f t="shared" si="52"/>
        <v>0.5</v>
      </c>
      <c r="AE100" s="92">
        <v>0.7</v>
      </c>
      <c r="AF100" s="93">
        <v>0.7</v>
      </c>
      <c r="AG100" s="78">
        <v>0.7</v>
      </c>
      <c r="AH100" s="94">
        <v>0.7</v>
      </c>
      <c r="AI100" s="207">
        <f t="shared" ref="AI100:AI114" si="58" xml:space="preserve"> AE100*5% + AF100*30% + AG100*35% + AH100*30%</f>
        <v>0.7</v>
      </c>
      <c r="AJ100" s="206">
        <v>0</v>
      </c>
      <c r="AK100" s="93">
        <v>1</v>
      </c>
      <c r="AL100" s="94"/>
      <c r="AM100" s="92">
        <v>0</v>
      </c>
      <c r="AN100" s="93">
        <v>0</v>
      </c>
      <c r="AO100" s="78">
        <v>0</v>
      </c>
      <c r="AP100" s="94">
        <v>0.3</v>
      </c>
      <c r="AQ100" s="205">
        <f t="shared" si="53"/>
        <v>0.105</v>
      </c>
      <c r="AR100" s="92">
        <v>0</v>
      </c>
      <c r="AS100" s="93">
        <v>0</v>
      </c>
      <c r="AT100" s="78">
        <v>0</v>
      </c>
      <c r="AU100" s="94">
        <v>0</v>
      </c>
      <c r="AV100" s="205">
        <f t="shared" si="54"/>
        <v>0</v>
      </c>
      <c r="AW100" s="92">
        <v>0</v>
      </c>
      <c r="AX100" s="93">
        <v>0</v>
      </c>
      <c r="AY100" s="94">
        <v>0</v>
      </c>
      <c r="AZ100" s="205">
        <f t="shared" si="55"/>
        <v>0</v>
      </c>
      <c r="BA100" s="92">
        <v>0</v>
      </c>
      <c r="BB100" s="78">
        <v>0</v>
      </c>
      <c r="BC100" s="94">
        <v>0</v>
      </c>
      <c r="BD100" s="207">
        <f t="shared" si="56"/>
        <v>0</v>
      </c>
      <c r="BE100" s="86"/>
      <c r="BF100" s="87" t="e">
        <f t="shared" si="57"/>
        <v>#DIV/0!</v>
      </c>
      <c r="BG100" s="95"/>
    </row>
    <row r="101" spans="2:59" s="89" customFormat="1" ht="43.5" customHeight="1" x14ac:dyDescent="0.35">
      <c r="B101" s="76">
        <v>603</v>
      </c>
      <c r="C101" s="77">
        <v>1</v>
      </c>
      <c r="D101" s="78">
        <v>1</v>
      </c>
      <c r="E101" s="78">
        <v>1</v>
      </c>
      <c r="F101" s="199">
        <v>1</v>
      </c>
      <c r="G101" s="91">
        <f t="shared" si="49"/>
        <v>1</v>
      </c>
      <c r="H101" s="206">
        <v>0.2</v>
      </c>
      <c r="I101" s="93">
        <v>1</v>
      </c>
      <c r="J101" s="78">
        <v>1</v>
      </c>
      <c r="K101" s="94">
        <v>0.2</v>
      </c>
      <c r="L101" s="207">
        <f t="shared" si="50"/>
        <v>0.52</v>
      </c>
      <c r="M101" s="80">
        <v>1</v>
      </c>
      <c r="N101" s="81">
        <v>1</v>
      </c>
      <c r="O101" s="78">
        <v>1</v>
      </c>
      <c r="P101" s="84">
        <v>1</v>
      </c>
      <c r="Q101" s="83">
        <v>1</v>
      </c>
      <c r="R101" s="81">
        <v>1</v>
      </c>
      <c r="S101" s="78">
        <v>1</v>
      </c>
      <c r="T101" s="82">
        <v>1</v>
      </c>
      <c r="U101" s="92">
        <v>1</v>
      </c>
      <c r="V101" s="93">
        <v>1</v>
      </c>
      <c r="W101" s="78">
        <v>1</v>
      </c>
      <c r="X101" s="94">
        <v>1</v>
      </c>
      <c r="Y101" s="205">
        <f t="shared" si="51"/>
        <v>1.0000000000000002</v>
      </c>
      <c r="Z101" s="92">
        <v>0.5</v>
      </c>
      <c r="AA101" s="93">
        <v>0.5</v>
      </c>
      <c r="AB101" s="78">
        <v>0.5</v>
      </c>
      <c r="AC101" s="94">
        <v>0.5</v>
      </c>
      <c r="AD101" s="207">
        <f t="shared" si="52"/>
        <v>0.5</v>
      </c>
      <c r="AE101" s="92">
        <v>1</v>
      </c>
      <c r="AF101" s="93">
        <v>0.7</v>
      </c>
      <c r="AG101" s="78">
        <v>0.7</v>
      </c>
      <c r="AH101" s="94">
        <v>0.7</v>
      </c>
      <c r="AI101" s="207">
        <f t="shared" si="58"/>
        <v>0.71499999999999997</v>
      </c>
      <c r="AJ101" s="206">
        <v>1</v>
      </c>
      <c r="AK101" s="93">
        <v>1</v>
      </c>
      <c r="AL101" s="94"/>
      <c r="AM101" s="92">
        <v>0</v>
      </c>
      <c r="AN101" s="93">
        <v>0</v>
      </c>
      <c r="AO101" s="78">
        <v>0</v>
      </c>
      <c r="AP101" s="94">
        <v>0.3</v>
      </c>
      <c r="AQ101" s="205">
        <f t="shared" si="53"/>
        <v>0.105</v>
      </c>
      <c r="AR101" s="92">
        <v>0</v>
      </c>
      <c r="AS101" s="93">
        <v>0</v>
      </c>
      <c r="AT101" s="78">
        <v>0</v>
      </c>
      <c r="AU101" s="94">
        <v>0</v>
      </c>
      <c r="AV101" s="205">
        <f t="shared" si="54"/>
        <v>0</v>
      </c>
      <c r="AW101" s="92">
        <v>0</v>
      </c>
      <c r="AX101" s="93">
        <v>0</v>
      </c>
      <c r="AY101" s="94">
        <v>0</v>
      </c>
      <c r="AZ101" s="205">
        <f t="shared" si="55"/>
        <v>0</v>
      </c>
      <c r="BA101" s="92">
        <v>0</v>
      </c>
      <c r="BB101" s="78">
        <v>0</v>
      </c>
      <c r="BC101" s="94">
        <v>0</v>
      </c>
      <c r="BD101" s="207">
        <f t="shared" si="56"/>
        <v>0</v>
      </c>
      <c r="BE101" s="86"/>
      <c r="BF101" s="87" t="e">
        <f t="shared" si="57"/>
        <v>#DIV/0!</v>
      </c>
      <c r="BG101" s="88"/>
    </row>
    <row r="102" spans="2:59" s="89" customFormat="1" ht="43.5" customHeight="1" x14ac:dyDescent="0.35">
      <c r="B102" s="76">
        <v>604</v>
      </c>
      <c r="C102" s="77">
        <v>1</v>
      </c>
      <c r="D102" s="78">
        <v>1</v>
      </c>
      <c r="E102" s="78">
        <v>1</v>
      </c>
      <c r="F102" s="199">
        <v>1</v>
      </c>
      <c r="G102" s="91">
        <f t="shared" si="49"/>
        <v>1</v>
      </c>
      <c r="H102" s="206">
        <v>0.9</v>
      </c>
      <c r="I102" s="93">
        <v>0.9</v>
      </c>
      <c r="J102" s="78">
        <v>1</v>
      </c>
      <c r="K102" s="94">
        <v>0.9</v>
      </c>
      <c r="L102" s="207">
        <f t="shared" si="50"/>
        <v>0.91</v>
      </c>
      <c r="M102" s="80">
        <v>1</v>
      </c>
      <c r="N102" s="81">
        <v>1</v>
      </c>
      <c r="O102" s="78">
        <v>1</v>
      </c>
      <c r="P102" s="84">
        <v>1</v>
      </c>
      <c r="Q102" s="83">
        <v>1</v>
      </c>
      <c r="R102" s="81">
        <v>1</v>
      </c>
      <c r="S102" s="78">
        <v>1</v>
      </c>
      <c r="T102" s="82">
        <v>1</v>
      </c>
      <c r="U102" s="92">
        <v>1</v>
      </c>
      <c r="V102" s="93">
        <v>1</v>
      </c>
      <c r="W102" s="78">
        <v>1</v>
      </c>
      <c r="X102" s="94">
        <v>1</v>
      </c>
      <c r="Y102" s="205">
        <f t="shared" si="51"/>
        <v>1.0000000000000002</v>
      </c>
      <c r="Z102" s="92">
        <v>0.5</v>
      </c>
      <c r="AA102" s="93">
        <v>0.5</v>
      </c>
      <c r="AB102" s="78">
        <v>0.5</v>
      </c>
      <c r="AC102" s="94">
        <v>0.5</v>
      </c>
      <c r="AD102" s="207">
        <f t="shared" si="52"/>
        <v>0.5</v>
      </c>
      <c r="AE102" s="92">
        <v>0.7</v>
      </c>
      <c r="AF102" s="93">
        <v>1</v>
      </c>
      <c r="AG102" s="78">
        <v>1</v>
      </c>
      <c r="AH102" s="94">
        <v>0</v>
      </c>
      <c r="AI102" s="207">
        <f t="shared" si="58"/>
        <v>0.68499999999999994</v>
      </c>
      <c r="AJ102" s="206">
        <v>1</v>
      </c>
      <c r="AK102" s="93">
        <v>0</v>
      </c>
      <c r="AL102" s="94"/>
      <c r="AM102" s="92">
        <v>0</v>
      </c>
      <c r="AN102" s="93">
        <v>0</v>
      </c>
      <c r="AO102" s="78">
        <v>0</v>
      </c>
      <c r="AP102" s="94">
        <v>0.3</v>
      </c>
      <c r="AQ102" s="205">
        <f t="shared" si="53"/>
        <v>0.105</v>
      </c>
      <c r="AR102" s="92">
        <v>0</v>
      </c>
      <c r="AS102" s="93">
        <v>0</v>
      </c>
      <c r="AT102" s="78">
        <v>0</v>
      </c>
      <c r="AU102" s="94">
        <v>0</v>
      </c>
      <c r="AV102" s="205">
        <f t="shared" si="54"/>
        <v>0</v>
      </c>
      <c r="AW102" s="92">
        <v>0</v>
      </c>
      <c r="AX102" s="93">
        <v>0</v>
      </c>
      <c r="AY102" s="94">
        <v>0</v>
      </c>
      <c r="AZ102" s="205">
        <f t="shared" si="55"/>
        <v>0</v>
      </c>
      <c r="BA102" s="92">
        <v>0</v>
      </c>
      <c r="BB102" s="78">
        <v>0</v>
      </c>
      <c r="BC102" s="94">
        <v>0</v>
      </c>
      <c r="BD102" s="207">
        <f t="shared" si="56"/>
        <v>0</v>
      </c>
      <c r="BE102" s="86"/>
      <c r="BF102" s="87" t="e">
        <f t="shared" si="57"/>
        <v>#DIV/0!</v>
      </c>
      <c r="BG102" s="97"/>
    </row>
    <row r="103" spans="2:59" s="89" customFormat="1" ht="43.5" customHeight="1" x14ac:dyDescent="0.35">
      <c r="B103" s="90">
        <v>605</v>
      </c>
      <c r="C103" s="77">
        <v>1</v>
      </c>
      <c r="D103" s="78">
        <v>1</v>
      </c>
      <c r="E103" s="78">
        <v>1</v>
      </c>
      <c r="F103" s="199">
        <v>1</v>
      </c>
      <c r="G103" s="91">
        <f t="shared" si="49"/>
        <v>1</v>
      </c>
      <c r="H103" s="206">
        <v>1</v>
      </c>
      <c r="I103" s="93">
        <v>1</v>
      </c>
      <c r="J103" s="78">
        <v>1</v>
      </c>
      <c r="K103" s="94">
        <v>1</v>
      </c>
      <c r="L103" s="207">
        <f t="shared" si="50"/>
        <v>1</v>
      </c>
      <c r="M103" s="80">
        <v>1</v>
      </c>
      <c r="N103" s="81">
        <v>1</v>
      </c>
      <c r="O103" s="78">
        <v>1</v>
      </c>
      <c r="P103" s="84">
        <v>1</v>
      </c>
      <c r="Q103" s="83">
        <v>1</v>
      </c>
      <c r="R103" s="81">
        <v>1</v>
      </c>
      <c r="S103" s="78">
        <v>1</v>
      </c>
      <c r="T103" s="82">
        <v>1</v>
      </c>
      <c r="U103" s="92">
        <v>1</v>
      </c>
      <c r="V103" s="93">
        <v>1</v>
      </c>
      <c r="W103" s="78">
        <v>1</v>
      </c>
      <c r="X103" s="94">
        <v>1</v>
      </c>
      <c r="Y103" s="205">
        <f t="shared" si="51"/>
        <v>1.0000000000000002</v>
      </c>
      <c r="Z103" s="92">
        <v>0.5</v>
      </c>
      <c r="AA103" s="93">
        <v>0.5</v>
      </c>
      <c r="AB103" s="78">
        <v>0.5</v>
      </c>
      <c r="AC103" s="94">
        <v>0.5</v>
      </c>
      <c r="AD103" s="207">
        <f t="shared" si="52"/>
        <v>0.5</v>
      </c>
      <c r="AE103" s="92">
        <v>1</v>
      </c>
      <c r="AF103" s="93">
        <v>0.7</v>
      </c>
      <c r="AG103" s="78">
        <v>0.7</v>
      </c>
      <c r="AH103" s="94">
        <v>0.7</v>
      </c>
      <c r="AI103" s="207">
        <f t="shared" si="58"/>
        <v>0.71499999999999997</v>
      </c>
      <c r="AJ103" s="206">
        <v>1</v>
      </c>
      <c r="AK103" s="93">
        <v>1</v>
      </c>
      <c r="AL103" s="94"/>
      <c r="AM103" s="92">
        <v>0</v>
      </c>
      <c r="AN103" s="93">
        <v>0</v>
      </c>
      <c r="AO103" s="78">
        <v>0</v>
      </c>
      <c r="AP103" s="94">
        <v>0.3</v>
      </c>
      <c r="AQ103" s="205">
        <f t="shared" si="53"/>
        <v>0.105</v>
      </c>
      <c r="AR103" s="92">
        <v>0</v>
      </c>
      <c r="AS103" s="93">
        <v>0</v>
      </c>
      <c r="AT103" s="78">
        <v>0</v>
      </c>
      <c r="AU103" s="94">
        <v>0</v>
      </c>
      <c r="AV103" s="205">
        <f t="shared" si="54"/>
        <v>0</v>
      </c>
      <c r="AW103" s="92">
        <v>0</v>
      </c>
      <c r="AX103" s="93">
        <v>0</v>
      </c>
      <c r="AY103" s="94">
        <v>0</v>
      </c>
      <c r="AZ103" s="205">
        <f t="shared" si="55"/>
        <v>0</v>
      </c>
      <c r="BA103" s="92">
        <v>0</v>
      </c>
      <c r="BB103" s="78">
        <v>0</v>
      </c>
      <c r="BC103" s="94">
        <v>0</v>
      </c>
      <c r="BD103" s="207">
        <f t="shared" si="56"/>
        <v>0</v>
      </c>
      <c r="BE103" s="86"/>
      <c r="BF103" s="87" t="e">
        <f t="shared" si="57"/>
        <v>#DIV/0!</v>
      </c>
      <c r="BG103" s="98"/>
    </row>
    <row r="104" spans="2:59" s="89" customFormat="1" ht="43.5" customHeight="1" x14ac:dyDescent="0.35">
      <c r="B104" s="76">
        <v>606</v>
      </c>
      <c r="C104" s="77">
        <v>1</v>
      </c>
      <c r="D104" s="78">
        <v>1</v>
      </c>
      <c r="E104" s="78">
        <v>1</v>
      </c>
      <c r="F104" s="199">
        <v>1</v>
      </c>
      <c r="G104" s="91">
        <f t="shared" si="49"/>
        <v>1</v>
      </c>
      <c r="H104" s="206">
        <v>0.9</v>
      </c>
      <c r="I104" s="93">
        <v>0.9</v>
      </c>
      <c r="J104" s="78">
        <v>1</v>
      </c>
      <c r="K104" s="94">
        <v>0.9</v>
      </c>
      <c r="L104" s="207">
        <f t="shared" si="50"/>
        <v>0.91</v>
      </c>
      <c r="M104" s="80">
        <v>1</v>
      </c>
      <c r="N104" s="81">
        <v>1</v>
      </c>
      <c r="O104" s="78">
        <v>1</v>
      </c>
      <c r="P104" s="84">
        <v>1</v>
      </c>
      <c r="Q104" s="83">
        <v>1</v>
      </c>
      <c r="R104" s="81">
        <v>1</v>
      </c>
      <c r="S104" s="78">
        <v>1</v>
      </c>
      <c r="T104" s="82">
        <v>1</v>
      </c>
      <c r="U104" s="92">
        <v>1</v>
      </c>
      <c r="V104" s="93">
        <v>1</v>
      </c>
      <c r="W104" s="78">
        <v>1</v>
      </c>
      <c r="X104" s="94">
        <v>1</v>
      </c>
      <c r="Y104" s="205">
        <f t="shared" si="51"/>
        <v>1.0000000000000002</v>
      </c>
      <c r="Z104" s="92">
        <v>0.5</v>
      </c>
      <c r="AA104" s="93">
        <v>0.5</v>
      </c>
      <c r="AB104" s="78">
        <v>0.5</v>
      </c>
      <c r="AC104" s="94">
        <v>0.5</v>
      </c>
      <c r="AD104" s="207">
        <f t="shared" si="52"/>
        <v>0.5</v>
      </c>
      <c r="AE104" s="92">
        <v>0.7</v>
      </c>
      <c r="AF104" s="93">
        <v>0</v>
      </c>
      <c r="AG104" s="78">
        <v>1</v>
      </c>
      <c r="AH104" s="94">
        <v>1</v>
      </c>
      <c r="AI104" s="207">
        <f t="shared" si="58"/>
        <v>0.68499999999999994</v>
      </c>
      <c r="AJ104" s="206">
        <v>1</v>
      </c>
      <c r="AK104" s="93">
        <v>0</v>
      </c>
      <c r="AL104" s="94"/>
      <c r="AM104" s="92">
        <v>0</v>
      </c>
      <c r="AN104" s="93">
        <v>0</v>
      </c>
      <c r="AO104" s="78">
        <v>0</v>
      </c>
      <c r="AP104" s="94">
        <v>0.3</v>
      </c>
      <c r="AQ104" s="205">
        <f t="shared" si="53"/>
        <v>0.105</v>
      </c>
      <c r="AR104" s="92">
        <v>0</v>
      </c>
      <c r="AS104" s="93">
        <v>0</v>
      </c>
      <c r="AT104" s="78">
        <v>0</v>
      </c>
      <c r="AU104" s="94">
        <v>0</v>
      </c>
      <c r="AV104" s="205">
        <f t="shared" si="54"/>
        <v>0</v>
      </c>
      <c r="AW104" s="92">
        <v>0</v>
      </c>
      <c r="AX104" s="93">
        <v>0</v>
      </c>
      <c r="AY104" s="94">
        <v>0</v>
      </c>
      <c r="AZ104" s="205">
        <f t="shared" si="55"/>
        <v>0</v>
      </c>
      <c r="BA104" s="92">
        <v>0</v>
      </c>
      <c r="BB104" s="78">
        <v>0</v>
      </c>
      <c r="BC104" s="94">
        <v>0</v>
      </c>
      <c r="BD104" s="207">
        <f t="shared" si="56"/>
        <v>0</v>
      </c>
      <c r="BE104" s="86"/>
      <c r="BF104" s="87" t="e">
        <f t="shared" si="57"/>
        <v>#DIV/0!</v>
      </c>
      <c r="BG104" s="99"/>
    </row>
    <row r="105" spans="2:59" s="89" customFormat="1" ht="43.5" customHeight="1" x14ac:dyDescent="0.35">
      <c r="B105" s="76">
        <v>607</v>
      </c>
      <c r="C105" s="77">
        <v>1</v>
      </c>
      <c r="D105" s="78">
        <v>1</v>
      </c>
      <c r="E105" s="78">
        <v>1</v>
      </c>
      <c r="F105" s="199">
        <v>1</v>
      </c>
      <c r="G105" s="91">
        <f t="shared" si="49"/>
        <v>1</v>
      </c>
      <c r="H105" s="206">
        <v>1</v>
      </c>
      <c r="I105" s="93">
        <v>1</v>
      </c>
      <c r="J105" s="78">
        <v>1</v>
      </c>
      <c r="K105" s="94">
        <v>1</v>
      </c>
      <c r="L105" s="207">
        <f t="shared" si="50"/>
        <v>1</v>
      </c>
      <c r="M105" s="80">
        <v>1</v>
      </c>
      <c r="N105" s="81">
        <v>1</v>
      </c>
      <c r="O105" s="78">
        <v>1</v>
      </c>
      <c r="P105" s="84">
        <v>1</v>
      </c>
      <c r="Q105" s="83">
        <v>1</v>
      </c>
      <c r="R105" s="81">
        <v>1</v>
      </c>
      <c r="S105" s="78">
        <v>1</v>
      </c>
      <c r="T105" s="82">
        <v>1</v>
      </c>
      <c r="U105" s="92">
        <v>1</v>
      </c>
      <c r="V105" s="93">
        <v>1</v>
      </c>
      <c r="W105" s="78">
        <v>1</v>
      </c>
      <c r="X105" s="94">
        <v>1</v>
      </c>
      <c r="Y105" s="205">
        <f t="shared" si="51"/>
        <v>1.0000000000000002</v>
      </c>
      <c r="Z105" s="92">
        <v>0.5</v>
      </c>
      <c r="AA105" s="93">
        <v>0.5</v>
      </c>
      <c r="AB105" s="78">
        <v>0.5</v>
      </c>
      <c r="AC105" s="94">
        <v>0.5</v>
      </c>
      <c r="AD105" s="207">
        <f t="shared" si="52"/>
        <v>0.5</v>
      </c>
      <c r="AE105" s="92">
        <v>1</v>
      </c>
      <c r="AF105" s="93">
        <v>0.7</v>
      </c>
      <c r="AG105" s="78">
        <v>0.7</v>
      </c>
      <c r="AH105" s="94">
        <v>0.7</v>
      </c>
      <c r="AI105" s="207">
        <f t="shared" si="58"/>
        <v>0.71499999999999997</v>
      </c>
      <c r="AJ105" s="206">
        <v>1</v>
      </c>
      <c r="AK105" s="93">
        <v>1</v>
      </c>
      <c r="AL105" s="94"/>
      <c r="AM105" s="92">
        <v>0</v>
      </c>
      <c r="AN105" s="93">
        <v>0</v>
      </c>
      <c r="AO105" s="78">
        <v>0.7</v>
      </c>
      <c r="AP105" s="94">
        <v>0.3</v>
      </c>
      <c r="AQ105" s="205">
        <f t="shared" si="53"/>
        <v>0.21</v>
      </c>
      <c r="AR105" s="92">
        <v>0</v>
      </c>
      <c r="AS105" s="93">
        <v>0</v>
      </c>
      <c r="AT105" s="78">
        <v>0</v>
      </c>
      <c r="AU105" s="94">
        <v>0</v>
      </c>
      <c r="AV105" s="205">
        <f t="shared" si="54"/>
        <v>0</v>
      </c>
      <c r="AW105" s="92">
        <v>0</v>
      </c>
      <c r="AX105" s="93">
        <v>0</v>
      </c>
      <c r="AY105" s="94">
        <v>0</v>
      </c>
      <c r="AZ105" s="205">
        <f t="shared" si="55"/>
        <v>0</v>
      </c>
      <c r="BA105" s="92">
        <v>0</v>
      </c>
      <c r="BB105" s="78">
        <v>0</v>
      </c>
      <c r="BC105" s="94">
        <v>0</v>
      </c>
      <c r="BD105" s="207">
        <f t="shared" si="56"/>
        <v>0</v>
      </c>
      <c r="BE105" s="86"/>
      <c r="BF105" s="87" t="e">
        <f t="shared" si="57"/>
        <v>#DIV/0!</v>
      </c>
      <c r="BG105" s="98"/>
    </row>
    <row r="106" spans="2:59" s="89" customFormat="1" ht="43.5" customHeight="1" x14ac:dyDescent="0.35">
      <c r="B106" s="90">
        <v>608</v>
      </c>
      <c r="C106" s="77">
        <v>1</v>
      </c>
      <c r="D106" s="78">
        <v>1</v>
      </c>
      <c r="E106" s="78">
        <v>1</v>
      </c>
      <c r="F106" s="199">
        <v>1</v>
      </c>
      <c r="G106" s="91">
        <f t="shared" si="49"/>
        <v>1</v>
      </c>
      <c r="H106" s="206">
        <v>0.9</v>
      </c>
      <c r="I106" s="93">
        <v>0.9</v>
      </c>
      <c r="J106" s="78">
        <v>0.9</v>
      </c>
      <c r="K106" s="94">
        <v>0.9</v>
      </c>
      <c r="L106" s="207">
        <f t="shared" si="50"/>
        <v>0.9</v>
      </c>
      <c r="M106" s="80">
        <v>1</v>
      </c>
      <c r="N106" s="81">
        <v>1</v>
      </c>
      <c r="O106" s="78">
        <v>1</v>
      </c>
      <c r="P106" s="84">
        <v>1</v>
      </c>
      <c r="Q106" s="83">
        <v>1</v>
      </c>
      <c r="R106" s="81">
        <v>1</v>
      </c>
      <c r="S106" s="78">
        <v>1</v>
      </c>
      <c r="T106" s="82">
        <v>1</v>
      </c>
      <c r="U106" s="92">
        <v>1</v>
      </c>
      <c r="V106" s="93">
        <v>1</v>
      </c>
      <c r="W106" s="78">
        <v>1</v>
      </c>
      <c r="X106" s="94">
        <v>1</v>
      </c>
      <c r="Y106" s="205">
        <f t="shared" si="51"/>
        <v>1.0000000000000002</v>
      </c>
      <c r="Z106" s="92">
        <v>0.5</v>
      </c>
      <c r="AA106" s="93">
        <v>0.5</v>
      </c>
      <c r="AB106" s="78">
        <v>0.5</v>
      </c>
      <c r="AC106" s="94">
        <v>0.5</v>
      </c>
      <c r="AD106" s="207">
        <f t="shared" si="52"/>
        <v>0.5</v>
      </c>
      <c r="AE106" s="92">
        <v>1</v>
      </c>
      <c r="AF106" s="93">
        <v>1</v>
      </c>
      <c r="AG106" s="78">
        <v>1</v>
      </c>
      <c r="AH106" s="94">
        <v>0</v>
      </c>
      <c r="AI106" s="207">
        <f t="shared" si="58"/>
        <v>0.7</v>
      </c>
      <c r="AJ106" s="206">
        <v>1</v>
      </c>
      <c r="AK106" s="93">
        <v>0</v>
      </c>
      <c r="AL106" s="94"/>
      <c r="AM106" s="92">
        <v>0.7</v>
      </c>
      <c r="AN106" s="93">
        <v>0</v>
      </c>
      <c r="AO106" s="78">
        <v>0.7</v>
      </c>
      <c r="AP106" s="94">
        <v>0.3</v>
      </c>
      <c r="AQ106" s="205">
        <f t="shared" si="53"/>
        <v>0.315</v>
      </c>
      <c r="AR106" s="92">
        <v>0</v>
      </c>
      <c r="AS106" s="93">
        <v>0</v>
      </c>
      <c r="AT106" s="78">
        <v>0</v>
      </c>
      <c r="AU106" s="94">
        <v>0</v>
      </c>
      <c r="AV106" s="205">
        <f t="shared" si="54"/>
        <v>0</v>
      </c>
      <c r="AW106" s="92">
        <v>0</v>
      </c>
      <c r="AX106" s="93">
        <v>0</v>
      </c>
      <c r="AY106" s="94">
        <v>0</v>
      </c>
      <c r="AZ106" s="205">
        <f t="shared" si="55"/>
        <v>0</v>
      </c>
      <c r="BA106" s="92">
        <v>0</v>
      </c>
      <c r="BB106" s="78">
        <v>0</v>
      </c>
      <c r="BC106" s="94">
        <v>0</v>
      </c>
      <c r="BD106" s="207">
        <f t="shared" si="56"/>
        <v>0</v>
      </c>
      <c r="BE106" s="86"/>
      <c r="BF106" s="87" t="e">
        <f t="shared" si="57"/>
        <v>#DIV/0!</v>
      </c>
      <c r="BG106" s="99"/>
    </row>
    <row r="107" spans="2:59" s="89" customFormat="1" ht="43.5" customHeight="1" x14ac:dyDescent="0.35">
      <c r="B107" s="76">
        <v>609</v>
      </c>
      <c r="C107" s="77">
        <v>1</v>
      </c>
      <c r="D107" s="78">
        <v>1</v>
      </c>
      <c r="E107" s="78">
        <v>1</v>
      </c>
      <c r="F107" s="199">
        <v>1</v>
      </c>
      <c r="G107" s="91">
        <f t="shared" si="49"/>
        <v>1</v>
      </c>
      <c r="H107" s="206">
        <v>1</v>
      </c>
      <c r="I107" s="93">
        <v>1</v>
      </c>
      <c r="J107" s="78">
        <v>1</v>
      </c>
      <c r="K107" s="94">
        <v>1</v>
      </c>
      <c r="L107" s="207">
        <f t="shared" si="50"/>
        <v>1</v>
      </c>
      <c r="M107" s="80">
        <v>1</v>
      </c>
      <c r="N107" s="81">
        <v>1</v>
      </c>
      <c r="O107" s="78">
        <v>1</v>
      </c>
      <c r="P107" s="84">
        <v>1</v>
      </c>
      <c r="Q107" s="83">
        <v>1</v>
      </c>
      <c r="R107" s="81">
        <v>1</v>
      </c>
      <c r="S107" s="78">
        <v>1</v>
      </c>
      <c r="T107" s="82">
        <v>1</v>
      </c>
      <c r="U107" s="92">
        <v>1</v>
      </c>
      <c r="V107" s="93">
        <v>1</v>
      </c>
      <c r="W107" s="78">
        <v>1</v>
      </c>
      <c r="X107" s="94">
        <v>1</v>
      </c>
      <c r="Y107" s="205">
        <f t="shared" si="51"/>
        <v>1.0000000000000002</v>
      </c>
      <c r="Z107" s="92">
        <v>0.5</v>
      </c>
      <c r="AA107" s="93">
        <v>0.5</v>
      </c>
      <c r="AB107" s="78">
        <v>0.5</v>
      </c>
      <c r="AC107" s="94">
        <v>0.5</v>
      </c>
      <c r="AD107" s="207">
        <f t="shared" si="52"/>
        <v>0.5</v>
      </c>
      <c r="AE107" s="92">
        <v>1</v>
      </c>
      <c r="AF107" s="93">
        <v>0.7</v>
      </c>
      <c r="AG107" s="78">
        <v>0.7</v>
      </c>
      <c r="AH107" s="94">
        <v>0.7</v>
      </c>
      <c r="AI107" s="207">
        <f t="shared" si="58"/>
        <v>0.71499999999999997</v>
      </c>
      <c r="AJ107" s="206">
        <v>1</v>
      </c>
      <c r="AK107" s="93">
        <v>1</v>
      </c>
      <c r="AL107" s="94"/>
      <c r="AM107" s="92">
        <v>0</v>
      </c>
      <c r="AN107" s="93">
        <v>0</v>
      </c>
      <c r="AO107" s="78">
        <v>0</v>
      </c>
      <c r="AP107" s="94">
        <v>0.3</v>
      </c>
      <c r="AQ107" s="205">
        <f t="shared" si="53"/>
        <v>0.105</v>
      </c>
      <c r="AR107" s="92">
        <v>0</v>
      </c>
      <c r="AS107" s="93">
        <v>0</v>
      </c>
      <c r="AT107" s="78">
        <v>0</v>
      </c>
      <c r="AU107" s="94">
        <v>0</v>
      </c>
      <c r="AV107" s="205">
        <f t="shared" si="54"/>
        <v>0</v>
      </c>
      <c r="AW107" s="92">
        <v>0</v>
      </c>
      <c r="AX107" s="93">
        <v>0</v>
      </c>
      <c r="AY107" s="94">
        <v>0</v>
      </c>
      <c r="AZ107" s="205">
        <f t="shared" si="55"/>
        <v>0</v>
      </c>
      <c r="BA107" s="92">
        <v>0</v>
      </c>
      <c r="BB107" s="78">
        <v>0</v>
      </c>
      <c r="BC107" s="94">
        <v>0</v>
      </c>
      <c r="BD107" s="207">
        <f t="shared" si="56"/>
        <v>0</v>
      </c>
      <c r="BE107" s="86"/>
      <c r="BF107" s="87" t="e">
        <f t="shared" si="57"/>
        <v>#DIV/0!</v>
      </c>
      <c r="BG107" s="100"/>
    </row>
    <row r="108" spans="2:59" s="89" customFormat="1" ht="43.5" customHeight="1" x14ac:dyDescent="0.35">
      <c r="B108" s="76">
        <v>610</v>
      </c>
      <c r="C108" s="77">
        <v>1</v>
      </c>
      <c r="D108" s="78">
        <v>1</v>
      </c>
      <c r="E108" s="78">
        <v>1</v>
      </c>
      <c r="F108" s="199">
        <v>1</v>
      </c>
      <c r="G108" s="91">
        <f t="shared" si="49"/>
        <v>1</v>
      </c>
      <c r="H108" s="206">
        <v>1</v>
      </c>
      <c r="I108" s="93">
        <v>1</v>
      </c>
      <c r="J108" s="78">
        <v>1</v>
      </c>
      <c r="K108" s="94">
        <v>1</v>
      </c>
      <c r="L108" s="207">
        <f t="shared" si="50"/>
        <v>1</v>
      </c>
      <c r="M108" s="80">
        <v>1</v>
      </c>
      <c r="N108" s="81">
        <v>1</v>
      </c>
      <c r="O108" s="78">
        <v>1</v>
      </c>
      <c r="P108" s="84">
        <v>1</v>
      </c>
      <c r="Q108" s="83">
        <v>1</v>
      </c>
      <c r="R108" s="81">
        <v>1</v>
      </c>
      <c r="S108" s="78">
        <v>1</v>
      </c>
      <c r="T108" s="82">
        <v>1</v>
      </c>
      <c r="U108" s="92">
        <v>1</v>
      </c>
      <c r="V108" s="93">
        <v>1</v>
      </c>
      <c r="W108" s="78">
        <v>1</v>
      </c>
      <c r="X108" s="94">
        <v>1</v>
      </c>
      <c r="Y108" s="205">
        <f t="shared" si="51"/>
        <v>1.0000000000000002</v>
      </c>
      <c r="Z108" s="92">
        <v>0.5</v>
      </c>
      <c r="AA108" s="93">
        <v>0.5</v>
      </c>
      <c r="AB108" s="78">
        <v>0.5</v>
      </c>
      <c r="AC108" s="94">
        <v>0.5</v>
      </c>
      <c r="AD108" s="207">
        <f t="shared" si="52"/>
        <v>0.5</v>
      </c>
      <c r="AE108" s="92">
        <v>1</v>
      </c>
      <c r="AF108" s="93">
        <v>1</v>
      </c>
      <c r="AG108" s="78">
        <v>1</v>
      </c>
      <c r="AH108" s="94">
        <v>1</v>
      </c>
      <c r="AI108" s="207">
        <f t="shared" si="58"/>
        <v>1</v>
      </c>
      <c r="AJ108" s="206">
        <v>1</v>
      </c>
      <c r="AK108" s="93">
        <v>1</v>
      </c>
      <c r="AL108" s="94"/>
      <c r="AM108" s="92">
        <v>0.7</v>
      </c>
      <c r="AN108" s="93">
        <v>0</v>
      </c>
      <c r="AO108" s="78">
        <v>0</v>
      </c>
      <c r="AP108" s="94">
        <v>0.3</v>
      </c>
      <c r="AQ108" s="205">
        <f t="shared" si="53"/>
        <v>0.21</v>
      </c>
      <c r="AR108" s="92">
        <v>0</v>
      </c>
      <c r="AS108" s="93">
        <v>0</v>
      </c>
      <c r="AT108" s="78">
        <v>0</v>
      </c>
      <c r="AU108" s="94">
        <v>0</v>
      </c>
      <c r="AV108" s="205">
        <f t="shared" si="54"/>
        <v>0</v>
      </c>
      <c r="AW108" s="92">
        <v>0</v>
      </c>
      <c r="AX108" s="93">
        <v>0</v>
      </c>
      <c r="AY108" s="94">
        <v>0</v>
      </c>
      <c r="AZ108" s="205">
        <f t="shared" si="55"/>
        <v>0</v>
      </c>
      <c r="BA108" s="92">
        <v>0</v>
      </c>
      <c r="BB108" s="78">
        <v>0</v>
      </c>
      <c r="BC108" s="94">
        <v>0</v>
      </c>
      <c r="BD108" s="207">
        <f t="shared" si="56"/>
        <v>0</v>
      </c>
      <c r="BE108" s="86"/>
      <c r="BF108" s="87" t="e">
        <f t="shared" si="57"/>
        <v>#DIV/0!</v>
      </c>
      <c r="BG108" s="98"/>
    </row>
    <row r="109" spans="2:59" s="89" customFormat="1" ht="43.5" customHeight="1" x14ac:dyDescent="0.35">
      <c r="B109" s="90">
        <v>611</v>
      </c>
      <c r="C109" s="77">
        <v>1</v>
      </c>
      <c r="D109" s="78">
        <v>1</v>
      </c>
      <c r="E109" s="78">
        <v>1</v>
      </c>
      <c r="F109" s="199">
        <v>1</v>
      </c>
      <c r="G109" s="91">
        <f t="shared" si="49"/>
        <v>1</v>
      </c>
      <c r="H109" s="206">
        <v>1</v>
      </c>
      <c r="I109" s="93">
        <v>1</v>
      </c>
      <c r="J109" s="78">
        <v>1</v>
      </c>
      <c r="K109" s="94">
        <v>1</v>
      </c>
      <c r="L109" s="207">
        <f t="shared" si="50"/>
        <v>1</v>
      </c>
      <c r="M109" s="80">
        <v>1</v>
      </c>
      <c r="N109" s="81">
        <v>1</v>
      </c>
      <c r="O109" s="78">
        <v>0.9</v>
      </c>
      <c r="P109" s="84">
        <v>1</v>
      </c>
      <c r="Q109" s="83">
        <v>1</v>
      </c>
      <c r="R109" s="81">
        <v>1</v>
      </c>
      <c r="S109" s="78">
        <v>1</v>
      </c>
      <c r="T109" s="82">
        <v>1</v>
      </c>
      <c r="U109" s="92">
        <v>1</v>
      </c>
      <c r="V109" s="93">
        <v>1</v>
      </c>
      <c r="W109" s="78">
        <v>1</v>
      </c>
      <c r="X109" s="94">
        <v>1</v>
      </c>
      <c r="Y109" s="205">
        <f t="shared" si="51"/>
        <v>0.99500000000000011</v>
      </c>
      <c r="Z109" s="92">
        <v>0.5</v>
      </c>
      <c r="AA109" s="93">
        <v>0.5</v>
      </c>
      <c r="AB109" s="78">
        <v>0.5</v>
      </c>
      <c r="AC109" s="94">
        <v>0.5</v>
      </c>
      <c r="AD109" s="207">
        <f t="shared" si="52"/>
        <v>0.5</v>
      </c>
      <c r="AE109" s="92">
        <v>1</v>
      </c>
      <c r="AF109" s="93">
        <v>0.7</v>
      </c>
      <c r="AG109" s="78">
        <v>0.7</v>
      </c>
      <c r="AH109" s="94">
        <v>0.7</v>
      </c>
      <c r="AI109" s="207">
        <f t="shared" si="58"/>
        <v>0.71499999999999997</v>
      </c>
      <c r="AJ109" s="206">
        <v>1</v>
      </c>
      <c r="AK109" s="93">
        <v>1</v>
      </c>
      <c r="AL109" s="94"/>
      <c r="AM109" s="92">
        <v>0</v>
      </c>
      <c r="AN109" s="93">
        <v>0</v>
      </c>
      <c r="AO109" s="78">
        <v>0</v>
      </c>
      <c r="AP109" s="94">
        <v>0.3</v>
      </c>
      <c r="AQ109" s="205">
        <f t="shared" si="53"/>
        <v>0.105</v>
      </c>
      <c r="AR109" s="92">
        <v>0</v>
      </c>
      <c r="AS109" s="93">
        <v>0</v>
      </c>
      <c r="AT109" s="78">
        <v>0</v>
      </c>
      <c r="AU109" s="94">
        <v>0</v>
      </c>
      <c r="AV109" s="205">
        <f t="shared" si="54"/>
        <v>0</v>
      </c>
      <c r="AW109" s="92">
        <v>0</v>
      </c>
      <c r="AX109" s="93">
        <v>0</v>
      </c>
      <c r="AY109" s="94">
        <v>0</v>
      </c>
      <c r="AZ109" s="205">
        <f t="shared" si="55"/>
        <v>0</v>
      </c>
      <c r="BA109" s="92">
        <v>0</v>
      </c>
      <c r="BB109" s="78">
        <v>0</v>
      </c>
      <c r="BC109" s="94">
        <v>0</v>
      </c>
      <c r="BD109" s="207">
        <f t="shared" si="56"/>
        <v>0</v>
      </c>
      <c r="BE109" s="86"/>
      <c r="BF109" s="87" t="e">
        <f t="shared" si="57"/>
        <v>#DIV/0!</v>
      </c>
      <c r="BG109" s="97"/>
    </row>
    <row r="110" spans="2:59" s="89" customFormat="1" ht="43.5" customHeight="1" x14ac:dyDescent="0.35">
      <c r="B110" s="76">
        <v>612</v>
      </c>
      <c r="C110" s="77">
        <v>1</v>
      </c>
      <c r="D110" s="78">
        <v>1</v>
      </c>
      <c r="E110" s="78">
        <v>1</v>
      </c>
      <c r="F110" s="199">
        <v>1</v>
      </c>
      <c r="G110" s="91">
        <f t="shared" si="49"/>
        <v>1</v>
      </c>
      <c r="H110" s="206">
        <v>1</v>
      </c>
      <c r="I110" s="93">
        <v>1</v>
      </c>
      <c r="J110" s="78">
        <v>1</v>
      </c>
      <c r="K110" s="94">
        <v>1</v>
      </c>
      <c r="L110" s="207">
        <f t="shared" si="50"/>
        <v>1</v>
      </c>
      <c r="M110" s="80">
        <v>1</v>
      </c>
      <c r="N110" s="81">
        <v>1</v>
      </c>
      <c r="O110" s="78">
        <v>1</v>
      </c>
      <c r="P110" s="84">
        <v>1</v>
      </c>
      <c r="Q110" s="83">
        <v>1</v>
      </c>
      <c r="R110" s="81">
        <v>1</v>
      </c>
      <c r="S110" s="78">
        <v>1</v>
      </c>
      <c r="T110" s="82">
        <v>1</v>
      </c>
      <c r="U110" s="92">
        <v>1</v>
      </c>
      <c r="V110" s="93">
        <v>1</v>
      </c>
      <c r="W110" s="78">
        <v>1</v>
      </c>
      <c r="X110" s="94">
        <v>1</v>
      </c>
      <c r="Y110" s="205">
        <f t="shared" si="51"/>
        <v>1.0000000000000002</v>
      </c>
      <c r="Z110" s="92">
        <v>0.5</v>
      </c>
      <c r="AA110" s="93">
        <v>0.5</v>
      </c>
      <c r="AB110" s="78">
        <v>0.5</v>
      </c>
      <c r="AC110" s="94">
        <v>0.5</v>
      </c>
      <c r="AD110" s="207">
        <f t="shared" si="52"/>
        <v>0.5</v>
      </c>
      <c r="AE110" s="92">
        <v>1</v>
      </c>
      <c r="AF110" s="93">
        <v>1</v>
      </c>
      <c r="AG110" s="78">
        <v>1</v>
      </c>
      <c r="AH110" s="94">
        <v>1</v>
      </c>
      <c r="AI110" s="207">
        <f t="shared" si="58"/>
        <v>1</v>
      </c>
      <c r="AJ110" s="206">
        <v>1</v>
      </c>
      <c r="AK110" s="93">
        <v>1</v>
      </c>
      <c r="AL110" s="94"/>
      <c r="AM110" s="92">
        <v>0</v>
      </c>
      <c r="AN110" s="93">
        <v>0</v>
      </c>
      <c r="AO110" s="78">
        <v>0</v>
      </c>
      <c r="AP110" s="94">
        <v>0.3</v>
      </c>
      <c r="AQ110" s="205">
        <f t="shared" si="53"/>
        <v>0.105</v>
      </c>
      <c r="AR110" s="92">
        <v>0</v>
      </c>
      <c r="AS110" s="93">
        <v>0</v>
      </c>
      <c r="AT110" s="78">
        <v>0</v>
      </c>
      <c r="AU110" s="94">
        <v>0</v>
      </c>
      <c r="AV110" s="205">
        <f t="shared" si="54"/>
        <v>0</v>
      </c>
      <c r="AW110" s="92">
        <v>0</v>
      </c>
      <c r="AX110" s="93">
        <v>0</v>
      </c>
      <c r="AY110" s="94">
        <v>0</v>
      </c>
      <c r="AZ110" s="205">
        <f t="shared" si="55"/>
        <v>0</v>
      </c>
      <c r="BA110" s="92">
        <v>0</v>
      </c>
      <c r="BB110" s="78">
        <v>0</v>
      </c>
      <c r="BC110" s="94">
        <v>0</v>
      </c>
      <c r="BD110" s="207">
        <f t="shared" si="56"/>
        <v>0</v>
      </c>
      <c r="BE110" s="86"/>
      <c r="BF110" s="87" t="e">
        <f t="shared" si="57"/>
        <v>#DIV/0!</v>
      </c>
      <c r="BG110" s="97"/>
    </row>
    <row r="111" spans="2:59" s="89" customFormat="1" ht="43.5" customHeight="1" x14ac:dyDescent="0.35">
      <c r="B111" s="76">
        <v>613</v>
      </c>
      <c r="C111" s="77">
        <v>1</v>
      </c>
      <c r="D111" s="78">
        <v>1</v>
      </c>
      <c r="E111" s="78">
        <v>1</v>
      </c>
      <c r="F111" s="199">
        <v>1</v>
      </c>
      <c r="G111" s="91">
        <f t="shared" si="49"/>
        <v>1</v>
      </c>
      <c r="H111" s="206">
        <v>1</v>
      </c>
      <c r="I111" s="93">
        <v>1</v>
      </c>
      <c r="J111" s="78">
        <v>1</v>
      </c>
      <c r="K111" s="94">
        <v>1</v>
      </c>
      <c r="L111" s="207">
        <f t="shared" si="50"/>
        <v>1</v>
      </c>
      <c r="M111" s="80">
        <v>1</v>
      </c>
      <c r="N111" s="81">
        <v>1</v>
      </c>
      <c r="O111" s="78">
        <v>1</v>
      </c>
      <c r="P111" s="84">
        <v>1</v>
      </c>
      <c r="Q111" s="83">
        <v>1</v>
      </c>
      <c r="R111" s="81">
        <v>1</v>
      </c>
      <c r="S111" s="78">
        <v>1</v>
      </c>
      <c r="T111" s="82">
        <v>1</v>
      </c>
      <c r="U111" s="92">
        <v>1</v>
      </c>
      <c r="V111" s="93">
        <v>1</v>
      </c>
      <c r="W111" s="78">
        <v>1</v>
      </c>
      <c r="X111" s="94">
        <v>1</v>
      </c>
      <c r="Y111" s="205">
        <f t="shared" si="51"/>
        <v>1.0000000000000002</v>
      </c>
      <c r="Z111" s="92">
        <v>0.5</v>
      </c>
      <c r="AA111" s="93">
        <v>0.5</v>
      </c>
      <c r="AB111" s="78">
        <v>0.5</v>
      </c>
      <c r="AC111" s="94">
        <v>0.5</v>
      </c>
      <c r="AD111" s="207">
        <f t="shared" si="52"/>
        <v>0.5</v>
      </c>
      <c r="AE111" s="92">
        <v>1</v>
      </c>
      <c r="AF111" s="93">
        <v>0.7</v>
      </c>
      <c r="AG111" s="78">
        <v>0.7</v>
      </c>
      <c r="AH111" s="94">
        <v>0</v>
      </c>
      <c r="AI111" s="207">
        <f t="shared" si="58"/>
        <v>0.505</v>
      </c>
      <c r="AJ111" s="206">
        <v>1</v>
      </c>
      <c r="AK111" s="93">
        <v>1</v>
      </c>
      <c r="AL111" s="94"/>
      <c r="AM111" s="92">
        <v>0</v>
      </c>
      <c r="AN111" s="93">
        <v>0</v>
      </c>
      <c r="AO111" s="78">
        <v>0</v>
      </c>
      <c r="AP111" s="94">
        <v>0.3</v>
      </c>
      <c r="AQ111" s="205">
        <f t="shared" si="53"/>
        <v>0.105</v>
      </c>
      <c r="AR111" s="92">
        <v>0</v>
      </c>
      <c r="AS111" s="93">
        <v>0</v>
      </c>
      <c r="AT111" s="78">
        <v>0</v>
      </c>
      <c r="AU111" s="94">
        <v>0</v>
      </c>
      <c r="AV111" s="205">
        <f t="shared" si="54"/>
        <v>0</v>
      </c>
      <c r="AW111" s="92">
        <v>0</v>
      </c>
      <c r="AX111" s="93">
        <v>0</v>
      </c>
      <c r="AY111" s="94">
        <v>0</v>
      </c>
      <c r="AZ111" s="205">
        <f t="shared" si="55"/>
        <v>0</v>
      </c>
      <c r="BA111" s="92">
        <v>0</v>
      </c>
      <c r="BB111" s="78">
        <v>0</v>
      </c>
      <c r="BC111" s="94">
        <v>0</v>
      </c>
      <c r="BD111" s="207">
        <f t="shared" si="56"/>
        <v>0</v>
      </c>
      <c r="BE111" s="86"/>
      <c r="BF111" s="87" t="e">
        <f t="shared" si="57"/>
        <v>#DIV/0!</v>
      </c>
      <c r="BG111" s="100"/>
    </row>
    <row r="112" spans="2:59" s="89" customFormat="1" ht="43.5" customHeight="1" x14ac:dyDescent="0.35">
      <c r="B112" s="90">
        <v>614</v>
      </c>
      <c r="C112" s="77">
        <v>1</v>
      </c>
      <c r="D112" s="78">
        <v>1</v>
      </c>
      <c r="E112" s="78">
        <v>1</v>
      </c>
      <c r="F112" s="199">
        <v>1</v>
      </c>
      <c r="G112" s="91">
        <f t="shared" si="49"/>
        <v>1</v>
      </c>
      <c r="H112" s="206">
        <v>1</v>
      </c>
      <c r="I112" s="93">
        <v>1</v>
      </c>
      <c r="J112" s="78">
        <v>1</v>
      </c>
      <c r="K112" s="94">
        <v>1</v>
      </c>
      <c r="L112" s="207">
        <f t="shared" si="50"/>
        <v>1</v>
      </c>
      <c r="M112" s="80">
        <v>1</v>
      </c>
      <c r="N112" s="81">
        <v>1</v>
      </c>
      <c r="O112" s="78">
        <v>1</v>
      </c>
      <c r="P112" s="84">
        <v>1</v>
      </c>
      <c r="Q112" s="83">
        <v>1</v>
      </c>
      <c r="R112" s="81">
        <v>1</v>
      </c>
      <c r="S112" s="78">
        <v>1</v>
      </c>
      <c r="T112" s="82">
        <v>1</v>
      </c>
      <c r="U112" s="92">
        <v>1</v>
      </c>
      <c r="V112" s="93">
        <v>1</v>
      </c>
      <c r="W112" s="78">
        <v>1</v>
      </c>
      <c r="X112" s="94">
        <v>1</v>
      </c>
      <c r="Y112" s="205">
        <f t="shared" si="51"/>
        <v>1.0000000000000002</v>
      </c>
      <c r="Z112" s="92">
        <v>0.5</v>
      </c>
      <c r="AA112" s="93">
        <v>0.5</v>
      </c>
      <c r="AB112" s="78">
        <v>0.5</v>
      </c>
      <c r="AC112" s="94">
        <v>0.5</v>
      </c>
      <c r="AD112" s="207">
        <f t="shared" si="52"/>
        <v>0.5</v>
      </c>
      <c r="AE112" s="92">
        <v>1</v>
      </c>
      <c r="AF112" s="93">
        <v>1</v>
      </c>
      <c r="AG112" s="78">
        <v>1</v>
      </c>
      <c r="AH112" s="94">
        <v>1</v>
      </c>
      <c r="AI112" s="207">
        <f t="shared" si="58"/>
        <v>1</v>
      </c>
      <c r="AJ112" s="206">
        <v>1</v>
      </c>
      <c r="AK112" s="93">
        <v>1</v>
      </c>
      <c r="AL112" s="94"/>
      <c r="AM112" s="92">
        <v>0</v>
      </c>
      <c r="AN112" s="93">
        <v>0</v>
      </c>
      <c r="AO112" s="78">
        <v>0</v>
      </c>
      <c r="AP112" s="94">
        <v>0.3</v>
      </c>
      <c r="AQ112" s="205">
        <f t="shared" si="53"/>
        <v>0.105</v>
      </c>
      <c r="AR112" s="92">
        <v>0</v>
      </c>
      <c r="AS112" s="93">
        <v>0</v>
      </c>
      <c r="AT112" s="78">
        <v>0</v>
      </c>
      <c r="AU112" s="94">
        <v>0</v>
      </c>
      <c r="AV112" s="205">
        <f t="shared" si="54"/>
        <v>0</v>
      </c>
      <c r="AW112" s="92">
        <v>0</v>
      </c>
      <c r="AX112" s="93">
        <v>0</v>
      </c>
      <c r="AY112" s="94">
        <v>0</v>
      </c>
      <c r="AZ112" s="205">
        <f t="shared" si="55"/>
        <v>0</v>
      </c>
      <c r="BA112" s="92">
        <v>0</v>
      </c>
      <c r="BB112" s="78">
        <v>0</v>
      </c>
      <c r="BC112" s="94">
        <v>0</v>
      </c>
      <c r="BD112" s="207">
        <f t="shared" si="56"/>
        <v>0</v>
      </c>
      <c r="BE112" s="86"/>
      <c r="BF112" s="87" t="e">
        <f t="shared" si="57"/>
        <v>#DIV/0!</v>
      </c>
      <c r="BG112" s="98"/>
    </row>
    <row r="113" spans="2:59" s="89" customFormat="1" ht="43.5" customHeight="1" x14ac:dyDescent="0.35">
      <c r="B113" s="76">
        <v>615</v>
      </c>
      <c r="C113" s="77">
        <v>1</v>
      </c>
      <c r="D113" s="78">
        <v>1</v>
      </c>
      <c r="E113" s="78">
        <v>1</v>
      </c>
      <c r="F113" s="199">
        <v>1</v>
      </c>
      <c r="G113" s="91">
        <f t="shared" si="49"/>
        <v>1</v>
      </c>
      <c r="H113" s="206">
        <v>1</v>
      </c>
      <c r="I113" s="93">
        <v>1</v>
      </c>
      <c r="J113" s="78">
        <v>1</v>
      </c>
      <c r="K113" s="94">
        <v>1</v>
      </c>
      <c r="L113" s="207">
        <f t="shared" si="50"/>
        <v>1</v>
      </c>
      <c r="M113" s="80">
        <v>1</v>
      </c>
      <c r="N113" s="81">
        <v>1</v>
      </c>
      <c r="O113" s="78">
        <v>1</v>
      </c>
      <c r="P113" s="84">
        <v>1</v>
      </c>
      <c r="Q113" s="83">
        <v>1</v>
      </c>
      <c r="R113" s="81">
        <v>1</v>
      </c>
      <c r="S113" s="78">
        <v>1</v>
      </c>
      <c r="T113" s="82">
        <v>1</v>
      </c>
      <c r="U113" s="92">
        <v>1</v>
      </c>
      <c r="V113" s="93">
        <v>1</v>
      </c>
      <c r="W113" s="78">
        <v>1</v>
      </c>
      <c r="X113" s="94">
        <v>1</v>
      </c>
      <c r="Y113" s="205">
        <f t="shared" si="51"/>
        <v>1.0000000000000002</v>
      </c>
      <c r="Z113" s="92">
        <v>0.5</v>
      </c>
      <c r="AA113" s="93">
        <v>0.5</v>
      </c>
      <c r="AB113" s="78">
        <v>0.5</v>
      </c>
      <c r="AC113" s="94">
        <v>0.5</v>
      </c>
      <c r="AD113" s="207">
        <f t="shared" si="52"/>
        <v>0.5</v>
      </c>
      <c r="AE113" s="92">
        <v>0.7</v>
      </c>
      <c r="AF113" s="93">
        <v>0</v>
      </c>
      <c r="AG113" s="78">
        <v>0.7</v>
      </c>
      <c r="AH113" s="94">
        <v>0.7</v>
      </c>
      <c r="AI113" s="207">
        <f t="shared" si="58"/>
        <v>0.49</v>
      </c>
      <c r="AJ113" s="206">
        <v>1</v>
      </c>
      <c r="AK113" s="93">
        <v>1</v>
      </c>
      <c r="AL113" s="94"/>
      <c r="AM113" s="92">
        <v>0</v>
      </c>
      <c r="AN113" s="93">
        <v>0</v>
      </c>
      <c r="AO113" s="78">
        <v>0</v>
      </c>
      <c r="AP113" s="94">
        <v>0.3</v>
      </c>
      <c r="AQ113" s="205">
        <f t="shared" si="53"/>
        <v>0.105</v>
      </c>
      <c r="AR113" s="92">
        <v>0</v>
      </c>
      <c r="AS113" s="93">
        <v>0</v>
      </c>
      <c r="AT113" s="78">
        <v>0</v>
      </c>
      <c r="AU113" s="94">
        <v>0</v>
      </c>
      <c r="AV113" s="205">
        <f t="shared" si="54"/>
        <v>0</v>
      </c>
      <c r="AW113" s="92">
        <v>0</v>
      </c>
      <c r="AX113" s="93">
        <v>0</v>
      </c>
      <c r="AY113" s="94">
        <v>0</v>
      </c>
      <c r="AZ113" s="205">
        <f t="shared" si="55"/>
        <v>0</v>
      </c>
      <c r="BA113" s="92">
        <v>0</v>
      </c>
      <c r="BB113" s="78">
        <v>0</v>
      </c>
      <c r="BC113" s="94">
        <v>0</v>
      </c>
      <c r="BD113" s="207">
        <f t="shared" si="56"/>
        <v>0</v>
      </c>
      <c r="BE113" s="86"/>
      <c r="BF113" s="87" t="e">
        <f t="shared" si="57"/>
        <v>#DIV/0!</v>
      </c>
      <c r="BG113" s="98"/>
    </row>
    <row r="114" spans="2:59" s="89" customFormat="1" ht="43.5" customHeight="1" thickBot="1" x14ac:dyDescent="0.4">
      <c r="B114" s="101">
        <v>616</v>
      </c>
      <c r="C114" s="77">
        <v>1</v>
      </c>
      <c r="D114" s="78">
        <v>1</v>
      </c>
      <c r="E114" s="78">
        <v>1</v>
      </c>
      <c r="F114" s="199">
        <v>1</v>
      </c>
      <c r="G114" s="102">
        <f t="shared" si="49"/>
        <v>1</v>
      </c>
      <c r="H114" s="208">
        <v>1</v>
      </c>
      <c r="I114" s="110">
        <v>1</v>
      </c>
      <c r="J114" s="105">
        <v>1</v>
      </c>
      <c r="K114" s="111">
        <v>1</v>
      </c>
      <c r="L114" s="209">
        <f t="shared" si="50"/>
        <v>1</v>
      </c>
      <c r="M114" s="107">
        <v>1</v>
      </c>
      <c r="N114" s="104">
        <v>1</v>
      </c>
      <c r="O114" s="105">
        <v>0.9</v>
      </c>
      <c r="P114" s="106">
        <v>1</v>
      </c>
      <c r="Q114" s="103">
        <v>1</v>
      </c>
      <c r="R114" s="104">
        <v>1</v>
      </c>
      <c r="S114" s="105">
        <v>1</v>
      </c>
      <c r="T114" s="108">
        <v>1</v>
      </c>
      <c r="U114" s="109">
        <v>1</v>
      </c>
      <c r="V114" s="110">
        <v>1</v>
      </c>
      <c r="W114" s="105">
        <v>1</v>
      </c>
      <c r="X114" s="111">
        <v>1</v>
      </c>
      <c r="Y114" s="210">
        <f t="shared" si="51"/>
        <v>0.99500000000000011</v>
      </c>
      <c r="Z114" s="109">
        <v>0.5</v>
      </c>
      <c r="AA114" s="110">
        <v>0.5</v>
      </c>
      <c r="AB114" s="105">
        <v>0.5</v>
      </c>
      <c r="AC114" s="111">
        <v>0.5</v>
      </c>
      <c r="AD114" s="209">
        <f t="shared" si="52"/>
        <v>0.5</v>
      </c>
      <c r="AE114" s="109">
        <v>0.9</v>
      </c>
      <c r="AF114" s="110">
        <v>0</v>
      </c>
      <c r="AG114" s="105">
        <v>0</v>
      </c>
      <c r="AH114" s="111">
        <v>1</v>
      </c>
      <c r="AI114" s="209">
        <f t="shared" si="58"/>
        <v>0.34499999999999997</v>
      </c>
      <c r="AJ114" s="208">
        <v>1</v>
      </c>
      <c r="AK114" s="110">
        <v>1</v>
      </c>
      <c r="AL114" s="111"/>
      <c r="AM114" s="109">
        <v>0</v>
      </c>
      <c r="AN114" s="110">
        <v>0</v>
      </c>
      <c r="AO114" s="105">
        <v>0</v>
      </c>
      <c r="AP114" s="111">
        <v>0.3</v>
      </c>
      <c r="AQ114" s="210">
        <f t="shared" si="53"/>
        <v>0.105</v>
      </c>
      <c r="AR114" s="109">
        <v>0</v>
      </c>
      <c r="AS114" s="110">
        <v>0</v>
      </c>
      <c r="AT114" s="105">
        <v>0</v>
      </c>
      <c r="AU114" s="111">
        <v>0</v>
      </c>
      <c r="AV114" s="210">
        <f t="shared" si="54"/>
        <v>0</v>
      </c>
      <c r="AW114" s="109">
        <v>0</v>
      </c>
      <c r="AX114" s="110">
        <v>0</v>
      </c>
      <c r="AY114" s="111">
        <v>0</v>
      </c>
      <c r="AZ114" s="210">
        <f t="shared" si="55"/>
        <v>0</v>
      </c>
      <c r="BA114" s="109">
        <v>0</v>
      </c>
      <c r="BB114" s="105">
        <v>0</v>
      </c>
      <c r="BC114" s="111">
        <v>0</v>
      </c>
      <c r="BD114" s="209">
        <f t="shared" si="56"/>
        <v>0</v>
      </c>
      <c r="BE114" s="127"/>
      <c r="BF114" s="87" t="e">
        <f t="shared" si="57"/>
        <v>#DIV/0!</v>
      </c>
      <c r="BG114" s="112"/>
    </row>
    <row r="115" spans="2:59" ht="43.5" customHeight="1" thickBot="1" x14ac:dyDescent="0.35">
      <c r="B115" s="256" t="s">
        <v>97</v>
      </c>
      <c r="C115" s="257"/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  <c r="AA115" s="257"/>
      <c r="AB115" s="257"/>
      <c r="AC115" s="257"/>
      <c r="AD115" s="257"/>
      <c r="AE115" s="257"/>
      <c r="AF115" s="257"/>
      <c r="AG115" s="257"/>
      <c r="AH115" s="257"/>
      <c r="AI115" s="257"/>
      <c r="AJ115" s="257"/>
      <c r="AK115" s="257"/>
      <c r="AL115" s="257"/>
      <c r="AM115" s="257"/>
      <c r="AN115" s="257"/>
      <c r="AO115" s="257"/>
      <c r="AP115" s="257"/>
      <c r="AQ115" s="257"/>
      <c r="AR115" s="257"/>
      <c r="AS115" s="257"/>
      <c r="AT115" s="257"/>
      <c r="AU115" s="257"/>
      <c r="AV115" s="257"/>
      <c r="AW115" s="257"/>
      <c r="AX115" s="257"/>
      <c r="AY115" s="257"/>
      <c r="AZ115" s="257"/>
      <c r="BA115" s="257"/>
      <c r="BB115" s="257"/>
      <c r="BC115" s="257"/>
      <c r="BD115" s="257"/>
      <c r="BE115" s="257"/>
      <c r="BF115" s="257"/>
      <c r="BG115" s="258"/>
    </row>
    <row r="116" spans="2:59" ht="43.5" customHeight="1" x14ac:dyDescent="0.3">
      <c r="B116" s="76">
        <v>701</v>
      </c>
      <c r="C116" s="77">
        <v>1</v>
      </c>
      <c r="D116" s="78">
        <v>1</v>
      </c>
      <c r="E116" s="78">
        <v>1</v>
      </c>
      <c r="F116" s="199">
        <v>1</v>
      </c>
      <c r="G116" s="85">
        <f t="shared" ref="G116:G131" si="59" xml:space="preserve"> C116*45% + D116*45% + E116*5% + F116*5%</f>
        <v>1</v>
      </c>
      <c r="H116" s="200">
        <v>1</v>
      </c>
      <c r="I116" s="201">
        <v>0.95</v>
      </c>
      <c r="J116" s="202">
        <v>1</v>
      </c>
      <c r="K116" s="203">
        <v>1</v>
      </c>
      <c r="L116" s="85">
        <f t="shared" ref="L116:L131" si="60" xml:space="preserve"> H116*30% + I116*30% + J116*10% + K116*30%</f>
        <v>0.98499999999999988</v>
      </c>
      <c r="M116" s="80">
        <v>1</v>
      </c>
      <c r="N116" s="81">
        <v>1</v>
      </c>
      <c r="O116" s="78">
        <v>0.95</v>
      </c>
      <c r="P116" s="84">
        <v>1</v>
      </c>
      <c r="Q116" s="83">
        <v>1</v>
      </c>
      <c r="R116" s="81">
        <v>1</v>
      </c>
      <c r="S116" s="78">
        <v>1</v>
      </c>
      <c r="T116" s="82">
        <v>1</v>
      </c>
      <c r="U116" s="140">
        <v>1</v>
      </c>
      <c r="V116" s="201">
        <v>1</v>
      </c>
      <c r="W116" s="202">
        <v>1</v>
      </c>
      <c r="X116" s="203">
        <v>1</v>
      </c>
      <c r="Y116" s="204">
        <f t="shared" ref="Y116:Y131" si="61" xml:space="preserve"> (U116*10% + V116*10% + W116*10% + X116*10%+ Q116*5% + R116*5% + S116*5% + T116*5%+M116*10% + N116*15% + O116*5% + P116*10%)</f>
        <v>0.99750000000000005</v>
      </c>
      <c r="Z116" s="140">
        <v>0.1</v>
      </c>
      <c r="AA116" s="201">
        <v>0.1</v>
      </c>
      <c r="AB116" s="202">
        <v>0.1</v>
      </c>
      <c r="AC116" s="203">
        <v>0.1</v>
      </c>
      <c r="AD116" s="85">
        <f t="shared" ref="AD116:AD131" si="62" xml:space="preserve"> Z116*45% + AA116*45% + AB116*5% + AC116*5%</f>
        <v>0.10000000000000002</v>
      </c>
      <c r="AE116" s="140">
        <v>1</v>
      </c>
      <c r="AF116" s="201">
        <v>0</v>
      </c>
      <c r="AG116" s="202">
        <v>0</v>
      </c>
      <c r="AH116" s="203">
        <v>0</v>
      </c>
      <c r="AI116" s="85">
        <f xml:space="preserve"> AE116*5% + AF116*30% + AG116*35% + AH116*30%</f>
        <v>0.05</v>
      </c>
      <c r="AJ116" s="80">
        <v>1</v>
      </c>
      <c r="AK116" s="81">
        <v>1</v>
      </c>
      <c r="AL116" s="82"/>
      <c r="AM116" s="92">
        <v>0</v>
      </c>
      <c r="AN116" s="93">
        <v>0</v>
      </c>
      <c r="AO116" s="78">
        <v>0</v>
      </c>
      <c r="AP116" s="94">
        <v>0</v>
      </c>
      <c r="AQ116" s="205">
        <f t="shared" ref="AQ116:AQ131" si="63" xml:space="preserve"> AM116*15% + AN116*35% + AO116*15% + AP116*35%</f>
        <v>0</v>
      </c>
      <c r="AR116" s="140">
        <v>0</v>
      </c>
      <c r="AS116" s="201">
        <v>0</v>
      </c>
      <c r="AT116" s="202">
        <v>0</v>
      </c>
      <c r="AU116" s="203">
        <v>0</v>
      </c>
      <c r="AV116" s="204">
        <f t="shared" ref="AV116:AV131" si="64" xml:space="preserve"> AR116*30% + AS116*30% + AT116*15% + AU116*25%</f>
        <v>0</v>
      </c>
      <c r="AW116" s="140">
        <v>0</v>
      </c>
      <c r="AX116" s="201">
        <v>0</v>
      </c>
      <c r="AY116" s="203">
        <v>0</v>
      </c>
      <c r="AZ116" s="204">
        <f t="shared" ref="AZ116:AZ131" si="65" xml:space="preserve">  AW116*30% + AX116*45% + AY116*25%</f>
        <v>0</v>
      </c>
      <c r="BA116" s="140">
        <v>0</v>
      </c>
      <c r="BB116" s="202">
        <v>0</v>
      </c>
      <c r="BC116" s="203">
        <v>0</v>
      </c>
      <c r="BD116" s="85">
        <f t="shared" ref="BD116:BD131" si="66" xml:space="preserve">  BA116*30% + BB116*45% + BC116*25%</f>
        <v>0</v>
      </c>
      <c r="BE116" s="86"/>
      <c r="BF116" s="87" t="e">
        <f t="shared" ref="BF116:BF131" si="67">(
(COUNTIF(B116:E116,"✓")/(COUNTIF(B116:E116,"✓")+COUNTIF(B116:E116,"x")))*0.2 +
(COUNTIF(F116:J116,"✓")/(COUNTIF(F116:J116,"✓")+COUNTIF(F116:J116,"x")))*0.1 +
(COUNTIF(K116:O116,"✓")/(COUNTIF(K116:O116,"✓")+COUNTIF(K116:O116,"x")))*0.1 +
(COUNTIF(P116:S116,"✓")/(COUNTIF(P116:S116,"✓")+COUNTIF(P116:S116,"x")))*0.1 +
(COUNTIF(T116:W116,"✓")/(COUNTIF(T116:W116,"✓")+COUNTIF(T116:W116,"x")))*0.1 +
(COUNTIF(X116:AB116,"✓")/(COUNTIF(X116:AB116,"✓")+COUNTIF(X116:AB116,"x")))*0.1 +
(COUNTIF(AC116:AO116,"✓")/(COUNTIF(AC116:AO116,"✓")+COUNTIF(AC116:AO116,"x")))*0.1 +
(COUNTIF(AP116:AT116,"✓")/(COUNTIF(AP116:AT116,"✓")+COUNTIF(AP116:AT116,"x")))*0.05 +
(COUNTIF(AU116:BB116,"✓")/(COUNTIF(AU116:BB116,"✓")+COUNTIF(AU116:BB116,"x")))*0.1 +
(COUNTIF(BC116:BC116,"✓")/(COUNTIF(BC116:BC116,"✓")+COUNTIF(BC116:BC116,"x")))*0.05
)</f>
        <v>#DIV/0!</v>
      </c>
      <c r="BG116" s="88"/>
    </row>
    <row r="117" spans="2:59" ht="43.5" customHeight="1" x14ac:dyDescent="0.3">
      <c r="B117" s="90">
        <v>702</v>
      </c>
      <c r="C117" s="77">
        <v>1</v>
      </c>
      <c r="D117" s="78">
        <v>1</v>
      </c>
      <c r="E117" s="78">
        <v>1</v>
      </c>
      <c r="F117" s="199">
        <v>1</v>
      </c>
      <c r="G117" s="91">
        <f t="shared" si="59"/>
        <v>1</v>
      </c>
      <c r="H117" s="206">
        <v>1</v>
      </c>
      <c r="I117" s="93">
        <v>1</v>
      </c>
      <c r="J117" s="78">
        <v>1</v>
      </c>
      <c r="K117" s="94">
        <v>1</v>
      </c>
      <c r="L117" s="207">
        <f t="shared" si="60"/>
        <v>1</v>
      </c>
      <c r="M117" s="80">
        <v>1</v>
      </c>
      <c r="N117" s="81">
        <v>1</v>
      </c>
      <c r="O117" s="78">
        <v>0.95</v>
      </c>
      <c r="P117" s="84">
        <v>1</v>
      </c>
      <c r="Q117" s="83">
        <v>1</v>
      </c>
      <c r="R117" s="81">
        <v>1</v>
      </c>
      <c r="S117" s="78">
        <v>1</v>
      </c>
      <c r="T117" s="82">
        <v>1</v>
      </c>
      <c r="U117" s="92">
        <v>1</v>
      </c>
      <c r="V117" s="93">
        <v>1</v>
      </c>
      <c r="W117" s="78">
        <v>1</v>
      </c>
      <c r="X117" s="94">
        <v>1</v>
      </c>
      <c r="Y117" s="205">
        <f t="shared" si="61"/>
        <v>0.99750000000000005</v>
      </c>
      <c r="Z117" s="92">
        <v>0.1</v>
      </c>
      <c r="AA117" s="93">
        <v>0.1</v>
      </c>
      <c r="AB117" s="78">
        <v>0.1</v>
      </c>
      <c r="AC117" s="94">
        <v>0.1</v>
      </c>
      <c r="AD117" s="207">
        <f t="shared" si="62"/>
        <v>0.10000000000000002</v>
      </c>
      <c r="AE117" s="92">
        <v>1</v>
      </c>
      <c r="AF117" s="93">
        <v>0.7</v>
      </c>
      <c r="AG117" s="78">
        <v>0</v>
      </c>
      <c r="AH117" s="94">
        <v>0</v>
      </c>
      <c r="AI117" s="207">
        <f t="shared" ref="AI117:AI131" si="68" xml:space="preserve"> AE117*5% + AF117*30% + AG117*35% + AH117*30%</f>
        <v>0.26</v>
      </c>
      <c r="AJ117" s="206">
        <v>1</v>
      </c>
      <c r="AK117" s="93">
        <v>1</v>
      </c>
      <c r="AL117" s="94"/>
      <c r="AM117" s="92">
        <v>0</v>
      </c>
      <c r="AN117" s="93">
        <v>0</v>
      </c>
      <c r="AO117" s="78">
        <v>0</v>
      </c>
      <c r="AP117" s="94">
        <v>0</v>
      </c>
      <c r="AQ117" s="205">
        <f t="shared" si="63"/>
        <v>0</v>
      </c>
      <c r="AR117" s="92">
        <v>0</v>
      </c>
      <c r="AS117" s="93">
        <v>0</v>
      </c>
      <c r="AT117" s="78">
        <v>0</v>
      </c>
      <c r="AU117" s="94">
        <v>0</v>
      </c>
      <c r="AV117" s="205">
        <f t="shared" si="64"/>
        <v>0</v>
      </c>
      <c r="AW117" s="92">
        <v>0</v>
      </c>
      <c r="AX117" s="93">
        <v>0</v>
      </c>
      <c r="AY117" s="94">
        <v>0</v>
      </c>
      <c r="AZ117" s="205">
        <f t="shared" si="65"/>
        <v>0</v>
      </c>
      <c r="BA117" s="92">
        <v>0</v>
      </c>
      <c r="BB117" s="78">
        <v>0</v>
      </c>
      <c r="BC117" s="94">
        <v>0</v>
      </c>
      <c r="BD117" s="207">
        <f t="shared" si="66"/>
        <v>0</v>
      </c>
      <c r="BE117" s="86"/>
      <c r="BF117" s="87" t="e">
        <f t="shared" si="67"/>
        <v>#DIV/0!</v>
      </c>
      <c r="BG117" s="95"/>
    </row>
    <row r="118" spans="2:59" ht="43.5" customHeight="1" x14ac:dyDescent="0.3">
      <c r="B118" s="76">
        <v>703</v>
      </c>
      <c r="C118" s="77">
        <v>1</v>
      </c>
      <c r="D118" s="78">
        <v>1</v>
      </c>
      <c r="E118" s="78">
        <v>1</v>
      </c>
      <c r="F118" s="199">
        <v>1</v>
      </c>
      <c r="G118" s="91">
        <f t="shared" si="59"/>
        <v>1</v>
      </c>
      <c r="H118" s="206">
        <v>0.95</v>
      </c>
      <c r="I118" s="93">
        <v>1</v>
      </c>
      <c r="J118" s="78">
        <v>1</v>
      </c>
      <c r="K118" s="94">
        <v>0.95</v>
      </c>
      <c r="L118" s="207">
        <f t="shared" si="60"/>
        <v>0.97</v>
      </c>
      <c r="M118" s="80">
        <v>1</v>
      </c>
      <c r="N118" s="81">
        <v>1</v>
      </c>
      <c r="O118" s="78">
        <v>0.95</v>
      </c>
      <c r="P118" s="84">
        <v>1</v>
      </c>
      <c r="Q118" s="83">
        <v>1</v>
      </c>
      <c r="R118" s="81">
        <v>1</v>
      </c>
      <c r="S118" s="78">
        <v>1</v>
      </c>
      <c r="T118" s="82">
        <v>1</v>
      </c>
      <c r="U118" s="92">
        <v>1</v>
      </c>
      <c r="V118" s="93">
        <v>1</v>
      </c>
      <c r="W118" s="78">
        <v>1</v>
      </c>
      <c r="X118" s="94">
        <v>1</v>
      </c>
      <c r="Y118" s="205">
        <f t="shared" si="61"/>
        <v>0.99750000000000005</v>
      </c>
      <c r="Z118" s="92">
        <v>0.1</v>
      </c>
      <c r="AA118" s="93">
        <v>0.1</v>
      </c>
      <c r="AB118" s="78">
        <v>0</v>
      </c>
      <c r="AC118" s="94">
        <v>0.1</v>
      </c>
      <c r="AD118" s="207">
        <f t="shared" si="62"/>
        <v>9.5000000000000015E-2</v>
      </c>
      <c r="AE118" s="92">
        <v>0.9</v>
      </c>
      <c r="AF118" s="93">
        <v>0</v>
      </c>
      <c r="AG118" s="78">
        <v>0.7</v>
      </c>
      <c r="AH118" s="94">
        <v>0.7</v>
      </c>
      <c r="AI118" s="207">
        <f t="shared" si="68"/>
        <v>0.5</v>
      </c>
      <c r="AJ118" s="206">
        <v>0.9</v>
      </c>
      <c r="AK118" s="93">
        <v>1</v>
      </c>
      <c r="AL118" s="94"/>
      <c r="AM118" s="92">
        <v>0</v>
      </c>
      <c r="AN118" s="93">
        <v>0</v>
      </c>
      <c r="AO118" s="78">
        <v>0.1</v>
      </c>
      <c r="AP118" s="94">
        <v>0.1</v>
      </c>
      <c r="AQ118" s="205">
        <f t="shared" si="63"/>
        <v>4.9999999999999996E-2</v>
      </c>
      <c r="AR118" s="92">
        <v>0</v>
      </c>
      <c r="AS118" s="93">
        <v>0</v>
      </c>
      <c r="AT118" s="78">
        <v>0</v>
      </c>
      <c r="AU118" s="94">
        <v>0</v>
      </c>
      <c r="AV118" s="205">
        <f t="shared" si="64"/>
        <v>0</v>
      </c>
      <c r="AW118" s="92">
        <v>0</v>
      </c>
      <c r="AX118" s="93">
        <v>0</v>
      </c>
      <c r="AY118" s="94">
        <v>0</v>
      </c>
      <c r="AZ118" s="205">
        <f t="shared" si="65"/>
        <v>0</v>
      </c>
      <c r="BA118" s="92">
        <v>0</v>
      </c>
      <c r="BB118" s="78">
        <v>0</v>
      </c>
      <c r="BC118" s="94">
        <v>0</v>
      </c>
      <c r="BD118" s="207">
        <f t="shared" si="66"/>
        <v>0</v>
      </c>
      <c r="BE118" s="86"/>
      <c r="BF118" s="87" t="e">
        <f t="shared" si="67"/>
        <v>#DIV/0!</v>
      </c>
      <c r="BG118" s="88"/>
    </row>
    <row r="119" spans="2:59" ht="43.5" customHeight="1" x14ac:dyDescent="0.3">
      <c r="B119" s="76">
        <v>704</v>
      </c>
      <c r="C119" s="77">
        <v>1</v>
      </c>
      <c r="D119" s="78">
        <v>1</v>
      </c>
      <c r="E119" s="78">
        <v>1</v>
      </c>
      <c r="F119" s="199">
        <v>1</v>
      </c>
      <c r="G119" s="91">
        <f t="shared" si="59"/>
        <v>1</v>
      </c>
      <c r="H119" s="206">
        <v>0.9</v>
      </c>
      <c r="I119" s="93">
        <v>0.9</v>
      </c>
      <c r="J119" s="78">
        <v>0.9</v>
      </c>
      <c r="K119" s="94">
        <v>0.9</v>
      </c>
      <c r="L119" s="207">
        <f t="shared" si="60"/>
        <v>0.9</v>
      </c>
      <c r="M119" s="80">
        <v>1</v>
      </c>
      <c r="N119" s="81">
        <v>1</v>
      </c>
      <c r="O119" s="78">
        <v>0.95</v>
      </c>
      <c r="P119" s="84">
        <v>0.5</v>
      </c>
      <c r="Q119" s="83">
        <v>1</v>
      </c>
      <c r="R119" s="81">
        <v>1</v>
      </c>
      <c r="S119" s="78">
        <v>1</v>
      </c>
      <c r="T119" s="82">
        <v>1</v>
      </c>
      <c r="U119" s="92">
        <v>1</v>
      </c>
      <c r="V119" s="93">
        <v>1</v>
      </c>
      <c r="W119" s="78">
        <v>1</v>
      </c>
      <c r="X119" s="94">
        <v>1</v>
      </c>
      <c r="Y119" s="205">
        <f t="shared" si="61"/>
        <v>0.94750000000000012</v>
      </c>
      <c r="Z119" s="92">
        <v>0.1</v>
      </c>
      <c r="AA119" s="93">
        <v>0.1</v>
      </c>
      <c r="AB119" s="78">
        <v>0.1</v>
      </c>
      <c r="AC119" s="94">
        <v>0.1</v>
      </c>
      <c r="AD119" s="207">
        <f t="shared" si="62"/>
        <v>0.10000000000000002</v>
      </c>
      <c r="AE119" s="92">
        <v>0.9</v>
      </c>
      <c r="AF119" s="93">
        <v>0</v>
      </c>
      <c r="AG119" s="78">
        <v>0.7</v>
      </c>
      <c r="AH119" s="94">
        <v>0</v>
      </c>
      <c r="AI119" s="207">
        <f t="shared" si="68"/>
        <v>0.28999999999999998</v>
      </c>
      <c r="AJ119" s="206">
        <v>1</v>
      </c>
      <c r="AK119" s="93" t="s">
        <v>98</v>
      </c>
      <c r="AL119" s="94"/>
      <c r="AM119" s="92">
        <v>0</v>
      </c>
      <c r="AN119" s="93">
        <v>0</v>
      </c>
      <c r="AO119" s="78">
        <v>0</v>
      </c>
      <c r="AP119" s="94">
        <v>0</v>
      </c>
      <c r="AQ119" s="205">
        <f t="shared" si="63"/>
        <v>0</v>
      </c>
      <c r="AR119" s="92">
        <v>0</v>
      </c>
      <c r="AS119" s="93">
        <v>0</v>
      </c>
      <c r="AT119" s="78">
        <v>0</v>
      </c>
      <c r="AU119" s="94">
        <v>0</v>
      </c>
      <c r="AV119" s="205">
        <f t="shared" si="64"/>
        <v>0</v>
      </c>
      <c r="AW119" s="92">
        <v>0</v>
      </c>
      <c r="AX119" s="93">
        <v>0</v>
      </c>
      <c r="AY119" s="94">
        <v>0</v>
      </c>
      <c r="AZ119" s="205">
        <f t="shared" si="65"/>
        <v>0</v>
      </c>
      <c r="BA119" s="92">
        <v>0</v>
      </c>
      <c r="BB119" s="78">
        <v>0</v>
      </c>
      <c r="BC119" s="94">
        <v>0</v>
      </c>
      <c r="BD119" s="207">
        <f t="shared" si="66"/>
        <v>0</v>
      </c>
      <c r="BE119" s="86"/>
      <c r="BF119" s="87" t="e">
        <f t="shared" si="67"/>
        <v>#DIV/0!</v>
      </c>
      <c r="BG119" s="97"/>
    </row>
    <row r="120" spans="2:59" ht="43.5" customHeight="1" x14ac:dyDescent="0.35">
      <c r="B120" s="90">
        <v>705</v>
      </c>
      <c r="C120" s="77">
        <v>1</v>
      </c>
      <c r="D120" s="78">
        <v>1</v>
      </c>
      <c r="E120" s="78">
        <v>1</v>
      </c>
      <c r="F120" s="199">
        <v>1</v>
      </c>
      <c r="G120" s="91">
        <f t="shared" si="59"/>
        <v>1</v>
      </c>
      <c r="H120" s="206">
        <v>1</v>
      </c>
      <c r="I120" s="93">
        <v>1</v>
      </c>
      <c r="J120" s="78">
        <v>1</v>
      </c>
      <c r="K120" s="94">
        <v>1</v>
      </c>
      <c r="L120" s="207">
        <f t="shared" si="60"/>
        <v>1</v>
      </c>
      <c r="M120" s="80">
        <v>1</v>
      </c>
      <c r="N120" s="81">
        <v>1</v>
      </c>
      <c r="O120" s="78">
        <v>0.95</v>
      </c>
      <c r="P120" s="84">
        <v>1</v>
      </c>
      <c r="Q120" s="83">
        <v>1</v>
      </c>
      <c r="R120" s="81">
        <v>1</v>
      </c>
      <c r="S120" s="78">
        <v>1</v>
      </c>
      <c r="T120" s="82">
        <v>1</v>
      </c>
      <c r="U120" s="92">
        <v>1</v>
      </c>
      <c r="V120" s="93">
        <v>1</v>
      </c>
      <c r="W120" s="78">
        <v>1</v>
      </c>
      <c r="X120" s="94">
        <v>1</v>
      </c>
      <c r="Y120" s="205">
        <f t="shared" si="61"/>
        <v>0.99750000000000005</v>
      </c>
      <c r="Z120" s="92">
        <v>0</v>
      </c>
      <c r="AA120" s="93">
        <v>0</v>
      </c>
      <c r="AB120" s="78">
        <v>0</v>
      </c>
      <c r="AC120" s="94">
        <v>0</v>
      </c>
      <c r="AD120" s="207">
        <f t="shared" si="62"/>
        <v>0</v>
      </c>
      <c r="AE120" s="92">
        <v>0.9</v>
      </c>
      <c r="AF120" s="93">
        <v>0.7</v>
      </c>
      <c r="AG120" s="78">
        <v>0.7</v>
      </c>
      <c r="AH120" s="94">
        <v>0</v>
      </c>
      <c r="AI120" s="207">
        <f t="shared" si="68"/>
        <v>0.5</v>
      </c>
      <c r="AJ120" s="206">
        <v>1</v>
      </c>
      <c r="AK120" s="93">
        <v>1</v>
      </c>
      <c r="AL120" s="94"/>
      <c r="AM120" s="92">
        <v>0</v>
      </c>
      <c r="AN120" s="93">
        <v>0</v>
      </c>
      <c r="AO120" s="78">
        <v>0</v>
      </c>
      <c r="AP120" s="94">
        <v>0</v>
      </c>
      <c r="AQ120" s="205">
        <f t="shared" si="63"/>
        <v>0</v>
      </c>
      <c r="AR120" s="92">
        <v>0</v>
      </c>
      <c r="AS120" s="93">
        <v>0</v>
      </c>
      <c r="AT120" s="78">
        <v>0</v>
      </c>
      <c r="AU120" s="94">
        <v>0</v>
      </c>
      <c r="AV120" s="205">
        <f t="shared" si="64"/>
        <v>0</v>
      </c>
      <c r="AW120" s="92">
        <v>0</v>
      </c>
      <c r="AX120" s="93">
        <v>0</v>
      </c>
      <c r="AY120" s="94">
        <v>0</v>
      </c>
      <c r="AZ120" s="205">
        <f t="shared" si="65"/>
        <v>0</v>
      </c>
      <c r="BA120" s="92">
        <v>0</v>
      </c>
      <c r="BB120" s="78">
        <v>0</v>
      </c>
      <c r="BC120" s="94">
        <v>0</v>
      </c>
      <c r="BD120" s="207">
        <f t="shared" si="66"/>
        <v>0</v>
      </c>
      <c r="BE120" s="86"/>
      <c r="BF120" s="87" t="e">
        <f t="shared" si="67"/>
        <v>#DIV/0!</v>
      </c>
      <c r="BG120" s="98"/>
    </row>
    <row r="121" spans="2:59" ht="43.5" customHeight="1" x14ac:dyDescent="0.35">
      <c r="B121" s="76">
        <v>706</v>
      </c>
      <c r="C121" s="77">
        <v>1</v>
      </c>
      <c r="D121" s="78">
        <v>1</v>
      </c>
      <c r="E121" s="78">
        <v>1</v>
      </c>
      <c r="F121" s="199">
        <v>1</v>
      </c>
      <c r="G121" s="91">
        <f t="shared" si="59"/>
        <v>1</v>
      </c>
      <c r="H121" s="206">
        <v>1</v>
      </c>
      <c r="I121" s="93">
        <v>1</v>
      </c>
      <c r="J121" s="78">
        <v>1</v>
      </c>
      <c r="K121" s="94">
        <v>1</v>
      </c>
      <c r="L121" s="207">
        <f t="shared" si="60"/>
        <v>1</v>
      </c>
      <c r="M121" s="80">
        <v>0.5</v>
      </c>
      <c r="N121" s="81">
        <v>1</v>
      </c>
      <c r="O121" s="78">
        <v>0.95</v>
      </c>
      <c r="P121" s="84">
        <v>0.5</v>
      </c>
      <c r="Q121" s="83">
        <v>1</v>
      </c>
      <c r="R121" s="81">
        <v>1</v>
      </c>
      <c r="S121" s="78">
        <v>1</v>
      </c>
      <c r="T121" s="82">
        <v>1</v>
      </c>
      <c r="U121" s="92">
        <v>1</v>
      </c>
      <c r="V121" s="93">
        <v>1</v>
      </c>
      <c r="W121" s="78">
        <v>1</v>
      </c>
      <c r="X121" s="94">
        <v>1</v>
      </c>
      <c r="Y121" s="205">
        <f t="shared" si="61"/>
        <v>0.89750000000000019</v>
      </c>
      <c r="Z121" s="92">
        <v>0.1</v>
      </c>
      <c r="AA121" s="93">
        <v>0.1</v>
      </c>
      <c r="AB121" s="78">
        <v>0.1</v>
      </c>
      <c r="AC121" s="94">
        <v>0.1</v>
      </c>
      <c r="AD121" s="207">
        <f t="shared" si="62"/>
        <v>0.10000000000000002</v>
      </c>
      <c r="AE121" s="92">
        <v>0.7</v>
      </c>
      <c r="AF121" s="93">
        <v>0.7</v>
      </c>
      <c r="AG121" s="78">
        <v>0.7</v>
      </c>
      <c r="AH121" s="94">
        <v>0</v>
      </c>
      <c r="AI121" s="207">
        <f t="shared" si="68"/>
        <v>0.49</v>
      </c>
      <c r="AJ121" s="206">
        <v>0</v>
      </c>
      <c r="AK121" s="93">
        <v>1</v>
      </c>
      <c r="AL121" s="94"/>
      <c r="AM121" s="92">
        <v>0</v>
      </c>
      <c r="AN121" s="93">
        <v>0</v>
      </c>
      <c r="AO121" s="78">
        <v>0</v>
      </c>
      <c r="AP121" s="94">
        <v>0</v>
      </c>
      <c r="AQ121" s="205">
        <f t="shared" si="63"/>
        <v>0</v>
      </c>
      <c r="AR121" s="92">
        <v>0</v>
      </c>
      <c r="AS121" s="93">
        <v>0</v>
      </c>
      <c r="AT121" s="78">
        <v>0</v>
      </c>
      <c r="AU121" s="94">
        <v>0</v>
      </c>
      <c r="AV121" s="205">
        <f t="shared" si="64"/>
        <v>0</v>
      </c>
      <c r="AW121" s="92">
        <v>0</v>
      </c>
      <c r="AX121" s="93">
        <v>0</v>
      </c>
      <c r="AY121" s="94">
        <v>0</v>
      </c>
      <c r="AZ121" s="205">
        <f t="shared" si="65"/>
        <v>0</v>
      </c>
      <c r="BA121" s="92">
        <v>0</v>
      </c>
      <c r="BB121" s="78">
        <v>0</v>
      </c>
      <c r="BC121" s="94">
        <v>0</v>
      </c>
      <c r="BD121" s="207">
        <f t="shared" si="66"/>
        <v>0</v>
      </c>
      <c r="BE121" s="86"/>
      <c r="BF121" s="87" t="e">
        <f t="shared" si="67"/>
        <v>#DIV/0!</v>
      </c>
      <c r="BG121" s="99"/>
    </row>
    <row r="122" spans="2:59" ht="43.5" customHeight="1" x14ac:dyDescent="0.35">
      <c r="B122" s="76">
        <v>707</v>
      </c>
      <c r="C122" s="77">
        <v>1</v>
      </c>
      <c r="D122" s="78">
        <v>1</v>
      </c>
      <c r="E122" s="78">
        <v>1</v>
      </c>
      <c r="F122" s="199">
        <v>1</v>
      </c>
      <c r="G122" s="91">
        <f t="shared" si="59"/>
        <v>1</v>
      </c>
      <c r="H122" s="206">
        <v>1</v>
      </c>
      <c r="I122" s="93">
        <v>1</v>
      </c>
      <c r="J122" s="78">
        <v>1</v>
      </c>
      <c r="K122" s="94">
        <v>1</v>
      </c>
      <c r="L122" s="207">
        <f t="shared" si="60"/>
        <v>1</v>
      </c>
      <c r="M122" s="80">
        <v>1</v>
      </c>
      <c r="N122" s="81">
        <v>1</v>
      </c>
      <c r="O122" s="78">
        <v>0.95</v>
      </c>
      <c r="P122" s="84">
        <v>1</v>
      </c>
      <c r="Q122" s="83">
        <v>1</v>
      </c>
      <c r="R122" s="81">
        <v>1</v>
      </c>
      <c r="S122" s="78">
        <v>1</v>
      </c>
      <c r="T122" s="82">
        <v>1</v>
      </c>
      <c r="U122" s="92">
        <v>1</v>
      </c>
      <c r="V122" s="93">
        <v>1</v>
      </c>
      <c r="W122" s="78">
        <v>1</v>
      </c>
      <c r="X122" s="94">
        <v>1</v>
      </c>
      <c r="Y122" s="205">
        <f t="shared" si="61"/>
        <v>0.99750000000000005</v>
      </c>
      <c r="Z122" s="92">
        <v>0</v>
      </c>
      <c r="AA122" s="93">
        <v>0</v>
      </c>
      <c r="AB122" s="78">
        <v>0</v>
      </c>
      <c r="AC122" s="94">
        <v>0</v>
      </c>
      <c r="AD122" s="207">
        <f t="shared" si="62"/>
        <v>0</v>
      </c>
      <c r="AE122" s="92">
        <v>0.9</v>
      </c>
      <c r="AF122" s="93">
        <v>0.7</v>
      </c>
      <c r="AG122" s="78">
        <v>0.7</v>
      </c>
      <c r="AH122" s="94">
        <v>0.7</v>
      </c>
      <c r="AI122" s="207">
        <f t="shared" si="68"/>
        <v>0.71</v>
      </c>
      <c r="AJ122" s="206">
        <v>1</v>
      </c>
      <c r="AK122" s="93">
        <v>1</v>
      </c>
      <c r="AL122" s="94"/>
      <c r="AM122" s="92">
        <v>0</v>
      </c>
      <c r="AN122" s="93">
        <v>0</v>
      </c>
      <c r="AO122" s="78">
        <v>0</v>
      </c>
      <c r="AP122" s="94">
        <v>0</v>
      </c>
      <c r="AQ122" s="205">
        <f t="shared" si="63"/>
        <v>0</v>
      </c>
      <c r="AR122" s="92">
        <v>0</v>
      </c>
      <c r="AS122" s="93">
        <v>0</v>
      </c>
      <c r="AT122" s="78">
        <v>0</v>
      </c>
      <c r="AU122" s="94">
        <v>0</v>
      </c>
      <c r="AV122" s="205">
        <f t="shared" si="64"/>
        <v>0</v>
      </c>
      <c r="AW122" s="92">
        <v>0</v>
      </c>
      <c r="AX122" s="93">
        <v>0</v>
      </c>
      <c r="AY122" s="94">
        <v>0</v>
      </c>
      <c r="AZ122" s="205">
        <f t="shared" si="65"/>
        <v>0</v>
      </c>
      <c r="BA122" s="92">
        <v>0</v>
      </c>
      <c r="BB122" s="78">
        <v>0</v>
      </c>
      <c r="BC122" s="94">
        <v>0</v>
      </c>
      <c r="BD122" s="207">
        <f t="shared" si="66"/>
        <v>0</v>
      </c>
      <c r="BE122" s="86"/>
      <c r="BF122" s="87" t="e">
        <f t="shared" si="67"/>
        <v>#DIV/0!</v>
      </c>
      <c r="BG122" s="98"/>
    </row>
    <row r="123" spans="2:59" ht="43.5" customHeight="1" x14ac:dyDescent="0.35">
      <c r="B123" s="90">
        <v>708</v>
      </c>
      <c r="C123" s="77">
        <v>1</v>
      </c>
      <c r="D123" s="78">
        <v>1</v>
      </c>
      <c r="E123" s="78">
        <v>1</v>
      </c>
      <c r="F123" s="199">
        <v>1</v>
      </c>
      <c r="G123" s="91">
        <f t="shared" si="59"/>
        <v>1</v>
      </c>
      <c r="H123" s="206">
        <v>1</v>
      </c>
      <c r="I123" s="93">
        <v>1</v>
      </c>
      <c r="J123" s="78">
        <v>1</v>
      </c>
      <c r="K123" s="94">
        <v>1</v>
      </c>
      <c r="L123" s="207">
        <f t="shared" si="60"/>
        <v>1</v>
      </c>
      <c r="M123" s="80">
        <v>1</v>
      </c>
      <c r="N123" s="81">
        <v>1</v>
      </c>
      <c r="O123" s="78">
        <v>0.95</v>
      </c>
      <c r="P123" s="84">
        <v>1</v>
      </c>
      <c r="Q123" s="83">
        <v>1</v>
      </c>
      <c r="R123" s="81">
        <v>1</v>
      </c>
      <c r="S123" s="78">
        <v>1</v>
      </c>
      <c r="T123" s="82">
        <v>1</v>
      </c>
      <c r="U123" s="92">
        <v>1</v>
      </c>
      <c r="V123" s="93">
        <v>1</v>
      </c>
      <c r="W123" s="78">
        <v>1</v>
      </c>
      <c r="X123" s="94">
        <v>1</v>
      </c>
      <c r="Y123" s="205">
        <f t="shared" si="61"/>
        <v>0.99750000000000005</v>
      </c>
      <c r="Z123" s="92">
        <v>0</v>
      </c>
      <c r="AA123" s="93">
        <v>0.1</v>
      </c>
      <c r="AB123" s="78">
        <v>0.1</v>
      </c>
      <c r="AC123" s="94">
        <v>0.1</v>
      </c>
      <c r="AD123" s="207">
        <f t="shared" si="62"/>
        <v>5.5000000000000007E-2</v>
      </c>
      <c r="AE123" s="92">
        <v>1</v>
      </c>
      <c r="AF123" s="93">
        <v>1</v>
      </c>
      <c r="AG123" s="78">
        <v>1</v>
      </c>
      <c r="AH123" s="94">
        <v>0.7</v>
      </c>
      <c r="AI123" s="207">
        <f t="shared" si="68"/>
        <v>0.90999999999999992</v>
      </c>
      <c r="AJ123" s="206">
        <v>1</v>
      </c>
      <c r="AK123" s="93">
        <v>1</v>
      </c>
      <c r="AL123" s="94"/>
      <c r="AM123" s="92">
        <v>0</v>
      </c>
      <c r="AN123" s="93">
        <v>0</v>
      </c>
      <c r="AO123" s="78">
        <v>0</v>
      </c>
      <c r="AP123" s="94">
        <v>0</v>
      </c>
      <c r="AQ123" s="205">
        <f t="shared" si="63"/>
        <v>0</v>
      </c>
      <c r="AR123" s="92">
        <v>0</v>
      </c>
      <c r="AS123" s="93">
        <v>0</v>
      </c>
      <c r="AT123" s="78">
        <v>0</v>
      </c>
      <c r="AU123" s="94">
        <v>0</v>
      </c>
      <c r="AV123" s="205">
        <f t="shared" si="64"/>
        <v>0</v>
      </c>
      <c r="AW123" s="92">
        <v>0</v>
      </c>
      <c r="AX123" s="93">
        <v>0</v>
      </c>
      <c r="AY123" s="94">
        <v>0</v>
      </c>
      <c r="AZ123" s="205">
        <f t="shared" si="65"/>
        <v>0</v>
      </c>
      <c r="BA123" s="92">
        <v>0</v>
      </c>
      <c r="BB123" s="78">
        <v>0</v>
      </c>
      <c r="BC123" s="94">
        <v>0</v>
      </c>
      <c r="BD123" s="207">
        <f t="shared" si="66"/>
        <v>0</v>
      </c>
      <c r="BE123" s="86"/>
      <c r="BF123" s="87" t="e">
        <f t="shared" si="67"/>
        <v>#DIV/0!</v>
      </c>
      <c r="BG123" s="99"/>
    </row>
    <row r="124" spans="2:59" ht="43.5" customHeight="1" x14ac:dyDescent="0.3">
      <c r="B124" s="76">
        <v>709</v>
      </c>
      <c r="C124" s="77">
        <v>1</v>
      </c>
      <c r="D124" s="78">
        <v>1</v>
      </c>
      <c r="E124" s="78">
        <v>1</v>
      </c>
      <c r="F124" s="199">
        <v>1</v>
      </c>
      <c r="G124" s="91">
        <f t="shared" si="59"/>
        <v>1</v>
      </c>
      <c r="H124" s="206">
        <v>1</v>
      </c>
      <c r="I124" s="93">
        <v>1</v>
      </c>
      <c r="J124" s="78">
        <v>1</v>
      </c>
      <c r="K124" s="94">
        <v>1</v>
      </c>
      <c r="L124" s="207">
        <f t="shared" si="60"/>
        <v>1</v>
      </c>
      <c r="M124" s="80">
        <v>1</v>
      </c>
      <c r="N124" s="81">
        <v>1</v>
      </c>
      <c r="O124" s="78">
        <v>0.95</v>
      </c>
      <c r="P124" s="84">
        <v>1</v>
      </c>
      <c r="Q124" s="83">
        <v>1</v>
      </c>
      <c r="R124" s="81">
        <v>1</v>
      </c>
      <c r="S124" s="78">
        <v>1</v>
      </c>
      <c r="T124" s="82">
        <v>1</v>
      </c>
      <c r="U124" s="92">
        <v>1</v>
      </c>
      <c r="V124" s="93">
        <v>1</v>
      </c>
      <c r="W124" s="78">
        <v>1</v>
      </c>
      <c r="X124" s="94">
        <v>1</v>
      </c>
      <c r="Y124" s="205">
        <f t="shared" si="61"/>
        <v>0.99750000000000005</v>
      </c>
      <c r="Z124" s="92">
        <v>0</v>
      </c>
      <c r="AA124" s="93">
        <v>0</v>
      </c>
      <c r="AB124" s="78">
        <v>0</v>
      </c>
      <c r="AC124" s="94">
        <v>0</v>
      </c>
      <c r="AD124" s="207">
        <f t="shared" si="62"/>
        <v>0</v>
      </c>
      <c r="AE124" s="92">
        <v>1</v>
      </c>
      <c r="AF124" s="93">
        <v>0.7</v>
      </c>
      <c r="AG124" s="78">
        <v>0.7</v>
      </c>
      <c r="AH124" s="94">
        <v>0.7</v>
      </c>
      <c r="AI124" s="207">
        <f t="shared" si="68"/>
        <v>0.71499999999999997</v>
      </c>
      <c r="AJ124" s="206">
        <v>1</v>
      </c>
      <c r="AK124" s="93">
        <v>1</v>
      </c>
      <c r="AL124" s="94"/>
      <c r="AM124" s="92">
        <v>0</v>
      </c>
      <c r="AN124" s="93">
        <v>0</v>
      </c>
      <c r="AO124" s="78">
        <v>0</v>
      </c>
      <c r="AP124" s="94">
        <v>0</v>
      </c>
      <c r="AQ124" s="205">
        <f t="shared" si="63"/>
        <v>0</v>
      </c>
      <c r="AR124" s="92">
        <v>0</v>
      </c>
      <c r="AS124" s="93">
        <v>0</v>
      </c>
      <c r="AT124" s="78">
        <v>0</v>
      </c>
      <c r="AU124" s="94">
        <v>0</v>
      </c>
      <c r="AV124" s="205">
        <f t="shared" si="64"/>
        <v>0</v>
      </c>
      <c r="AW124" s="92">
        <v>0</v>
      </c>
      <c r="AX124" s="93">
        <v>0</v>
      </c>
      <c r="AY124" s="94">
        <v>0</v>
      </c>
      <c r="AZ124" s="205">
        <f t="shared" si="65"/>
        <v>0</v>
      </c>
      <c r="BA124" s="92">
        <v>0</v>
      </c>
      <c r="BB124" s="78">
        <v>0</v>
      </c>
      <c r="BC124" s="94">
        <v>0</v>
      </c>
      <c r="BD124" s="207">
        <f t="shared" si="66"/>
        <v>0</v>
      </c>
      <c r="BE124" s="86"/>
      <c r="BF124" s="87" t="e">
        <f t="shared" si="67"/>
        <v>#DIV/0!</v>
      </c>
      <c r="BG124" s="100"/>
    </row>
    <row r="125" spans="2:59" ht="43.5" customHeight="1" x14ac:dyDescent="0.35">
      <c r="B125" s="76">
        <v>710</v>
      </c>
      <c r="C125" s="77">
        <v>1</v>
      </c>
      <c r="D125" s="78">
        <v>1</v>
      </c>
      <c r="E125" s="78">
        <v>1</v>
      </c>
      <c r="F125" s="199">
        <v>1</v>
      </c>
      <c r="G125" s="91">
        <f t="shared" si="59"/>
        <v>1</v>
      </c>
      <c r="H125" s="206">
        <v>1</v>
      </c>
      <c r="I125" s="93">
        <v>1</v>
      </c>
      <c r="J125" s="78">
        <v>1</v>
      </c>
      <c r="K125" s="94">
        <v>1</v>
      </c>
      <c r="L125" s="207">
        <f t="shared" si="60"/>
        <v>1</v>
      </c>
      <c r="M125" s="80">
        <v>1</v>
      </c>
      <c r="N125" s="81">
        <v>1</v>
      </c>
      <c r="O125" s="78">
        <v>0.95</v>
      </c>
      <c r="P125" s="84">
        <v>1</v>
      </c>
      <c r="Q125" s="83">
        <v>1</v>
      </c>
      <c r="R125" s="81">
        <v>1</v>
      </c>
      <c r="S125" s="78">
        <v>1</v>
      </c>
      <c r="T125" s="82">
        <v>1</v>
      </c>
      <c r="U125" s="92">
        <v>1</v>
      </c>
      <c r="V125" s="93">
        <v>1</v>
      </c>
      <c r="W125" s="78">
        <v>1</v>
      </c>
      <c r="X125" s="94">
        <v>1</v>
      </c>
      <c r="Y125" s="205">
        <f t="shared" si="61"/>
        <v>0.99750000000000005</v>
      </c>
      <c r="Z125" s="92">
        <v>0</v>
      </c>
      <c r="AA125" s="93">
        <v>0</v>
      </c>
      <c r="AB125" s="78">
        <v>0</v>
      </c>
      <c r="AC125" s="94">
        <v>0</v>
      </c>
      <c r="AD125" s="207">
        <f t="shared" si="62"/>
        <v>0</v>
      </c>
      <c r="AE125" s="92">
        <v>0.9</v>
      </c>
      <c r="AF125" s="93">
        <v>1</v>
      </c>
      <c r="AG125" s="78">
        <v>1</v>
      </c>
      <c r="AH125" s="94">
        <v>1</v>
      </c>
      <c r="AI125" s="207">
        <f t="shared" si="68"/>
        <v>0.99499999999999988</v>
      </c>
      <c r="AJ125" s="206">
        <v>1</v>
      </c>
      <c r="AK125" s="93">
        <v>1</v>
      </c>
      <c r="AL125" s="94"/>
      <c r="AM125" s="92">
        <v>0</v>
      </c>
      <c r="AN125" s="93">
        <v>0</v>
      </c>
      <c r="AO125" s="78">
        <v>0</v>
      </c>
      <c r="AP125" s="94">
        <v>0</v>
      </c>
      <c r="AQ125" s="205">
        <f t="shared" si="63"/>
        <v>0</v>
      </c>
      <c r="AR125" s="92">
        <v>0</v>
      </c>
      <c r="AS125" s="93">
        <v>0</v>
      </c>
      <c r="AT125" s="78">
        <v>0</v>
      </c>
      <c r="AU125" s="94">
        <v>0</v>
      </c>
      <c r="AV125" s="205">
        <f t="shared" si="64"/>
        <v>0</v>
      </c>
      <c r="AW125" s="92">
        <v>0</v>
      </c>
      <c r="AX125" s="93">
        <v>0</v>
      </c>
      <c r="AY125" s="94">
        <v>0</v>
      </c>
      <c r="AZ125" s="205">
        <f t="shared" si="65"/>
        <v>0</v>
      </c>
      <c r="BA125" s="92">
        <v>0</v>
      </c>
      <c r="BB125" s="78">
        <v>0</v>
      </c>
      <c r="BC125" s="94">
        <v>0</v>
      </c>
      <c r="BD125" s="207">
        <f t="shared" si="66"/>
        <v>0</v>
      </c>
      <c r="BE125" s="86"/>
      <c r="BF125" s="87" t="e">
        <f t="shared" si="67"/>
        <v>#DIV/0!</v>
      </c>
      <c r="BG125" s="98"/>
    </row>
    <row r="126" spans="2:59" ht="43.5" customHeight="1" x14ac:dyDescent="0.3">
      <c r="B126" s="90">
        <v>711</v>
      </c>
      <c r="C126" s="77">
        <v>1</v>
      </c>
      <c r="D126" s="78">
        <v>1</v>
      </c>
      <c r="E126" s="78">
        <v>1</v>
      </c>
      <c r="F126" s="199">
        <v>1</v>
      </c>
      <c r="G126" s="91">
        <f t="shared" si="59"/>
        <v>1</v>
      </c>
      <c r="H126" s="206">
        <v>1</v>
      </c>
      <c r="I126" s="93">
        <v>1</v>
      </c>
      <c r="J126" s="78">
        <v>1</v>
      </c>
      <c r="K126" s="94">
        <v>1</v>
      </c>
      <c r="L126" s="207">
        <f t="shared" si="60"/>
        <v>1</v>
      </c>
      <c r="M126" s="80">
        <v>1</v>
      </c>
      <c r="N126" s="81">
        <v>1</v>
      </c>
      <c r="O126" s="78">
        <v>0.95</v>
      </c>
      <c r="P126" s="84">
        <v>1</v>
      </c>
      <c r="Q126" s="83">
        <v>1</v>
      </c>
      <c r="R126" s="81">
        <v>1</v>
      </c>
      <c r="S126" s="78">
        <v>1</v>
      </c>
      <c r="T126" s="82">
        <v>1</v>
      </c>
      <c r="U126" s="92">
        <v>1</v>
      </c>
      <c r="V126" s="93">
        <v>1</v>
      </c>
      <c r="W126" s="78">
        <v>1</v>
      </c>
      <c r="X126" s="94">
        <v>1</v>
      </c>
      <c r="Y126" s="205">
        <f t="shared" si="61"/>
        <v>0.99750000000000005</v>
      </c>
      <c r="Z126" s="92">
        <v>0</v>
      </c>
      <c r="AA126" s="93">
        <v>0</v>
      </c>
      <c r="AB126" s="78">
        <v>0</v>
      </c>
      <c r="AC126" s="94">
        <v>0</v>
      </c>
      <c r="AD126" s="207">
        <f t="shared" si="62"/>
        <v>0</v>
      </c>
      <c r="AE126" s="92">
        <v>0.9</v>
      </c>
      <c r="AF126" s="93">
        <v>0</v>
      </c>
      <c r="AG126" s="78">
        <v>0.7</v>
      </c>
      <c r="AH126" s="94">
        <v>0</v>
      </c>
      <c r="AI126" s="207">
        <f t="shared" si="68"/>
        <v>0.28999999999999998</v>
      </c>
      <c r="AJ126" s="206">
        <v>1</v>
      </c>
      <c r="AK126" s="93">
        <v>1</v>
      </c>
      <c r="AL126" s="94"/>
      <c r="AM126" s="92">
        <v>0</v>
      </c>
      <c r="AN126" s="93">
        <v>0</v>
      </c>
      <c r="AO126" s="78">
        <v>0</v>
      </c>
      <c r="AP126" s="94">
        <v>0</v>
      </c>
      <c r="AQ126" s="205">
        <f t="shared" si="63"/>
        <v>0</v>
      </c>
      <c r="AR126" s="92">
        <v>0</v>
      </c>
      <c r="AS126" s="93">
        <v>0</v>
      </c>
      <c r="AT126" s="78">
        <v>0</v>
      </c>
      <c r="AU126" s="94">
        <v>0</v>
      </c>
      <c r="AV126" s="205">
        <f t="shared" si="64"/>
        <v>0</v>
      </c>
      <c r="AW126" s="92">
        <v>0</v>
      </c>
      <c r="AX126" s="93">
        <v>0</v>
      </c>
      <c r="AY126" s="94">
        <v>0</v>
      </c>
      <c r="AZ126" s="205">
        <f t="shared" si="65"/>
        <v>0</v>
      </c>
      <c r="BA126" s="92">
        <v>0</v>
      </c>
      <c r="BB126" s="78">
        <v>0</v>
      </c>
      <c r="BC126" s="94">
        <v>0</v>
      </c>
      <c r="BD126" s="207">
        <f t="shared" si="66"/>
        <v>0</v>
      </c>
      <c r="BE126" s="86"/>
      <c r="BF126" s="87" t="e">
        <f t="shared" si="67"/>
        <v>#DIV/0!</v>
      </c>
      <c r="BG126" s="97"/>
    </row>
    <row r="127" spans="2:59" ht="43.5" customHeight="1" x14ac:dyDescent="0.3">
      <c r="B127" s="76">
        <v>712</v>
      </c>
      <c r="C127" s="77">
        <v>1</v>
      </c>
      <c r="D127" s="78">
        <v>1</v>
      </c>
      <c r="E127" s="78">
        <v>1</v>
      </c>
      <c r="F127" s="199">
        <v>1</v>
      </c>
      <c r="G127" s="91">
        <f t="shared" si="59"/>
        <v>1</v>
      </c>
      <c r="H127" s="206">
        <v>1</v>
      </c>
      <c r="I127" s="93">
        <v>1</v>
      </c>
      <c r="J127" s="78">
        <v>1</v>
      </c>
      <c r="K127" s="94">
        <v>1</v>
      </c>
      <c r="L127" s="207">
        <f t="shared" si="60"/>
        <v>1</v>
      </c>
      <c r="M127" s="80">
        <v>1</v>
      </c>
      <c r="N127" s="81">
        <v>1</v>
      </c>
      <c r="O127" s="78">
        <v>0.95</v>
      </c>
      <c r="P127" s="84">
        <v>1</v>
      </c>
      <c r="Q127" s="83">
        <v>1</v>
      </c>
      <c r="R127" s="81">
        <v>1</v>
      </c>
      <c r="S127" s="78">
        <v>1</v>
      </c>
      <c r="T127" s="82">
        <v>1</v>
      </c>
      <c r="U127" s="92">
        <v>1</v>
      </c>
      <c r="V127" s="93">
        <v>1</v>
      </c>
      <c r="W127" s="78">
        <v>1</v>
      </c>
      <c r="X127" s="94">
        <v>1</v>
      </c>
      <c r="Y127" s="205">
        <f t="shared" si="61"/>
        <v>0.99750000000000005</v>
      </c>
      <c r="Z127" s="92">
        <v>0</v>
      </c>
      <c r="AA127" s="93">
        <v>0</v>
      </c>
      <c r="AB127" s="78">
        <v>0</v>
      </c>
      <c r="AC127" s="94">
        <v>0</v>
      </c>
      <c r="AD127" s="207">
        <f t="shared" si="62"/>
        <v>0</v>
      </c>
      <c r="AE127" s="92">
        <v>0.9</v>
      </c>
      <c r="AF127" s="93">
        <v>1</v>
      </c>
      <c r="AG127" s="78">
        <v>0.7</v>
      </c>
      <c r="AH127" s="94">
        <v>1</v>
      </c>
      <c r="AI127" s="207">
        <f t="shared" si="68"/>
        <v>0.8899999999999999</v>
      </c>
      <c r="AJ127" s="206">
        <v>1</v>
      </c>
      <c r="AK127" s="93">
        <v>1</v>
      </c>
      <c r="AL127" s="94"/>
      <c r="AM127" s="92">
        <v>0</v>
      </c>
      <c r="AN127" s="93">
        <v>0</v>
      </c>
      <c r="AO127" s="78">
        <v>0</v>
      </c>
      <c r="AP127" s="94">
        <v>0</v>
      </c>
      <c r="AQ127" s="205">
        <f t="shared" si="63"/>
        <v>0</v>
      </c>
      <c r="AR127" s="92">
        <v>0</v>
      </c>
      <c r="AS127" s="93">
        <v>0</v>
      </c>
      <c r="AT127" s="78">
        <v>0</v>
      </c>
      <c r="AU127" s="94">
        <v>0</v>
      </c>
      <c r="AV127" s="205">
        <f t="shared" si="64"/>
        <v>0</v>
      </c>
      <c r="AW127" s="92">
        <v>0</v>
      </c>
      <c r="AX127" s="93">
        <v>0</v>
      </c>
      <c r="AY127" s="94">
        <v>0</v>
      </c>
      <c r="AZ127" s="205">
        <f t="shared" si="65"/>
        <v>0</v>
      </c>
      <c r="BA127" s="92">
        <v>0</v>
      </c>
      <c r="BB127" s="78">
        <v>0</v>
      </c>
      <c r="BC127" s="94">
        <v>0</v>
      </c>
      <c r="BD127" s="207">
        <f t="shared" si="66"/>
        <v>0</v>
      </c>
      <c r="BE127" s="86"/>
      <c r="BF127" s="87" t="e">
        <f t="shared" si="67"/>
        <v>#DIV/0!</v>
      </c>
      <c r="BG127" s="97"/>
    </row>
    <row r="128" spans="2:59" ht="43.5" customHeight="1" x14ac:dyDescent="0.3">
      <c r="B128" s="76">
        <v>713</v>
      </c>
      <c r="C128" s="77">
        <v>1</v>
      </c>
      <c r="D128" s="78">
        <v>1</v>
      </c>
      <c r="E128" s="78">
        <v>1</v>
      </c>
      <c r="F128" s="199">
        <v>1</v>
      </c>
      <c r="G128" s="91">
        <f t="shared" si="59"/>
        <v>1</v>
      </c>
      <c r="H128" s="206">
        <v>1</v>
      </c>
      <c r="I128" s="93">
        <v>1</v>
      </c>
      <c r="J128" s="78">
        <v>1</v>
      </c>
      <c r="K128" s="94">
        <v>1</v>
      </c>
      <c r="L128" s="207">
        <f t="shared" si="60"/>
        <v>1</v>
      </c>
      <c r="M128" s="80">
        <v>1</v>
      </c>
      <c r="N128" s="81">
        <v>1</v>
      </c>
      <c r="O128" s="78">
        <v>0.95</v>
      </c>
      <c r="P128" s="84">
        <v>1</v>
      </c>
      <c r="Q128" s="83">
        <v>1</v>
      </c>
      <c r="R128" s="81">
        <v>1</v>
      </c>
      <c r="S128" s="78">
        <v>1</v>
      </c>
      <c r="T128" s="82">
        <v>1</v>
      </c>
      <c r="U128" s="92">
        <v>1</v>
      </c>
      <c r="V128" s="93">
        <v>1</v>
      </c>
      <c r="W128" s="78">
        <v>1</v>
      </c>
      <c r="X128" s="94">
        <v>1</v>
      </c>
      <c r="Y128" s="205">
        <f t="shared" si="61"/>
        <v>0.99750000000000005</v>
      </c>
      <c r="Z128" s="92">
        <v>0</v>
      </c>
      <c r="AA128" s="93">
        <v>0</v>
      </c>
      <c r="AB128" s="78">
        <v>0</v>
      </c>
      <c r="AC128" s="94">
        <v>0</v>
      </c>
      <c r="AD128" s="207">
        <f t="shared" si="62"/>
        <v>0</v>
      </c>
      <c r="AE128" s="92">
        <v>0.7</v>
      </c>
      <c r="AF128" s="93">
        <v>0</v>
      </c>
      <c r="AG128" s="78">
        <v>0</v>
      </c>
      <c r="AH128" s="94">
        <v>0</v>
      </c>
      <c r="AI128" s="207">
        <f t="shared" si="68"/>
        <v>3.4999999999999996E-2</v>
      </c>
      <c r="AJ128" s="206">
        <v>1</v>
      </c>
      <c r="AK128" s="93">
        <v>1</v>
      </c>
      <c r="AL128" s="94"/>
      <c r="AM128" s="92">
        <v>0</v>
      </c>
      <c r="AN128" s="93">
        <v>0</v>
      </c>
      <c r="AO128" s="78">
        <v>0</v>
      </c>
      <c r="AP128" s="94">
        <v>0</v>
      </c>
      <c r="AQ128" s="205">
        <f t="shared" si="63"/>
        <v>0</v>
      </c>
      <c r="AR128" s="92">
        <v>0</v>
      </c>
      <c r="AS128" s="93">
        <v>0</v>
      </c>
      <c r="AT128" s="78">
        <v>0</v>
      </c>
      <c r="AU128" s="94">
        <v>0</v>
      </c>
      <c r="AV128" s="205">
        <f t="shared" si="64"/>
        <v>0</v>
      </c>
      <c r="AW128" s="92">
        <v>0</v>
      </c>
      <c r="AX128" s="93">
        <v>0</v>
      </c>
      <c r="AY128" s="94">
        <v>0</v>
      </c>
      <c r="AZ128" s="205">
        <f t="shared" si="65"/>
        <v>0</v>
      </c>
      <c r="BA128" s="92">
        <v>0</v>
      </c>
      <c r="BB128" s="78">
        <v>0</v>
      </c>
      <c r="BC128" s="94">
        <v>0</v>
      </c>
      <c r="BD128" s="207">
        <f t="shared" si="66"/>
        <v>0</v>
      </c>
      <c r="BE128" s="86"/>
      <c r="BF128" s="87" t="e">
        <f t="shared" si="67"/>
        <v>#DIV/0!</v>
      </c>
      <c r="BG128" s="100"/>
    </row>
    <row r="129" spans="2:59" ht="43.5" customHeight="1" x14ac:dyDescent="0.35">
      <c r="B129" s="90">
        <v>714</v>
      </c>
      <c r="C129" s="77">
        <v>1</v>
      </c>
      <c r="D129" s="78">
        <v>1</v>
      </c>
      <c r="E129" s="78">
        <v>1</v>
      </c>
      <c r="F129" s="199">
        <v>1</v>
      </c>
      <c r="G129" s="91">
        <f t="shared" si="59"/>
        <v>1</v>
      </c>
      <c r="H129" s="206">
        <v>1</v>
      </c>
      <c r="I129" s="93">
        <v>1</v>
      </c>
      <c r="J129" s="78">
        <v>1</v>
      </c>
      <c r="K129" s="94">
        <v>1</v>
      </c>
      <c r="L129" s="207">
        <f t="shared" si="60"/>
        <v>1</v>
      </c>
      <c r="M129" s="80">
        <v>1</v>
      </c>
      <c r="N129" s="81">
        <v>1</v>
      </c>
      <c r="O129" s="78">
        <v>0.95</v>
      </c>
      <c r="P129" s="84">
        <v>1</v>
      </c>
      <c r="Q129" s="83">
        <v>1</v>
      </c>
      <c r="R129" s="81">
        <v>1</v>
      </c>
      <c r="S129" s="78">
        <v>1</v>
      </c>
      <c r="T129" s="82">
        <v>1</v>
      </c>
      <c r="U129" s="92">
        <v>1</v>
      </c>
      <c r="V129" s="93">
        <v>1</v>
      </c>
      <c r="W129" s="78">
        <v>1</v>
      </c>
      <c r="X129" s="94">
        <v>1</v>
      </c>
      <c r="Y129" s="205">
        <f t="shared" si="61"/>
        <v>0.99750000000000005</v>
      </c>
      <c r="Z129" s="92">
        <v>0</v>
      </c>
      <c r="AA129" s="93">
        <v>0</v>
      </c>
      <c r="AB129" s="78">
        <v>0</v>
      </c>
      <c r="AC129" s="94">
        <v>0</v>
      </c>
      <c r="AD129" s="207">
        <f t="shared" si="62"/>
        <v>0</v>
      </c>
      <c r="AE129" s="92">
        <v>0.8</v>
      </c>
      <c r="AF129" s="93">
        <v>1</v>
      </c>
      <c r="AG129" s="78">
        <v>1</v>
      </c>
      <c r="AH129" s="94">
        <v>1</v>
      </c>
      <c r="AI129" s="207">
        <f t="shared" si="68"/>
        <v>0.99</v>
      </c>
      <c r="AJ129" s="206">
        <v>1</v>
      </c>
      <c r="AK129" s="93">
        <v>1</v>
      </c>
      <c r="AL129" s="94"/>
      <c r="AM129" s="92">
        <v>0</v>
      </c>
      <c r="AN129" s="93">
        <v>0</v>
      </c>
      <c r="AO129" s="78">
        <v>0</v>
      </c>
      <c r="AP129" s="94">
        <v>0</v>
      </c>
      <c r="AQ129" s="205">
        <f t="shared" si="63"/>
        <v>0</v>
      </c>
      <c r="AR129" s="92">
        <v>0</v>
      </c>
      <c r="AS129" s="93">
        <v>0</v>
      </c>
      <c r="AT129" s="78">
        <v>0</v>
      </c>
      <c r="AU129" s="94">
        <v>0</v>
      </c>
      <c r="AV129" s="205">
        <f t="shared" si="64"/>
        <v>0</v>
      </c>
      <c r="AW129" s="92">
        <v>0</v>
      </c>
      <c r="AX129" s="93">
        <v>0</v>
      </c>
      <c r="AY129" s="94">
        <v>0</v>
      </c>
      <c r="AZ129" s="205">
        <f t="shared" si="65"/>
        <v>0</v>
      </c>
      <c r="BA129" s="92">
        <v>0</v>
      </c>
      <c r="BB129" s="78">
        <v>0</v>
      </c>
      <c r="BC129" s="94">
        <v>0</v>
      </c>
      <c r="BD129" s="207">
        <f t="shared" si="66"/>
        <v>0</v>
      </c>
      <c r="BE129" s="86"/>
      <c r="BF129" s="87" t="e">
        <f t="shared" si="67"/>
        <v>#DIV/0!</v>
      </c>
      <c r="BG129" s="98"/>
    </row>
    <row r="130" spans="2:59" ht="43.5" customHeight="1" x14ac:dyDescent="0.35">
      <c r="B130" s="76">
        <v>715</v>
      </c>
      <c r="C130" s="77">
        <v>1</v>
      </c>
      <c r="D130" s="78">
        <v>1</v>
      </c>
      <c r="E130" s="78">
        <v>1</v>
      </c>
      <c r="F130" s="199">
        <v>1</v>
      </c>
      <c r="G130" s="91">
        <f t="shared" si="59"/>
        <v>1</v>
      </c>
      <c r="H130" s="206">
        <v>1</v>
      </c>
      <c r="I130" s="93">
        <v>1</v>
      </c>
      <c r="J130" s="78">
        <v>1</v>
      </c>
      <c r="K130" s="94">
        <v>1</v>
      </c>
      <c r="L130" s="207">
        <f t="shared" si="60"/>
        <v>1</v>
      </c>
      <c r="M130" s="80">
        <v>1</v>
      </c>
      <c r="N130" s="81">
        <v>1</v>
      </c>
      <c r="O130" s="78">
        <v>0.95</v>
      </c>
      <c r="P130" s="84">
        <v>1</v>
      </c>
      <c r="Q130" s="83">
        <v>1</v>
      </c>
      <c r="R130" s="81">
        <v>1</v>
      </c>
      <c r="S130" s="78">
        <v>1</v>
      </c>
      <c r="T130" s="82">
        <v>1</v>
      </c>
      <c r="U130" s="92">
        <v>1</v>
      </c>
      <c r="V130" s="93">
        <v>1</v>
      </c>
      <c r="W130" s="78">
        <v>1</v>
      </c>
      <c r="X130" s="94">
        <v>1</v>
      </c>
      <c r="Y130" s="205">
        <f t="shared" si="61"/>
        <v>0.99750000000000005</v>
      </c>
      <c r="Z130" s="92">
        <v>0</v>
      </c>
      <c r="AA130" s="93">
        <v>0</v>
      </c>
      <c r="AB130" s="78">
        <v>0</v>
      </c>
      <c r="AC130" s="94">
        <v>0</v>
      </c>
      <c r="AD130" s="207">
        <f t="shared" si="62"/>
        <v>0</v>
      </c>
      <c r="AE130" s="92">
        <v>0.7</v>
      </c>
      <c r="AF130" s="93">
        <v>0</v>
      </c>
      <c r="AG130" s="78">
        <v>0</v>
      </c>
      <c r="AH130" s="94">
        <v>0</v>
      </c>
      <c r="AI130" s="207">
        <f t="shared" si="68"/>
        <v>3.4999999999999996E-2</v>
      </c>
      <c r="AJ130" s="206">
        <v>1</v>
      </c>
      <c r="AK130" s="93">
        <v>1</v>
      </c>
      <c r="AL130" s="94"/>
      <c r="AM130" s="92">
        <v>0</v>
      </c>
      <c r="AN130" s="93">
        <v>0</v>
      </c>
      <c r="AO130" s="78">
        <v>0</v>
      </c>
      <c r="AP130" s="94">
        <v>0</v>
      </c>
      <c r="AQ130" s="205">
        <f t="shared" si="63"/>
        <v>0</v>
      </c>
      <c r="AR130" s="92">
        <v>0</v>
      </c>
      <c r="AS130" s="93">
        <v>0</v>
      </c>
      <c r="AT130" s="78">
        <v>0</v>
      </c>
      <c r="AU130" s="94">
        <v>0</v>
      </c>
      <c r="AV130" s="205">
        <f t="shared" si="64"/>
        <v>0</v>
      </c>
      <c r="AW130" s="92">
        <v>0</v>
      </c>
      <c r="AX130" s="93">
        <v>0</v>
      </c>
      <c r="AY130" s="94">
        <v>0</v>
      </c>
      <c r="AZ130" s="205">
        <f t="shared" si="65"/>
        <v>0</v>
      </c>
      <c r="BA130" s="92">
        <v>0</v>
      </c>
      <c r="BB130" s="78">
        <v>0</v>
      </c>
      <c r="BC130" s="94">
        <v>0</v>
      </c>
      <c r="BD130" s="207">
        <f t="shared" si="66"/>
        <v>0</v>
      </c>
      <c r="BE130" s="86"/>
      <c r="BF130" s="87" t="e">
        <f t="shared" si="67"/>
        <v>#DIV/0!</v>
      </c>
      <c r="BG130" s="98"/>
    </row>
    <row r="131" spans="2:59" ht="43.5" customHeight="1" thickBot="1" x14ac:dyDescent="0.4">
      <c r="B131" s="101">
        <v>716</v>
      </c>
      <c r="C131" s="77">
        <v>1</v>
      </c>
      <c r="D131" s="78">
        <v>1</v>
      </c>
      <c r="E131" s="78">
        <v>1</v>
      </c>
      <c r="F131" s="199">
        <v>1</v>
      </c>
      <c r="G131" s="102">
        <f t="shared" si="59"/>
        <v>1</v>
      </c>
      <c r="H131" s="208">
        <v>1</v>
      </c>
      <c r="I131" s="110">
        <v>1</v>
      </c>
      <c r="J131" s="105">
        <v>1</v>
      </c>
      <c r="K131" s="111">
        <v>1</v>
      </c>
      <c r="L131" s="209">
        <f t="shared" si="60"/>
        <v>1</v>
      </c>
      <c r="M131" s="107">
        <v>1</v>
      </c>
      <c r="N131" s="104">
        <v>1</v>
      </c>
      <c r="O131" s="105">
        <v>0.95</v>
      </c>
      <c r="P131" s="106">
        <v>1</v>
      </c>
      <c r="Q131" s="103">
        <v>1</v>
      </c>
      <c r="R131" s="104">
        <v>1</v>
      </c>
      <c r="S131" s="105">
        <v>1</v>
      </c>
      <c r="T131" s="108">
        <v>1</v>
      </c>
      <c r="U131" s="109">
        <v>1</v>
      </c>
      <c r="V131" s="110">
        <v>1</v>
      </c>
      <c r="W131" s="105">
        <v>1</v>
      </c>
      <c r="X131" s="111">
        <v>1</v>
      </c>
      <c r="Y131" s="210">
        <f t="shared" si="61"/>
        <v>0.99750000000000005</v>
      </c>
      <c r="Z131" s="109">
        <v>0</v>
      </c>
      <c r="AA131" s="110">
        <v>0</v>
      </c>
      <c r="AB131" s="105">
        <v>0</v>
      </c>
      <c r="AC131" s="111">
        <v>0</v>
      </c>
      <c r="AD131" s="209">
        <f t="shared" si="62"/>
        <v>0</v>
      </c>
      <c r="AE131" s="109">
        <v>0.7</v>
      </c>
      <c r="AF131" s="110">
        <v>0</v>
      </c>
      <c r="AG131" s="105">
        <v>0.5</v>
      </c>
      <c r="AH131" s="111">
        <v>1</v>
      </c>
      <c r="AI131" s="209">
        <f t="shared" si="68"/>
        <v>0.51</v>
      </c>
      <c r="AJ131" s="208">
        <v>0.9</v>
      </c>
      <c r="AK131" s="110">
        <v>1</v>
      </c>
      <c r="AL131" s="111"/>
      <c r="AM131" s="109">
        <v>0</v>
      </c>
      <c r="AN131" s="110">
        <v>0</v>
      </c>
      <c r="AO131" s="105">
        <v>0</v>
      </c>
      <c r="AP131" s="111">
        <v>0</v>
      </c>
      <c r="AQ131" s="210">
        <f t="shared" si="63"/>
        <v>0</v>
      </c>
      <c r="AR131" s="109">
        <v>0</v>
      </c>
      <c r="AS131" s="110">
        <v>0</v>
      </c>
      <c r="AT131" s="105">
        <v>0</v>
      </c>
      <c r="AU131" s="111">
        <v>0</v>
      </c>
      <c r="AV131" s="210">
        <f t="shared" si="64"/>
        <v>0</v>
      </c>
      <c r="AW131" s="109">
        <v>0</v>
      </c>
      <c r="AX131" s="110">
        <v>0</v>
      </c>
      <c r="AY131" s="111">
        <v>0</v>
      </c>
      <c r="AZ131" s="210">
        <f t="shared" si="65"/>
        <v>0</v>
      </c>
      <c r="BA131" s="109">
        <v>0</v>
      </c>
      <c r="BB131" s="105">
        <v>0</v>
      </c>
      <c r="BC131" s="111">
        <v>0</v>
      </c>
      <c r="BD131" s="209">
        <f t="shared" si="66"/>
        <v>0</v>
      </c>
      <c r="BE131" s="127"/>
      <c r="BF131" s="87" t="e">
        <f t="shared" si="67"/>
        <v>#DIV/0!</v>
      </c>
      <c r="BG131" s="112"/>
    </row>
    <row r="132" spans="2:59" ht="43.5" customHeight="1" thickBot="1" x14ac:dyDescent="0.35">
      <c r="B132" s="256" t="s">
        <v>99</v>
      </c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  <c r="AA132" s="257"/>
      <c r="AB132" s="257"/>
      <c r="AC132" s="257"/>
      <c r="AD132" s="257"/>
      <c r="AE132" s="257"/>
      <c r="AF132" s="257"/>
      <c r="AG132" s="257"/>
      <c r="AH132" s="257"/>
      <c r="AI132" s="257"/>
      <c r="AJ132" s="257"/>
      <c r="AK132" s="257"/>
      <c r="AL132" s="257"/>
      <c r="AM132" s="257"/>
      <c r="AN132" s="257"/>
      <c r="AO132" s="257"/>
      <c r="AP132" s="257"/>
      <c r="AQ132" s="257"/>
      <c r="AR132" s="257"/>
      <c r="AS132" s="257"/>
      <c r="AT132" s="257"/>
      <c r="AU132" s="257"/>
      <c r="AV132" s="257"/>
      <c r="AW132" s="257"/>
      <c r="AX132" s="257"/>
      <c r="AY132" s="257"/>
      <c r="AZ132" s="257"/>
      <c r="BA132" s="257"/>
      <c r="BB132" s="257"/>
      <c r="BC132" s="257"/>
      <c r="BD132" s="257"/>
      <c r="BE132" s="257"/>
      <c r="BF132" s="257"/>
      <c r="BG132" s="258"/>
    </row>
    <row r="133" spans="2:59" ht="43.5" customHeight="1" x14ac:dyDescent="0.3">
      <c r="B133" s="76">
        <v>801</v>
      </c>
      <c r="C133" s="77">
        <v>1</v>
      </c>
      <c r="D133" s="78">
        <v>1</v>
      </c>
      <c r="E133" s="78">
        <v>1</v>
      </c>
      <c r="F133" s="199">
        <v>1</v>
      </c>
      <c r="G133" s="85">
        <f t="shared" ref="G133:G148" si="69" xml:space="preserve"> C133*45% + D133*45% + E133*5% + F133*5%</f>
        <v>1</v>
      </c>
      <c r="H133" s="200">
        <v>1</v>
      </c>
      <c r="I133" s="201">
        <v>1</v>
      </c>
      <c r="J133" s="202">
        <v>1</v>
      </c>
      <c r="K133" s="203">
        <v>1</v>
      </c>
      <c r="L133" s="85">
        <f t="shared" ref="L133:L148" si="70" xml:space="preserve"> H133*30% + I133*30% + J133*10% + K133*30%</f>
        <v>1</v>
      </c>
      <c r="M133" s="80">
        <v>1</v>
      </c>
      <c r="N133" s="81">
        <v>1</v>
      </c>
      <c r="O133" s="78">
        <v>0.95</v>
      </c>
      <c r="P133" s="84">
        <v>1</v>
      </c>
      <c r="Q133" s="83">
        <v>1</v>
      </c>
      <c r="R133" s="81">
        <v>1</v>
      </c>
      <c r="S133" s="78">
        <v>1</v>
      </c>
      <c r="T133" s="82">
        <v>1</v>
      </c>
      <c r="U133" s="140">
        <v>1</v>
      </c>
      <c r="V133" s="201">
        <v>1</v>
      </c>
      <c r="W133" s="202">
        <v>1</v>
      </c>
      <c r="X133" s="203">
        <v>1</v>
      </c>
      <c r="Y133" s="204">
        <f t="shared" ref="Y133:Y148" si="71" xml:space="preserve"> (U133*10% + V133*10% + W133*10% + X133*10%+ Q133*5% + R133*5% + S133*5% + T133*5%+M133*10% + N133*15% + O133*5% + P133*10%)</f>
        <v>0.99750000000000005</v>
      </c>
      <c r="Z133" s="140">
        <v>0</v>
      </c>
      <c r="AA133" s="201">
        <v>0</v>
      </c>
      <c r="AB133" s="202">
        <v>0</v>
      </c>
      <c r="AC133" s="203">
        <v>0</v>
      </c>
      <c r="AD133" s="85">
        <f t="shared" ref="AD133:AD148" si="72" xml:space="preserve"> Z133*45% + AA133*45% + AB133*5% + AC133*5%</f>
        <v>0</v>
      </c>
      <c r="AE133" s="140">
        <v>0.9</v>
      </c>
      <c r="AF133" s="201">
        <v>0</v>
      </c>
      <c r="AG133" s="202">
        <v>0.7</v>
      </c>
      <c r="AH133" s="203">
        <v>0</v>
      </c>
      <c r="AI133" s="85">
        <f xml:space="preserve"> AE133*5% + AF133*30% + AG133*35% + AH133*30%</f>
        <v>0.28999999999999998</v>
      </c>
      <c r="AJ133" s="80">
        <v>1</v>
      </c>
      <c r="AK133" s="81">
        <v>1</v>
      </c>
      <c r="AL133" s="82">
        <v>0</v>
      </c>
      <c r="AM133" s="92">
        <v>0</v>
      </c>
      <c r="AN133" s="93">
        <v>0</v>
      </c>
      <c r="AO133" s="78">
        <v>0</v>
      </c>
      <c r="AP133" s="94">
        <v>0</v>
      </c>
      <c r="AQ133" s="205">
        <f t="shared" ref="AQ133:AQ148" si="73" xml:space="preserve"> AM133*15% + AN133*35% + AO133*15% + AP133*35%</f>
        <v>0</v>
      </c>
      <c r="AR133" s="140">
        <v>0</v>
      </c>
      <c r="AS133" s="201">
        <v>0</v>
      </c>
      <c r="AT133" s="202">
        <v>0</v>
      </c>
      <c r="AU133" s="203">
        <v>0</v>
      </c>
      <c r="AV133" s="204">
        <f t="shared" ref="AV133:AV148" si="74" xml:space="preserve"> AR133*30% + AS133*30% + AT133*15% + AU133*25%</f>
        <v>0</v>
      </c>
      <c r="AW133" s="140">
        <v>0</v>
      </c>
      <c r="AX133" s="201">
        <v>0</v>
      </c>
      <c r="AY133" s="203">
        <v>0</v>
      </c>
      <c r="AZ133" s="204">
        <f t="shared" ref="AZ133:AZ148" si="75" xml:space="preserve">  AW133*30% + AX133*45% + AY133*25%</f>
        <v>0</v>
      </c>
      <c r="BA133" s="140">
        <v>0</v>
      </c>
      <c r="BB133" s="202">
        <v>0</v>
      </c>
      <c r="BC133" s="203">
        <v>0</v>
      </c>
      <c r="BD133" s="85">
        <f t="shared" ref="BD133:BD148" si="76" xml:space="preserve">  BA133*30% + BB133*45% + BC133*25%</f>
        <v>0</v>
      </c>
      <c r="BE133" s="86"/>
      <c r="BF133" s="87" t="e">
        <f t="shared" ref="BF133:BF148" si="77">(
(COUNTIF(B133:E133,"✓")/(COUNTIF(B133:E133,"✓")+COUNTIF(B133:E133,"x")))*0.2 +
(COUNTIF(F133:J133,"✓")/(COUNTIF(F133:J133,"✓")+COUNTIF(F133:J133,"x")))*0.1 +
(COUNTIF(K133:O133,"✓")/(COUNTIF(K133:O133,"✓")+COUNTIF(K133:O133,"x")))*0.1 +
(COUNTIF(P133:S133,"✓")/(COUNTIF(P133:S133,"✓")+COUNTIF(P133:S133,"x")))*0.1 +
(COUNTIF(T133:W133,"✓")/(COUNTIF(T133:W133,"✓")+COUNTIF(T133:W133,"x")))*0.1 +
(COUNTIF(X133:AB133,"✓")/(COUNTIF(X133:AB133,"✓")+COUNTIF(X133:AB133,"x")))*0.1 +
(COUNTIF(AC133:AO133,"✓")/(COUNTIF(AC133:AO133,"✓")+COUNTIF(AC133:AO133,"x")))*0.1 +
(COUNTIF(AP133:AT133,"✓")/(COUNTIF(AP133:AT133,"✓")+COUNTIF(AP133:AT133,"x")))*0.05 +
(COUNTIF(AU133:BB133,"✓")/(COUNTIF(AU133:BB133,"✓")+COUNTIF(AU133:BB133,"x")))*0.1 +
(COUNTIF(BC133:BC133,"✓")/(COUNTIF(BC133:BC133,"✓")+COUNTIF(BC133:BC133,"x")))*0.05
)</f>
        <v>#DIV/0!</v>
      </c>
      <c r="BG133" s="88"/>
    </row>
    <row r="134" spans="2:59" ht="43.5" customHeight="1" x14ac:dyDescent="0.3">
      <c r="B134" s="90">
        <v>802</v>
      </c>
      <c r="C134" s="77">
        <v>1</v>
      </c>
      <c r="D134" s="78">
        <v>1</v>
      </c>
      <c r="E134" s="78">
        <v>1</v>
      </c>
      <c r="F134" s="199">
        <v>1</v>
      </c>
      <c r="G134" s="91">
        <f t="shared" si="69"/>
        <v>1</v>
      </c>
      <c r="H134" s="206">
        <v>1</v>
      </c>
      <c r="I134" s="93">
        <v>1</v>
      </c>
      <c r="J134" s="78">
        <v>1</v>
      </c>
      <c r="K134" s="94">
        <v>1</v>
      </c>
      <c r="L134" s="207">
        <f t="shared" si="70"/>
        <v>1</v>
      </c>
      <c r="M134" s="80">
        <v>1</v>
      </c>
      <c r="N134" s="81">
        <v>1</v>
      </c>
      <c r="O134" s="78">
        <v>0.95</v>
      </c>
      <c r="P134" s="84">
        <v>1</v>
      </c>
      <c r="Q134" s="83">
        <v>1</v>
      </c>
      <c r="R134" s="81">
        <v>1</v>
      </c>
      <c r="S134" s="78">
        <v>1</v>
      </c>
      <c r="T134" s="82">
        <v>1</v>
      </c>
      <c r="U134" s="92">
        <v>1</v>
      </c>
      <c r="V134" s="93">
        <v>1</v>
      </c>
      <c r="W134" s="78">
        <v>1</v>
      </c>
      <c r="X134" s="94">
        <v>1</v>
      </c>
      <c r="Y134" s="205">
        <f t="shared" si="71"/>
        <v>0.99750000000000005</v>
      </c>
      <c r="Z134" s="92">
        <v>0</v>
      </c>
      <c r="AA134" s="93">
        <v>0</v>
      </c>
      <c r="AB134" s="78">
        <v>0</v>
      </c>
      <c r="AC134" s="94">
        <v>0</v>
      </c>
      <c r="AD134" s="207">
        <f t="shared" si="72"/>
        <v>0</v>
      </c>
      <c r="AE134" s="92">
        <v>0.4</v>
      </c>
      <c r="AF134" s="93">
        <v>0</v>
      </c>
      <c r="AG134" s="78">
        <v>0.7</v>
      </c>
      <c r="AH134" s="94">
        <v>0</v>
      </c>
      <c r="AI134" s="207">
        <f t="shared" ref="AI134:AI148" si="78" xml:space="preserve"> AE134*5% + AF134*30% + AG134*35% + AH134*30%</f>
        <v>0.26499999999999996</v>
      </c>
      <c r="AJ134" s="206">
        <v>1</v>
      </c>
      <c r="AK134" s="93">
        <v>1</v>
      </c>
      <c r="AL134" s="94">
        <v>0</v>
      </c>
      <c r="AM134" s="92">
        <v>0</v>
      </c>
      <c r="AN134" s="93">
        <v>0</v>
      </c>
      <c r="AO134" s="78">
        <v>0</v>
      </c>
      <c r="AP134" s="94">
        <v>0</v>
      </c>
      <c r="AQ134" s="205">
        <f t="shared" si="73"/>
        <v>0</v>
      </c>
      <c r="AR134" s="92">
        <v>0</v>
      </c>
      <c r="AS134" s="93">
        <v>0</v>
      </c>
      <c r="AT134" s="78">
        <v>0</v>
      </c>
      <c r="AU134" s="94">
        <v>0</v>
      </c>
      <c r="AV134" s="205">
        <f t="shared" si="74"/>
        <v>0</v>
      </c>
      <c r="AW134" s="92">
        <v>0</v>
      </c>
      <c r="AX134" s="93">
        <v>0</v>
      </c>
      <c r="AY134" s="94">
        <v>0</v>
      </c>
      <c r="AZ134" s="205">
        <f t="shared" si="75"/>
        <v>0</v>
      </c>
      <c r="BA134" s="92">
        <v>0</v>
      </c>
      <c r="BB134" s="78">
        <v>0</v>
      </c>
      <c r="BC134" s="94">
        <v>0</v>
      </c>
      <c r="BD134" s="207">
        <f t="shared" si="76"/>
        <v>0</v>
      </c>
      <c r="BE134" s="86"/>
      <c r="BF134" s="87" t="e">
        <f t="shared" si="77"/>
        <v>#DIV/0!</v>
      </c>
      <c r="BG134" s="95"/>
    </row>
    <row r="135" spans="2:59" ht="43.5" customHeight="1" x14ac:dyDescent="0.3">
      <c r="B135" s="76">
        <v>803</v>
      </c>
      <c r="C135" s="77">
        <v>1</v>
      </c>
      <c r="D135" s="78">
        <v>1</v>
      </c>
      <c r="E135" s="78">
        <v>1</v>
      </c>
      <c r="F135" s="199">
        <v>1</v>
      </c>
      <c r="G135" s="91">
        <f t="shared" si="69"/>
        <v>1</v>
      </c>
      <c r="H135" s="206">
        <v>1</v>
      </c>
      <c r="I135" s="93">
        <v>1</v>
      </c>
      <c r="J135" s="78">
        <v>1</v>
      </c>
      <c r="K135" s="94">
        <v>1</v>
      </c>
      <c r="L135" s="207">
        <f t="shared" si="70"/>
        <v>1</v>
      </c>
      <c r="M135" s="80">
        <v>1</v>
      </c>
      <c r="N135" s="81">
        <v>1</v>
      </c>
      <c r="O135" s="78">
        <v>0.95</v>
      </c>
      <c r="P135" s="84">
        <v>1</v>
      </c>
      <c r="Q135" s="83">
        <v>1</v>
      </c>
      <c r="R135" s="81">
        <v>1</v>
      </c>
      <c r="S135" s="78">
        <v>1</v>
      </c>
      <c r="T135" s="82">
        <v>1</v>
      </c>
      <c r="U135" s="92">
        <v>1</v>
      </c>
      <c r="V135" s="93">
        <v>1</v>
      </c>
      <c r="W135" s="78">
        <v>1</v>
      </c>
      <c r="X135" s="94">
        <v>1</v>
      </c>
      <c r="Y135" s="205">
        <f t="shared" si="71"/>
        <v>0.99750000000000005</v>
      </c>
      <c r="Z135" s="92">
        <v>0</v>
      </c>
      <c r="AA135" s="93">
        <v>0</v>
      </c>
      <c r="AB135" s="78">
        <v>0</v>
      </c>
      <c r="AC135" s="94">
        <v>0</v>
      </c>
      <c r="AD135" s="207">
        <f t="shared" si="72"/>
        <v>0</v>
      </c>
      <c r="AE135" s="92">
        <v>0.9</v>
      </c>
      <c r="AF135" s="93">
        <v>0</v>
      </c>
      <c r="AG135" s="78">
        <v>0.7</v>
      </c>
      <c r="AH135" s="94">
        <v>0</v>
      </c>
      <c r="AI135" s="207">
        <f t="shared" si="78"/>
        <v>0.28999999999999998</v>
      </c>
      <c r="AJ135" s="206">
        <v>1</v>
      </c>
      <c r="AK135" s="93">
        <v>1</v>
      </c>
      <c r="AL135" s="94">
        <v>0</v>
      </c>
      <c r="AM135" s="92">
        <v>0</v>
      </c>
      <c r="AN135" s="93">
        <v>0</v>
      </c>
      <c r="AO135" s="78">
        <v>0</v>
      </c>
      <c r="AP135" s="94">
        <v>0</v>
      </c>
      <c r="AQ135" s="205">
        <f t="shared" si="73"/>
        <v>0</v>
      </c>
      <c r="AR135" s="92">
        <v>0</v>
      </c>
      <c r="AS135" s="93">
        <v>0</v>
      </c>
      <c r="AT135" s="78">
        <v>0</v>
      </c>
      <c r="AU135" s="94">
        <v>0</v>
      </c>
      <c r="AV135" s="205">
        <f t="shared" si="74"/>
        <v>0</v>
      </c>
      <c r="AW135" s="92">
        <v>0</v>
      </c>
      <c r="AX135" s="93">
        <v>0</v>
      </c>
      <c r="AY135" s="94">
        <v>0</v>
      </c>
      <c r="AZ135" s="205">
        <f t="shared" si="75"/>
        <v>0</v>
      </c>
      <c r="BA135" s="92">
        <v>0</v>
      </c>
      <c r="BB135" s="78">
        <v>0</v>
      </c>
      <c r="BC135" s="94">
        <v>0</v>
      </c>
      <c r="BD135" s="207">
        <f t="shared" si="76"/>
        <v>0</v>
      </c>
      <c r="BE135" s="86"/>
      <c r="BF135" s="87" t="e">
        <f t="shared" si="77"/>
        <v>#DIV/0!</v>
      </c>
      <c r="BG135" s="88"/>
    </row>
    <row r="136" spans="2:59" ht="43.5" customHeight="1" x14ac:dyDescent="0.3">
      <c r="B136" s="76">
        <v>804</v>
      </c>
      <c r="C136" s="77">
        <v>1</v>
      </c>
      <c r="D136" s="78">
        <v>1</v>
      </c>
      <c r="E136" s="78">
        <v>1</v>
      </c>
      <c r="F136" s="199">
        <v>1</v>
      </c>
      <c r="G136" s="91">
        <f t="shared" si="69"/>
        <v>1</v>
      </c>
      <c r="H136" s="206">
        <v>0</v>
      </c>
      <c r="I136" s="93">
        <v>0</v>
      </c>
      <c r="J136" s="78">
        <v>0</v>
      </c>
      <c r="K136" s="94">
        <v>0</v>
      </c>
      <c r="L136" s="207">
        <f t="shared" si="70"/>
        <v>0</v>
      </c>
      <c r="M136" s="80">
        <v>1</v>
      </c>
      <c r="N136" s="81">
        <v>1</v>
      </c>
      <c r="O136" s="78">
        <v>0.95</v>
      </c>
      <c r="P136" s="84">
        <v>1</v>
      </c>
      <c r="Q136" s="83">
        <v>1</v>
      </c>
      <c r="R136" s="81">
        <v>1</v>
      </c>
      <c r="S136" s="78">
        <v>1</v>
      </c>
      <c r="T136" s="82">
        <v>1</v>
      </c>
      <c r="U136" s="92">
        <v>1</v>
      </c>
      <c r="V136" s="93">
        <v>1</v>
      </c>
      <c r="W136" s="78">
        <v>1</v>
      </c>
      <c r="X136" s="94">
        <v>1</v>
      </c>
      <c r="Y136" s="205">
        <f t="shared" si="71"/>
        <v>0.99750000000000005</v>
      </c>
      <c r="Z136" s="92">
        <v>0</v>
      </c>
      <c r="AA136" s="93">
        <v>0</v>
      </c>
      <c r="AB136" s="78">
        <v>0</v>
      </c>
      <c r="AC136" s="94">
        <v>0</v>
      </c>
      <c r="AD136" s="207">
        <f t="shared" si="72"/>
        <v>0</v>
      </c>
      <c r="AE136" s="92">
        <v>0.7</v>
      </c>
      <c r="AF136" s="93">
        <v>0.7</v>
      </c>
      <c r="AG136" s="78">
        <v>0.7</v>
      </c>
      <c r="AH136" s="94">
        <v>0</v>
      </c>
      <c r="AI136" s="207">
        <f t="shared" si="78"/>
        <v>0.49</v>
      </c>
      <c r="AJ136" s="206">
        <v>1</v>
      </c>
      <c r="AK136" s="93">
        <v>0</v>
      </c>
      <c r="AL136" s="94">
        <v>0</v>
      </c>
      <c r="AM136" s="92">
        <v>0</v>
      </c>
      <c r="AN136" s="93">
        <v>0</v>
      </c>
      <c r="AO136" s="78">
        <v>0</v>
      </c>
      <c r="AP136" s="94">
        <v>0</v>
      </c>
      <c r="AQ136" s="205">
        <f t="shared" si="73"/>
        <v>0</v>
      </c>
      <c r="AR136" s="92">
        <v>0</v>
      </c>
      <c r="AS136" s="93">
        <v>0</v>
      </c>
      <c r="AT136" s="78">
        <v>0</v>
      </c>
      <c r="AU136" s="94">
        <v>0</v>
      </c>
      <c r="AV136" s="205">
        <f t="shared" si="74"/>
        <v>0</v>
      </c>
      <c r="AW136" s="92">
        <v>0</v>
      </c>
      <c r="AX136" s="93">
        <v>0</v>
      </c>
      <c r="AY136" s="94">
        <v>0</v>
      </c>
      <c r="AZ136" s="205">
        <f t="shared" si="75"/>
        <v>0</v>
      </c>
      <c r="BA136" s="92">
        <v>0</v>
      </c>
      <c r="BB136" s="78">
        <v>0</v>
      </c>
      <c r="BC136" s="94">
        <v>0</v>
      </c>
      <c r="BD136" s="207">
        <f t="shared" si="76"/>
        <v>0</v>
      </c>
      <c r="BE136" s="86"/>
      <c r="BF136" s="87" t="e">
        <f t="shared" si="77"/>
        <v>#DIV/0!</v>
      </c>
      <c r="BG136" s="97"/>
    </row>
    <row r="137" spans="2:59" ht="43.5" customHeight="1" x14ac:dyDescent="0.35">
      <c r="B137" s="90">
        <v>805</v>
      </c>
      <c r="C137" s="77">
        <v>1</v>
      </c>
      <c r="D137" s="78">
        <v>1</v>
      </c>
      <c r="E137" s="78">
        <v>1</v>
      </c>
      <c r="F137" s="199">
        <v>1</v>
      </c>
      <c r="G137" s="91">
        <f t="shared" si="69"/>
        <v>1</v>
      </c>
      <c r="H137" s="206">
        <v>1</v>
      </c>
      <c r="I137" s="93">
        <v>1</v>
      </c>
      <c r="J137" s="78">
        <v>1</v>
      </c>
      <c r="K137" s="94">
        <v>1</v>
      </c>
      <c r="L137" s="207">
        <f t="shared" si="70"/>
        <v>1</v>
      </c>
      <c r="M137" s="80">
        <v>1</v>
      </c>
      <c r="N137" s="81">
        <v>1</v>
      </c>
      <c r="O137" s="78">
        <v>0.95</v>
      </c>
      <c r="P137" s="84">
        <v>1</v>
      </c>
      <c r="Q137" s="83">
        <v>1</v>
      </c>
      <c r="R137" s="81">
        <v>1</v>
      </c>
      <c r="S137" s="78">
        <v>1</v>
      </c>
      <c r="T137" s="82">
        <v>1</v>
      </c>
      <c r="U137" s="92">
        <v>1</v>
      </c>
      <c r="V137" s="93">
        <v>1</v>
      </c>
      <c r="W137" s="78">
        <v>1</v>
      </c>
      <c r="X137" s="94">
        <v>1</v>
      </c>
      <c r="Y137" s="205">
        <f t="shared" si="71"/>
        <v>0.99750000000000005</v>
      </c>
      <c r="Z137" s="92">
        <v>0</v>
      </c>
      <c r="AA137" s="93">
        <v>0</v>
      </c>
      <c r="AB137" s="78">
        <v>0</v>
      </c>
      <c r="AC137" s="94">
        <v>0</v>
      </c>
      <c r="AD137" s="207">
        <f t="shared" si="72"/>
        <v>0</v>
      </c>
      <c r="AE137" s="92">
        <v>0.9</v>
      </c>
      <c r="AF137" s="93">
        <v>0</v>
      </c>
      <c r="AG137" s="78">
        <v>0.7</v>
      </c>
      <c r="AH137" s="94">
        <v>0</v>
      </c>
      <c r="AI137" s="207">
        <f t="shared" si="78"/>
        <v>0.28999999999999998</v>
      </c>
      <c r="AJ137" s="206">
        <v>1</v>
      </c>
      <c r="AK137" s="93">
        <v>0.9</v>
      </c>
      <c r="AL137" s="94">
        <v>0</v>
      </c>
      <c r="AM137" s="92">
        <v>0</v>
      </c>
      <c r="AN137" s="93">
        <v>0</v>
      </c>
      <c r="AO137" s="78">
        <v>0</v>
      </c>
      <c r="AP137" s="94">
        <v>0</v>
      </c>
      <c r="AQ137" s="205">
        <f t="shared" si="73"/>
        <v>0</v>
      </c>
      <c r="AR137" s="92">
        <v>0</v>
      </c>
      <c r="AS137" s="93">
        <v>0</v>
      </c>
      <c r="AT137" s="78">
        <v>0</v>
      </c>
      <c r="AU137" s="94">
        <v>0</v>
      </c>
      <c r="AV137" s="205">
        <f t="shared" si="74"/>
        <v>0</v>
      </c>
      <c r="AW137" s="92">
        <v>0</v>
      </c>
      <c r="AX137" s="93">
        <v>0</v>
      </c>
      <c r="AY137" s="94">
        <v>0</v>
      </c>
      <c r="AZ137" s="205">
        <f t="shared" si="75"/>
        <v>0</v>
      </c>
      <c r="BA137" s="92">
        <v>0</v>
      </c>
      <c r="BB137" s="78">
        <v>0</v>
      </c>
      <c r="BC137" s="94">
        <v>0</v>
      </c>
      <c r="BD137" s="207">
        <f t="shared" si="76"/>
        <v>0</v>
      </c>
      <c r="BE137" s="86"/>
      <c r="BF137" s="87" t="e">
        <f t="shared" si="77"/>
        <v>#DIV/0!</v>
      </c>
      <c r="BG137" s="98"/>
    </row>
    <row r="138" spans="2:59" ht="43.5" customHeight="1" x14ac:dyDescent="0.35">
      <c r="B138" s="76">
        <v>806</v>
      </c>
      <c r="C138" s="77">
        <v>1</v>
      </c>
      <c r="D138" s="78">
        <v>1</v>
      </c>
      <c r="E138" s="78">
        <v>1</v>
      </c>
      <c r="F138" s="199">
        <v>1</v>
      </c>
      <c r="G138" s="91">
        <f t="shared" si="69"/>
        <v>1</v>
      </c>
      <c r="H138" s="206">
        <v>0.8</v>
      </c>
      <c r="I138" s="93">
        <v>0.8</v>
      </c>
      <c r="J138" s="78">
        <v>0.8</v>
      </c>
      <c r="K138" s="94">
        <v>0.8</v>
      </c>
      <c r="L138" s="207">
        <f t="shared" si="70"/>
        <v>0.8</v>
      </c>
      <c r="M138" s="80">
        <v>1</v>
      </c>
      <c r="N138" s="81">
        <v>1</v>
      </c>
      <c r="O138" s="78">
        <v>0.95</v>
      </c>
      <c r="P138" s="84">
        <v>1</v>
      </c>
      <c r="Q138" s="83">
        <v>1</v>
      </c>
      <c r="R138" s="81">
        <v>1</v>
      </c>
      <c r="S138" s="78">
        <v>1</v>
      </c>
      <c r="T138" s="82">
        <v>1</v>
      </c>
      <c r="U138" s="92">
        <v>1</v>
      </c>
      <c r="V138" s="93">
        <v>1</v>
      </c>
      <c r="W138" s="78">
        <v>1</v>
      </c>
      <c r="X138" s="94">
        <v>1</v>
      </c>
      <c r="Y138" s="205">
        <f t="shared" si="71"/>
        <v>0.99750000000000005</v>
      </c>
      <c r="Z138" s="92">
        <v>0</v>
      </c>
      <c r="AA138" s="93">
        <v>0</v>
      </c>
      <c r="AB138" s="78">
        <v>0</v>
      </c>
      <c r="AC138" s="94">
        <v>0</v>
      </c>
      <c r="AD138" s="207">
        <f t="shared" si="72"/>
        <v>0</v>
      </c>
      <c r="AE138" s="92">
        <v>0.7</v>
      </c>
      <c r="AF138" s="93">
        <v>0</v>
      </c>
      <c r="AG138" s="78">
        <v>1</v>
      </c>
      <c r="AH138" s="94">
        <v>0.7</v>
      </c>
      <c r="AI138" s="207">
        <f t="shared" si="78"/>
        <v>0.59499999999999997</v>
      </c>
      <c r="AJ138" s="206">
        <v>0</v>
      </c>
      <c r="AK138" s="93">
        <v>0.9</v>
      </c>
      <c r="AL138" s="94">
        <v>0</v>
      </c>
      <c r="AM138" s="92">
        <v>0</v>
      </c>
      <c r="AN138" s="93">
        <v>0</v>
      </c>
      <c r="AO138" s="78">
        <v>0</v>
      </c>
      <c r="AP138" s="94">
        <v>0</v>
      </c>
      <c r="AQ138" s="205">
        <f t="shared" si="73"/>
        <v>0</v>
      </c>
      <c r="AR138" s="92">
        <v>0</v>
      </c>
      <c r="AS138" s="93">
        <v>0</v>
      </c>
      <c r="AT138" s="78">
        <v>0</v>
      </c>
      <c r="AU138" s="94">
        <v>0</v>
      </c>
      <c r="AV138" s="205">
        <f t="shared" si="74"/>
        <v>0</v>
      </c>
      <c r="AW138" s="92">
        <v>0</v>
      </c>
      <c r="AX138" s="93">
        <v>0</v>
      </c>
      <c r="AY138" s="94">
        <v>0</v>
      </c>
      <c r="AZ138" s="205">
        <f t="shared" si="75"/>
        <v>0</v>
      </c>
      <c r="BA138" s="92">
        <v>0</v>
      </c>
      <c r="BB138" s="78">
        <v>0</v>
      </c>
      <c r="BC138" s="94">
        <v>0</v>
      </c>
      <c r="BD138" s="207">
        <f t="shared" si="76"/>
        <v>0</v>
      </c>
      <c r="BE138" s="86"/>
      <c r="BF138" s="87" t="e">
        <f t="shared" si="77"/>
        <v>#DIV/0!</v>
      </c>
      <c r="BG138" s="99"/>
    </row>
    <row r="139" spans="2:59" ht="43.5" customHeight="1" x14ac:dyDescent="0.35">
      <c r="B139" s="76">
        <v>807</v>
      </c>
      <c r="C139" s="77">
        <v>1</v>
      </c>
      <c r="D139" s="78">
        <v>1</v>
      </c>
      <c r="E139" s="78">
        <v>1</v>
      </c>
      <c r="F139" s="199">
        <v>1</v>
      </c>
      <c r="G139" s="91">
        <f t="shared" si="69"/>
        <v>1</v>
      </c>
      <c r="H139" s="206">
        <v>1</v>
      </c>
      <c r="I139" s="93">
        <v>1</v>
      </c>
      <c r="J139" s="78">
        <v>1</v>
      </c>
      <c r="K139" s="94">
        <v>1</v>
      </c>
      <c r="L139" s="207">
        <f t="shared" si="70"/>
        <v>1</v>
      </c>
      <c r="M139" s="80">
        <v>1</v>
      </c>
      <c r="N139" s="81">
        <v>1</v>
      </c>
      <c r="O139" s="78">
        <v>0.95</v>
      </c>
      <c r="P139" s="84">
        <v>1</v>
      </c>
      <c r="Q139" s="83">
        <v>1</v>
      </c>
      <c r="R139" s="81">
        <v>1</v>
      </c>
      <c r="S139" s="78">
        <v>1</v>
      </c>
      <c r="T139" s="82">
        <v>1</v>
      </c>
      <c r="U139" s="92">
        <v>1</v>
      </c>
      <c r="V139" s="93">
        <v>1</v>
      </c>
      <c r="W139" s="78">
        <v>1</v>
      </c>
      <c r="X139" s="94">
        <v>1</v>
      </c>
      <c r="Y139" s="205">
        <f t="shared" si="71"/>
        <v>0.99750000000000005</v>
      </c>
      <c r="Z139" s="92">
        <v>0</v>
      </c>
      <c r="AA139" s="93">
        <v>0</v>
      </c>
      <c r="AB139" s="78">
        <v>0</v>
      </c>
      <c r="AC139" s="94">
        <v>0</v>
      </c>
      <c r="AD139" s="207">
        <f t="shared" si="72"/>
        <v>0</v>
      </c>
      <c r="AE139" s="92">
        <v>0.9</v>
      </c>
      <c r="AF139" s="93">
        <v>0</v>
      </c>
      <c r="AG139" s="78">
        <v>0</v>
      </c>
      <c r="AH139" s="94">
        <v>0</v>
      </c>
      <c r="AI139" s="207">
        <f t="shared" si="78"/>
        <v>4.5000000000000005E-2</v>
      </c>
      <c r="AJ139" s="206">
        <v>1</v>
      </c>
      <c r="AK139" s="93">
        <v>1</v>
      </c>
      <c r="AL139" s="94">
        <v>0</v>
      </c>
      <c r="AM139" s="92">
        <v>0</v>
      </c>
      <c r="AN139" s="93">
        <v>0</v>
      </c>
      <c r="AO139" s="78">
        <v>0</v>
      </c>
      <c r="AP139" s="94">
        <v>0</v>
      </c>
      <c r="AQ139" s="205">
        <f t="shared" si="73"/>
        <v>0</v>
      </c>
      <c r="AR139" s="92">
        <v>0</v>
      </c>
      <c r="AS139" s="93">
        <v>0</v>
      </c>
      <c r="AT139" s="78">
        <v>0</v>
      </c>
      <c r="AU139" s="94">
        <v>0</v>
      </c>
      <c r="AV139" s="205">
        <f t="shared" si="74"/>
        <v>0</v>
      </c>
      <c r="AW139" s="92">
        <v>0</v>
      </c>
      <c r="AX139" s="93">
        <v>0</v>
      </c>
      <c r="AY139" s="94">
        <v>0</v>
      </c>
      <c r="AZ139" s="205">
        <f t="shared" si="75"/>
        <v>0</v>
      </c>
      <c r="BA139" s="92">
        <v>0</v>
      </c>
      <c r="BB139" s="78">
        <v>0</v>
      </c>
      <c r="BC139" s="94">
        <v>0</v>
      </c>
      <c r="BD139" s="207">
        <f t="shared" si="76"/>
        <v>0</v>
      </c>
      <c r="BE139" s="86"/>
      <c r="BF139" s="87" t="e">
        <f t="shared" si="77"/>
        <v>#DIV/0!</v>
      </c>
      <c r="BG139" s="98"/>
    </row>
    <row r="140" spans="2:59" ht="43.5" customHeight="1" x14ac:dyDescent="0.35">
      <c r="B140" s="90">
        <v>808</v>
      </c>
      <c r="C140" s="77">
        <v>1</v>
      </c>
      <c r="D140" s="78">
        <v>1</v>
      </c>
      <c r="E140" s="78">
        <v>1</v>
      </c>
      <c r="F140" s="199">
        <v>1</v>
      </c>
      <c r="G140" s="91">
        <f t="shared" si="69"/>
        <v>1</v>
      </c>
      <c r="H140" s="206">
        <v>1</v>
      </c>
      <c r="I140" s="93">
        <v>1</v>
      </c>
      <c r="J140" s="78">
        <v>1</v>
      </c>
      <c r="K140" s="94">
        <v>1</v>
      </c>
      <c r="L140" s="207">
        <f t="shared" si="70"/>
        <v>1</v>
      </c>
      <c r="M140" s="80">
        <v>1</v>
      </c>
      <c r="N140" s="81">
        <v>1</v>
      </c>
      <c r="O140" s="78">
        <v>0.95</v>
      </c>
      <c r="P140" s="84">
        <v>1</v>
      </c>
      <c r="Q140" s="83">
        <v>1</v>
      </c>
      <c r="R140" s="81">
        <v>1</v>
      </c>
      <c r="S140" s="78">
        <v>1</v>
      </c>
      <c r="T140" s="82">
        <v>1</v>
      </c>
      <c r="U140" s="92">
        <v>1</v>
      </c>
      <c r="V140" s="93">
        <v>1</v>
      </c>
      <c r="W140" s="78">
        <v>1</v>
      </c>
      <c r="X140" s="94">
        <v>1</v>
      </c>
      <c r="Y140" s="205">
        <f t="shared" si="71"/>
        <v>0.99750000000000005</v>
      </c>
      <c r="Z140" s="92">
        <v>0</v>
      </c>
      <c r="AA140" s="93">
        <v>0</v>
      </c>
      <c r="AB140" s="78">
        <v>0</v>
      </c>
      <c r="AC140" s="94">
        <v>0</v>
      </c>
      <c r="AD140" s="207">
        <f t="shared" si="72"/>
        <v>0</v>
      </c>
      <c r="AE140" s="92">
        <v>0.9</v>
      </c>
      <c r="AF140" s="93">
        <v>0</v>
      </c>
      <c r="AG140" s="78">
        <v>0.7</v>
      </c>
      <c r="AH140" s="94">
        <v>0</v>
      </c>
      <c r="AI140" s="207">
        <f t="shared" si="78"/>
        <v>0.28999999999999998</v>
      </c>
      <c r="AJ140" s="206">
        <v>1</v>
      </c>
      <c r="AK140" s="93">
        <v>1</v>
      </c>
      <c r="AL140" s="94">
        <v>0</v>
      </c>
      <c r="AM140" s="92">
        <v>0</v>
      </c>
      <c r="AN140" s="93">
        <v>0</v>
      </c>
      <c r="AO140" s="78">
        <v>0</v>
      </c>
      <c r="AP140" s="94">
        <v>0</v>
      </c>
      <c r="AQ140" s="205">
        <f t="shared" si="73"/>
        <v>0</v>
      </c>
      <c r="AR140" s="92">
        <v>0</v>
      </c>
      <c r="AS140" s="93">
        <v>0</v>
      </c>
      <c r="AT140" s="78">
        <v>0</v>
      </c>
      <c r="AU140" s="94">
        <v>0</v>
      </c>
      <c r="AV140" s="205">
        <f t="shared" si="74"/>
        <v>0</v>
      </c>
      <c r="AW140" s="92">
        <v>0</v>
      </c>
      <c r="AX140" s="93">
        <v>0</v>
      </c>
      <c r="AY140" s="94">
        <v>0</v>
      </c>
      <c r="AZ140" s="205">
        <f t="shared" si="75"/>
        <v>0</v>
      </c>
      <c r="BA140" s="92">
        <v>0</v>
      </c>
      <c r="BB140" s="78">
        <v>0</v>
      </c>
      <c r="BC140" s="94">
        <v>0</v>
      </c>
      <c r="BD140" s="207">
        <f t="shared" si="76"/>
        <v>0</v>
      </c>
      <c r="BE140" s="86"/>
      <c r="BF140" s="87" t="e">
        <f t="shared" si="77"/>
        <v>#DIV/0!</v>
      </c>
      <c r="BG140" s="99"/>
    </row>
    <row r="141" spans="2:59" ht="43.5" customHeight="1" x14ac:dyDescent="0.3">
      <c r="B141" s="76">
        <v>809</v>
      </c>
      <c r="C141" s="77">
        <v>1</v>
      </c>
      <c r="D141" s="78">
        <v>1</v>
      </c>
      <c r="E141" s="78">
        <v>1</v>
      </c>
      <c r="F141" s="199">
        <v>1</v>
      </c>
      <c r="G141" s="91">
        <f t="shared" si="69"/>
        <v>1</v>
      </c>
      <c r="H141" s="206">
        <v>1</v>
      </c>
      <c r="I141" s="93">
        <v>1</v>
      </c>
      <c r="J141" s="78">
        <v>1</v>
      </c>
      <c r="K141" s="94">
        <v>1</v>
      </c>
      <c r="L141" s="207">
        <f t="shared" si="70"/>
        <v>1</v>
      </c>
      <c r="M141" s="80">
        <v>1</v>
      </c>
      <c r="N141" s="81">
        <v>1</v>
      </c>
      <c r="O141" s="78">
        <v>0.95</v>
      </c>
      <c r="P141" s="84">
        <v>1</v>
      </c>
      <c r="Q141" s="83">
        <v>1</v>
      </c>
      <c r="R141" s="81">
        <v>1</v>
      </c>
      <c r="S141" s="78">
        <v>1</v>
      </c>
      <c r="T141" s="82">
        <v>1</v>
      </c>
      <c r="U141" s="92">
        <v>1</v>
      </c>
      <c r="V141" s="93">
        <v>1</v>
      </c>
      <c r="W141" s="78">
        <v>1</v>
      </c>
      <c r="X141" s="94">
        <v>1</v>
      </c>
      <c r="Y141" s="205">
        <f t="shared" si="71"/>
        <v>0.99750000000000005</v>
      </c>
      <c r="Z141" s="92">
        <v>0</v>
      </c>
      <c r="AA141" s="93">
        <v>0</v>
      </c>
      <c r="AB141" s="78">
        <v>0</v>
      </c>
      <c r="AC141" s="94">
        <v>0</v>
      </c>
      <c r="AD141" s="207">
        <f t="shared" si="72"/>
        <v>0</v>
      </c>
      <c r="AE141" s="92">
        <v>0.9</v>
      </c>
      <c r="AF141" s="93">
        <v>1</v>
      </c>
      <c r="AG141" s="78">
        <v>0.7</v>
      </c>
      <c r="AH141" s="94">
        <v>1</v>
      </c>
      <c r="AI141" s="207">
        <f t="shared" si="78"/>
        <v>0.8899999999999999</v>
      </c>
      <c r="AJ141" s="206">
        <v>1</v>
      </c>
      <c r="AK141" s="93">
        <v>0.9</v>
      </c>
      <c r="AL141" s="94">
        <v>0</v>
      </c>
      <c r="AM141" s="92">
        <v>0</v>
      </c>
      <c r="AN141" s="93">
        <v>0</v>
      </c>
      <c r="AO141" s="78">
        <v>0</v>
      </c>
      <c r="AP141" s="94">
        <v>0</v>
      </c>
      <c r="AQ141" s="205">
        <f t="shared" si="73"/>
        <v>0</v>
      </c>
      <c r="AR141" s="92">
        <v>0</v>
      </c>
      <c r="AS141" s="93">
        <v>0</v>
      </c>
      <c r="AT141" s="78">
        <v>0</v>
      </c>
      <c r="AU141" s="94">
        <v>0</v>
      </c>
      <c r="AV141" s="205">
        <f t="shared" si="74"/>
        <v>0</v>
      </c>
      <c r="AW141" s="92">
        <v>0</v>
      </c>
      <c r="AX141" s="93">
        <v>0</v>
      </c>
      <c r="AY141" s="94">
        <v>0</v>
      </c>
      <c r="AZ141" s="205">
        <f t="shared" si="75"/>
        <v>0</v>
      </c>
      <c r="BA141" s="92">
        <v>0</v>
      </c>
      <c r="BB141" s="78">
        <v>0</v>
      </c>
      <c r="BC141" s="94">
        <v>0</v>
      </c>
      <c r="BD141" s="207">
        <f t="shared" si="76"/>
        <v>0</v>
      </c>
      <c r="BE141" s="86"/>
      <c r="BF141" s="87" t="e">
        <f t="shared" si="77"/>
        <v>#DIV/0!</v>
      </c>
      <c r="BG141" s="100"/>
    </row>
    <row r="142" spans="2:59" ht="43.5" customHeight="1" x14ac:dyDescent="0.35">
      <c r="B142" s="76">
        <v>810</v>
      </c>
      <c r="C142" s="77">
        <v>1</v>
      </c>
      <c r="D142" s="78">
        <v>1</v>
      </c>
      <c r="E142" s="78">
        <v>1</v>
      </c>
      <c r="F142" s="199">
        <v>1</v>
      </c>
      <c r="G142" s="91">
        <f t="shared" si="69"/>
        <v>1</v>
      </c>
      <c r="H142" s="206">
        <v>0.8</v>
      </c>
      <c r="I142" s="93">
        <v>0.8</v>
      </c>
      <c r="J142" s="78">
        <v>0.8</v>
      </c>
      <c r="K142" s="94">
        <v>0.8</v>
      </c>
      <c r="L142" s="207">
        <f t="shared" si="70"/>
        <v>0.8</v>
      </c>
      <c r="M142" s="80">
        <v>1</v>
      </c>
      <c r="N142" s="81">
        <v>1</v>
      </c>
      <c r="O142" s="78">
        <v>0.95</v>
      </c>
      <c r="P142" s="84">
        <v>1</v>
      </c>
      <c r="Q142" s="83">
        <v>1</v>
      </c>
      <c r="R142" s="81">
        <v>1</v>
      </c>
      <c r="S142" s="78">
        <v>1</v>
      </c>
      <c r="T142" s="82">
        <v>1</v>
      </c>
      <c r="U142" s="92">
        <v>1</v>
      </c>
      <c r="V142" s="93">
        <v>1</v>
      </c>
      <c r="W142" s="78">
        <v>1</v>
      </c>
      <c r="X142" s="94">
        <v>1</v>
      </c>
      <c r="Y142" s="205">
        <f t="shared" si="71"/>
        <v>0.99750000000000005</v>
      </c>
      <c r="Z142" s="92">
        <v>0</v>
      </c>
      <c r="AA142" s="93">
        <v>0</v>
      </c>
      <c r="AB142" s="78">
        <v>0</v>
      </c>
      <c r="AC142" s="94">
        <v>0</v>
      </c>
      <c r="AD142" s="207">
        <f t="shared" si="72"/>
        <v>0</v>
      </c>
      <c r="AE142" s="92">
        <v>0.9</v>
      </c>
      <c r="AF142" s="93">
        <v>1</v>
      </c>
      <c r="AG142" s="78">
        <v>0.7</v>
      </c>
      <c r="AH142" s="94">
        <v>1</v>
      </c>
      <c r="AI142" s="207">
        <f t="shared" si="78"/>
        <v>0.8899999999999999</v>
      </c>
      <c r="AJ142" s="206">
        <v>1</v>
      </c>
      <c r="AK142" s="93">
        <v>0</v>
      </c>
      <c r="AL142" s="94">
        <v>0</v>
      </c>
      <c r="AM142" s="92">
        <v>0</v>
      </c>
      <c r="AN142" s="93">
        <v>0</v>
      </c>
      <c r="AO142" s="78">
        <v>0</v>
      </c>
      <c r="AP142" s="94">
        <v>0</v>
      </c>
      <c r="AQ142" s="205">
        <f t="shared" si="73"/>
        <v>0</v>
      </c>
      <c r="AR142" s="92">
        <v>0</v>
      </c>
      <c r="AS142" s="93">
        <v>0</v>
      </c>
      <c r="AT142" s="78">
        <v>0</v>
      </c>
      <c r="AU142" s="94">
        <v>0</v>
      </c>
      <c r="AV142" s="205">
        <f t="shared" si="74"/>
        <v>0</v>
      </c>
      <c r="AW142" s="92">
        <v>0</v>
      </c>
      <c r="AX142" s="93">
        <v>0</v>
      </c>
      <c r="AY142" s="94">
        <v>0</v>
      </c>
      <c r="AZ142" s="205">
        <f t="shared" si="75"/>
        <v>0</v>
      </c>
      <c r="BA142" s="92">
        <v>0</v>
      </c>
      <c r="BB142" s="78">
        <v>0</v>
      </c>
      <c r="BC142" s="94">
        <v>0</v>
      </c>
      <c r="BD142" s="207">
        <f t="shared" si="76"/>
        <v>0</v>
      </c>
      <c r="BE142" s="86"/>
      <c r="BF142" s="87" t="e">
        <f t="shared" si="77"/>
        <v>#DIV/0!</v>
      </c>
      <c r="BG142" s="98"/>
    </row>
    <row r="143" spans="2:59" ht="43.5" customHeight="1" x14ac:dyDescent="0.3">
      <c r="B143" s="90">
        <v>811</v>
      </c>
      <c r="C143" s="77">
        <v>1</v>
      </c>
      <c r="D143" s="78">
        <v>1</v>
      </c>
      <c r="E143" s="78">
        <v>1</v>
      </c>
      <c r="F143" s="199">
        <v>1</v>
      </c>
      <c r="G143" s="91">
        <f t="shared" si="69"/>
        <v>1</v>
      </c>
      <c r="H143" s="206">
        <v>0.8</v>
      </c>
      <c r="I143" s="93">
        <v>0.8</v>
      </c>
      <c r="J143" s="78">
        <v>0.8</v>
      </c>
      <c r="K143" s="94">
        <v>0.8</v>
      </c>
      <c r="L143" s="207">
        <f t="shared" si="70"/>
        <v>0.8</v>
      </c>
      <c r="M143" s="80">
        <v>1</v>
      </c>
      <c r="N143" s="81">
        <v>1</v>
      </c>
      <c r="O143" s="78">
        <v>0.95</v>
      </c>
      <c r="P143" s="84">
        <v>1</v>
      </c>
      <c r="Q143" s="83">
        <v>1</v>
      </c>
      <c r="R143" s="81">
        <v>1</v>
      </c>
      <c r="S143" s="78">
        <v>1</v>
      </c>
      <c r="T143" s="82">
        <v>1</v>
      </c>
      <c r="U143" s="92">
        <v>1</v>
      </c>
      <c r="V143" s="93">
        <v>1</v>
      </c>
      <c r="W143" s="78">
        <v>1</v>
      </c>
      <c r="X143" s="94">
        <v>1</v>
      </c>
      <c r="Y143" s="205">
        <f t="shared" si="71"/>
        <v>0.99750000000000005</v>
      </c>
      <c r="Z143" s="92">
        <v>0</v>
      </c>
      <c r="AA143" s="93">
        <v>0</v>
      </c>
      <c r="AB143" s="78">
        <v>0</v>
      </c>
      <c r="AC143" s="94">
        <v>0</v>
      </c>
      <c r="AD143" s="207">
        <f t="shared" si="72"/>
        <v>0</v>
      </c>
      <c r="AE143" s="92">
        <v>0.4</v>
      </c>
      <c r="AF143" s="93">
        <v>0</v>
      </c>
      <c r="AG143" s="78">
        <v>0</v>
      </c>
      <c r="AH143" s="94">
        <v>0</v>
      </c>
      <c r="AI143" s="207">
        <f t="shared" si="78"/>
        <v>2.0000000000000004E-2</v>
      </c>
      <c r="AJ143" s="206">
        <v>1</v>
      </c>
      <c r="AK143" s="93">
        <v>0</v>
      </c>
      <c r="AL143" s="94">
        <v>0</v>
      </c>
      <c r="AM143" s="92">
        <v>0</v>
      </c>
      <c r="AN143" s="93">
        <v>0</v>
      </c>
      <c r="AO143" s="78">
        <v>0</v>
      </c>
      <c r="AP143" s="94">
        <v>0</v>
      </c>
      <c r="AQ143" s="205">
        <f t="shared" si="73"/>
        <v>0</v>
      </c>
      <c r="AR143" s="92">
        <v>0</v>
      </c>
      <c r="AS143" s="93">
        <v>0</v>
      </c>
      <c r="AT143" s="78">
        <v>0</v>
      </c>
      <c r="AU143" s="94">
        <v>0</v>
      </c>
      <c r="AV143" s="205">
        <f t="shared" si="74"/>
        <v>0</v>
      </c>
      <c r="AW143" s="92">
        <v>0</v>
      </c>
      <c r="AX143" s="93">
        <v>0</v>
      </c>
      <c r="AY143" s="94">
        <v>0</v>
      </c>
      <c r="AZ143" s="205">
        <f t="shared" si="75"/>
        <v>0</v>
      </c>
      <c r="BA143" s="92">
        <v>0</v>
      </c>
      <c r="BB143" s="78">
        <v>0</v>
      </c>
      <c r="BC143" s="94">
        <v>0</v>
      </c>
      <c r="BD143" s="207">
        <f t="shared" si="76"/>
        <v>0</v>
      </c>
      <c r="BE143" s="86"/>
      <c r="BF143" s="87" t="e">
        <f t="shared" si="77"/>
        <v>#DIV/0!</v>
      </c>
      <c r="BG143" s="97"/>
    </row>
    <row r="144" spans="2:59" ht="43.5" customHeight="1" x14ac:dyDescent="0.3">
      <c r="B144" s="76">
        <v>812</v>
      </c>
      <c r="C144" s="77">
        <v>1</v>
      </c>
      <c r="D144" s="78">
        <v>1</v>
      </c>
      <c r="E144" s="78">
        <v>1</v>
      </c>
      <c r="F144" s="199">
        <v>1</v>
      </c>
      <c r="G144" s="91">
        <f t="shared" si="69"/>
        <v>1</v>
      </c>
      <c r="H144" s="206">
        <v>1</v>
      </c>
      <c r="I144" s="93">
        <v>1</v>
      </c>
      <c r="J144" s="78">
        <v>1</v>
      </c>
      <c r="K144" s="94">
        <v>1</v>
      </c>
      <c r="L144" s="207">
        <f t="shared" si="70"/>
        <v>1</v>
      </c>
      <c r="M144" s="80">
        <v>1</v>
      </c>
      <c r="N144" s="81">
        <v>1</v>
      </c>
      <c r="O144" s="78">
        <v>0.95</v>
      </c>
      <c r="P144" s="84">
        <v>1</v>
      </c>
      <c r="Q144" s="83">
        <v>1</v>
      </c>
      <c r="R144" s="81">
        <v>1</v>
      </c>
      <c r="S144" s="78">
        <v>1</v>
      </c>
      <c r="T144" s="82">
        <v>1</v>
      </c>
      <c r="U144" s="92">
        <v>1</v>
      </c>
      <c r="V144" s="93">
        <v>1</v>
      </c>
      <c r="W144" s="78">
        <v>1</v>
      </c>
      <c r="X144" s="94">
        <v>1</v>
      </c>
      <c r="Y144" s="205">
        <f t="shared" si="71"/>
        <v>0.99750000000000005</v>
      </c>
      <c r="Z144" s="92">
        <v>0</v>
      </c>
      <c r="AA144" s="93">
        <v>0</v>
      </c>
      <c r="AB144" s="78">
        <v>0</v>
      </c>
      <c r="AC144" s="94">
        <v>0</v>
      </c>
      <c r="AD144" s="207">
        <f t="shared" si="72"/>
        <v>0</v>
      </c>
      <c r="AE144" s="92">
        <v>0.9</v>
      </c>
      <c r="AF144" s="93">
        <v>1</v>
      </c>
      <c r="AG144" s="78">
        <v>0.7</v>
      </c>
      <c r="AH144" s="94">
        <v>1</v>
      </c>
      <c r="AI144" s="207">
        <f t="shared" si="78"/>
        <v>0.8899999999999999</v>
      </c>
      <c r="AJ144" s="206">
        <v>1</v>
      </c>
      <c r="AK144" s="93">
        <v>1</v>
      </c>
      <c r="AL144" s="94">
        <v>0</v>
      </c>
      <c r="AM144" s="92">
        <v>0</v>
      </c>
      <c r="AN144" s="93">
        <v>0</v>
      </c>
      <c r="AO144" s="78">
        <v>0</v>
      </c>
      <c r="AP144" s="94">
        <v>0</v>
      </c>
      <c r="AQ144" s="205">
        <f t="shared" si="73"/>
        <v>0</v>
      </c>
      <c r="AR144" s="92">
        <v>0</v>
      </c>
      <c r="AS144" s="93">
        <v>0</v>
      </c>
      <c r="AT144" s="78">
        <v>0</v>
      </c>
      <c r="AU144" s="94">
        <v>0</v>
      </c>
      <c r="AV144" s="205">
        <f t="shared" si="74"/>
        <v>0</v>
      </c>
      <c r="AW144" s="92">
        <v>0</v>
      </c>
      <c r="AX144" s="93">
        <v>0</v>
      </c>
      <c r="AY144" s="94">
        <v>0</v>
      </c>
      <c r="AZ144" s="205">
        <f t="shared" si="75"/>
        <v>0</v>
      </c>
      <c r="BA144" s="92">
        <v>0</v>
      </c>
      <c r="BB144" s="78">
        <v>0</v>
      </c>
      <c r="BC144" s="94">
        <v>0</v>
      </c>
      <c r="BD144" s="207">
        <f t="shared" si="76"/>
        <v>0</v>
      </c>
      <c r="BE144" s="86"/>
      <c r="BF144" s="87" t="e">
        <f t="shared" si="77"/>
        <v>#DIV/0!</v>
      </c>
      <c r="BG144" s="97"/>
    </row>
    <row r="145" spans="2:59" ht="43.5" customHeight="1" x14ac:dyDescent="0.3">
      <c r="B145" s="76">
        <v>813</v>
      </c>
      <c r="C145" s="77">
        <v>1</v>
      </c>
      <c r="D145" s="78">
        <v>1</v>
      </c>
      <c r="E145" s="78">
        <v>1</v>
      </c>
      <c r="F145" s="199">
        <v>1</v>
      </c>
      <c r="G145" s="91">
        <f t="shared" si="69"/>
        <v>1</v>
      </c>
      <c r="H145" s="206">
        <v>0</v>
      </c>
      <c r="I145" s="93">
        <v>0</v>
      </c>
      <c r="J145" s="78">
        <v>0</v>
      </c>
      <c r="K145" s="94">
        <v>0</v>
      </c>
      <c r="L145" s="207">
        <f t="shared" si="70"/>
        <v>0</v>
      </c>
      <c r="M145" s="80">
        <v>1</v>
      </c>
      <c r="N145" s="81">
        <v>1</v>
      </c>
      <c r="O145" s="78">
        <v>0.95</v>
      </c>
      <c r="P145" s="84">
        <v>1</v>
      </c>
      <c r="Q145" s="83">
        <v>1</v>
      </c>
      <c r="R145" s="81">
        <v>1</v>
      </c>
      <c r="S145" s="78">
        <v>1</v>
      </c>
      <c r="T145" s="82">
        <v>1</v>
      </c>
      <c r="U145" s="92">
        <v>1</v>
      </c>
      <c r="V145" s="93">
        <v>1</v>
      </c>
      <c r="W145" s="78">
        <v>1</v>
      </c>
      <c r="X145" s="94">
        <v>1</v>
      </c>
      <c r="Y145" s="205">
        <f t="shared" si="71"/>
        <v>0.99750000000000005</v>
      </c>
      <c r="Z145" s="92">
        <v>0</v>
      </c>
      <c r="AA145" s="93">
        <v>0</v>
      </c>
      <c r="AB145" s="78">
        <v>0</v>
      </c>
      <c r="AC145" s="94">
        <v>0</v>
      </c>
      <c r="AD145" s="207">
        <f t="shared" si="72"/>
        <v>0</v>
      </c>
      <c r="AE145" s="92">
        <v>0.9</v>
      </c>
      <c r="AF145" s="93">
        <v>0</v>
      </c>
      <c r="AG145" s="78">
        <v>0.7</v>
      </c>
      <c r="AH145" s="94">
        <v>0</v>
      </c>
      <c r="AI145" s="207">
        <f t="shared" si="78"/>
        <v>0.28999999999999998</v>
      </c>
      <c r="AJ145" s="206">
        <v>1</v>
      </c>
      <c r="AK145" s="93">
        <v>0</v>
      </c>
      <c r="AL145" s="94">
        <v>0</v>
      </c>
      <c r="AM145" s="92">
        <v>0</v>
      </c>
      <c r="AN145" s="93">
        <v>0</v>
      </c>
      <c r="AO145" s="78">
        <v>0</v>
      </c>
      <c r="AP145" s="94">
        <v>0</v>
      </c>
      <c r="AQ145" s="205">
        <f t="shared" si="73"/>
        <v>0</v>
      </c>
      <c r="AR145" s="92">
        <v>0</v>
      </c>
      <c r="AS145" s="93">
        <v>0</v>
      </c>
      <c r="AT145" s="78">
        <v>0</v>
      </c>
      <c r="AU145" s="94">
        <v>0</v>
      </c>
      <c r="AV145" s="205">
        <f t="shared" si="74"/>
        <v>0</v>
      </c>
      <c r="AW145" s="92">
        <v>0</v>
      </c>
      <c r="AX145" s="93">
        <v>0</v>
      </c>
      <c r="AY145" s="94">
        <v>0</v>
      </c>
      <c r="AZ145" s="205">
        <f t="shared" si="75"/>
        <v>0</v>
      </c>
      <c r="BA145" s="92">
        <v>0</v>
      </c>
      <c r="BB145" s="78">
        <v>0</v>
      </c>
      <c r="BC145" s="94">
        <v>0</v>
      </c>
      <c r="BD145" s="207">
        <f t="shared" si="76"/>
        <v>0</v>
      </c>
      <c r="BE145" s="86"/>
      <c r="BF145" s="87" t="e">
        <f t="shared" si="77"/>
        <v>#DIV/0!</v>
      </c>
      <c r="BG145" s="100"/>
    </row>
    <row r="146" spans="2:59" ht="43.5" customHeight="1" x14ac:dyDescent="0.35">
      <c r="B146" s="90">
        <v>814</v>
      </c>
      <c r="C146" s="77">
        <v>1</v>
      </c>
      <c r="D146" s="78">
        <v>1</v>
      </c>
      <c r="E146" s="78">
        <v>1</v>
      </c>
      <c r="F146" s="199">
        <v>1</v>
      </c>
      <c r="G146" s="91">
        <f t="shared" si="69"/>
        <v>1</v>
      </c>
      <c r="H146" s="206">
        <v>0</v>
      </c>
      <c r="I146" s="93">
        <v>0</v>
      </c>
      <c r="J146" s="78">
        <v>0</v>
      </c>
      <c r="K146" s="94">
        <v>0</v>
      </c>
      <c r="L146" s="207">
        <f t="shared" si="70"/>
        <v>0</v>
      </c>
      <c r="M146" s="80">
        <v>1</v>
      </c>
      <c r="N146" s="81">
        <v>1</v>
      </c>
      <c r="O146" s="78">
        <v>0.95</v>
      </c>
      <c r="P146" s="84">
        <v>1</v>
      </c>
      <c r="Q146" s="83">
        <v>1</v>
      </c>
      <c r="R146" s="81">
        <v>1</v>
      </c>
      <c r="S146" s="78">
        <v>1</v>
      </c>
      <c r="T146" s="82">
        <v>1</v>
      </c>
      <c r="U146" s="92">
        <v>1</v>
      </c>
      <c r="V146" s="93">
        <v>1</v>
      </c>
      <c r="W146" s="78">
        <v>1</v>
      </c>
      <c r="X146" s="94">
        <v>1</v>
      </c>
      <c r="Y146" s="205">
        <f t="shared" si="71"/>
        <v>0.99750000000000005</v>
      </c>
      <c r="Z146" s="92">
        <v>0</v>
      </c>
      <c r="AA146" s="93">
        <v>0</v>
      </c>
      <c r="AB146" s="78">
        <v>0</v>
      </c>
      <c r="AC146" s="94">
        <v>0</v>
      </c>
      <c r="AD146" s="207">
        <f t="shared" si="72"/>
        <v>0</v>
      </c>
      <c r="AE146" s="92">
        <v>0.9</v>
      </c>
      <c r="AF146" s="93">
        <v>1</v>
      </c>
      <c r="AG146" s="78">
        <v>1</v>
      </c>
      <c r="AH146" s="94">
        <v>1</v>
      </c>
      <c r="AI146" s="207">
        <f t="shared" si="78"/>
        <v>0.99499999999999988</v>
      </c>
      <c r="AJ146" s="206">
        <v>1</v>
      </c>
      <c r="AK146" s="93">
        <v>0</v>
      </c>
      <c r="AL146" s="94">
        <v>0</v>
      </c>
      <c r="AM146" s="92">
        <v>0</v>
      </c>
      <c r="AN146" s="93">
        <v>0</v>
      </c>
      <c r="AO146" s="78">
        <v>0</v>
      </c>
      <c r="AP146" s="94">
        <v>0</v>
      </c>
      <c r="AQ146" s="205">
        <f t="shared" si="73"/>
        <v>0</v>
      </c>
      <c r="AR146" s="92">
        <v>0</v>
      </c>
      <c r="AS146" s="93">
        <v>0</v>
      </c>
      <c r="AT146" s="78">
        <v>0</v>
      </c>
      <c r="AU146" s="94">
        <v>0</v>
      </c>
      <c r="AV146" s="205">
        <f t="shared" si="74"/>
        <v>0</v>
      </c>
      <c r="AW146" s="92">
        <v>0</v>
      </c>
      <c r="AX146" s="93">
        <v>0</v>
      </c>
      <c r="AY146" s="94">
        <v>0</v>
      </c>
      <c r="AZ146" s="205">
        <f t="shared" si="75"/>
        <v>0</v>
      </c>
      <c r="BA146" s="92">
        <v>0</v>
      </c>
      <c r="BB146" s="78">
        <v>0</v>
      </c>
      <c r="BC146" s="94">
        <v>0</v>
      </c>
      <c r="BD146" s="207">
        <f t="shared" si="76"/>
        <v>0</v>
      </c>
      <c r="BE146" s="86"/>
      <c r="BF146" s="87" t="e">
        <f t="shared" si="77"/>
        <v>#DIV/0!</v>
      </c>
      <c r="BG146" s="98"/>
    </row>
    <row r="147" spans="2:59" ht="43.5" customHeight="1" x14ac:dyDescent="0.35">
      <c r="B147" s="76">
        <v>815</v>
      </c>
      <c r="C147" s="77">
        <v>1</v>
      </c>
      <c r="D147" s="78">
        <v>1</v>
      </c>
      <c r="E147" s="78">
        <v>1</v>
      </c>
      <c r="F147" s="199">
        <v>1</v>
      </c>
      <c r="G147" s="91">
        <f t="shared" si="69"/>
        <v>1</v>
      </c>
      <c r="H147" s="206">
        <v>0</v>
      </c>
      <c r="I147" s="93">
        <v>0</v>
      </c>
      <c r="J147" s="78">
        <v>0</v>
      </c>
      <c r="K147" s="94">
        <v>0</v>
      </c>
      <c r="L147" s="207">
        <f t="shared" si="70"/>
        <v>0</v>
      </c>
      <c r="M147" s="80">
        <v>1</v>
      </c>
      <c r="N147" s="81">
        <v>1</v>
      </c>
      <c r="O147" s="78">
        <v>0.95</v>
      </c>
      <c r="P147" s="84">
        <v>1</v>
      </c>
      <c r="Q147" s="83">
        <v>1</v>
      </c>
      <c r="R147" s="81">
        <v>1</v>
      </c>
      <c r="S147" s="78">
        <v>1</v>
      </c>
      <c r="T147" s="82">
        <v>1</v>
      </c>
      <c r="U147" s="92">
        <v>1</v>
      </c>
      <c r="V147" s="93">
        <v>1</v>
      </c>
      <c r="W147" s="78">
        <v>1</v>
      </c>
      <c r="X147" s="94">
        <v>1</v>
      </c>
      <c r="Y147" s="205">
        <f t="shared" si="71"/>
        <v>0.99750000000000005</v>
      </c>
      <c r="Z147" s="92">
        <v>0</v>
      </c>
      <c r="AA147" s="93">
        <v>0</v>
      </c>
      <c r="AB147" s="78">
        <v>0</v>
      </c>
      <c r="AC147" s="94">
        <v>0</v>
      </c>
      <c r="AD147" s="207">
        <f t="shared" si="72"/>
        <v>0</v>
      </c>
      <c r="AE147" s="92">
        <v>0</v>
      </c>
      <c r="AF147" s="93">
        <v>0</v>
      </c>
      <c r="AG147" s="78">
        <v>0</v>
      </c>
      <c r="AH147" s="94">
        <v>0</v>
      </c>
      <c r="AI147" s="207">
        <f t="shared" si="78"/>
        <v>0</v>
      </c>
      <c r="AJ147" s="206">
        <v>1</v>
      </c>
      <c r="AK147" s="93">
        <v>0</v>
      </c>
      <c r="AL147" s="94">
        <v>0</v>
      </c>
      <c r="AM147" s="92">
        <v>0</v>
      </c>
      <c r="AN147" s="93">
        <v>0</v>
      </c>
      <c r="AO147" s="78">
        <v>0</v>
      </c>
      <c r="AP147" s="94">
        <v>0</v>
      </c>
      <c r="AQ147" s="205">
        <f t="shared" si="73"/>
        <v>0</v>
      </c>
      <c r="AR147" s="92">
        <v>0</v>
      </c>
      <c r="AS147" s="93">
        <v>0</v>
      </c>
      <c r="AT147" s="78">
        <v>0</v>
      </c>
      <c r="AU147" s="94">
        <v>0</v>
      </c>
      <c r="AV147" s="205">
        <f t="shared" si="74"/>
        <v>0</v>
      </c>
      <c r="AW147" s="92">
        <v>0</v>
      </c>
      <c r="AX147" s="93">
        <v>0</v>
      </c>
      <c r="AY147" s="94">
        <v>0</v>
      </c>
      <c r="AZ147" s="205">
        <f t="shared" si="75"/>
        <v>0</v>
      </c>
      <c r="BA147" s="92">
        <v>0</v>
      </c>
      <c r="BB147" s="78">
        <v>0</v>
      </c>
      <c r="BC147" s="94">
        <v>0</v>
      </c>
      <c r="BD147" s="207">
        <f t="shared" si="76"/>
        <v>0</v>
      </c>
      <c r="BE147" s="86"/>
      <c r="BF147" s="87" t="e">
        <f t="shared" si="77"/>
        <v>#DIV/0!</v>
      </c>
      <c r="BG147" s="98"/>
    </row>
    <row r="148" spans="2:59" ht="43.5" customHeight="1" thickBot="1" x14ac:dyDescent="0.4">
      <c r="B148" s="101">
        <v>816</v>
      </c>
      <c r="C148" s="77">
        <v>1</v>
      </c>
      <c r="D148" s="78">
        <v>1</v>
      </c>
      <c r="E148" s="78">
        <v>1</v>
      </c>
      <c r="F148" s="199">
        <v>1</v>
      </c>
      <c r="G148" s="102">
        <f t="shared" si="69"/>
        <v>1</v>
      </c>
      <c r="H148" s="208">
        <v>0.8</v>
      </c>
      <c r="I148" s="110">
        <v>0.6</v>
      </c>
      <c r="J148" s="105">
        <v>0</v>
      </c>
      <c r="K148" s="111">
        <v>0.8</v>
      </c>
      <c r="L148" s="209">
        <f t="shared" si="70"/>
        <v>0.65999999999999992</v>
      </c>
      <c r="M148" s="107">
        <v>1</v>
      </c>
      <c r="N148" s="104">
        <v>1</v>
      </c>
      <c r="O148" s="105">
        <v>0.95</v>
      </c>
      <c r="P148" s="106">
        <v>1</v>
      </c>
      <c r="Q148" s="103">
        <v>1</v>
      </c>
      <c r="R148" s="104">
        <v>1</v>
      </c>
      <c r="S148" s="105">
        <v>1</v>
      </c>
      <c r="T148" s="108">
        <v>1</v>
      </c>
      <c r="U148" s="109">
        <v>1</v>
      </c>
      <c r="V148" s="110">
        <v>1</v>
      </c>
      <c r="W148" s="105">
        <v>1</v>
      </c>
      <c r="X148" s="111">
        <v>1</v>
      </c>
      <c r="Y148" s="210">
        <f t="shared" si="71"/>
        <v>0.99750000000000005</v>
      </c>
      <c r="Z148" s="109">
        <v>0</v>
      </c>
      <c r="AA148" s="110">
        <v>0</v>
      </c>
      <c r="AB148" s="105">
        <v>0</v>
      </c>
      <c r="AC148" s="111">
        <v>0</v>
      </c>
      <c r="AD148" s="209">
        <f t="shared" si="72"/>
        <v>0</v>
      </c>
      <c r="AE148" s="109">
        <v>0.9</v>
      </c>
      <c r="AF148" s="110">
        <v>1</v>
      </c>
      <c r="AG148" s="105">
        <v>0.4</v>
      </c>
      <c r="AH148" s="111">
        <v>0.7</v>
      </c>
      <c r="AI148" s="209">
        <f t="shared" si="78"/>
        <v>0.69499999999999995</v>
      </c>
      <c r="AJ148" s="208">
        <v>1</v>
      </c>
      <c r="AK148" s="110">
        <v>0</v>
      </c>
      <c r="AL148" s="111">
        <v>0</v>
      </c>
      <c r="AM148" s="109">
        <v>0</v>
      </c>
      <c r="AN148" s="110">
        <v>0</v>
      </c>
      <c r="AO148" s="105">
        <v>0</v>
      </c>
      <c r="AP148" s="111">
        <v>0</v>
      </c>
      <c r="AQ148" s="210">
        <f t="shared" si="73"/>
        <v>0</v>
      </c>
      <c r="AR148" s="109">
        <v>0</v>
      </c>
      <c r="AS148" s="110">
        <v>0</v>
      </c>
      <c r="AT148" s="105">
        <v>0</v>
      </c>
      <c r="AU148" s="111">
        <v>0</v>
      </c>
      <c r="AV148" s="210">
        <f t="shared" si="74"/>
        <v>0</v>
      </c>
      <c r="AW148" s="109">
        <v>0</v>
      </c>
      <c r="AX148" s="110">
        <v>0</v>
      </c>
      <c r="AY148" s="111">
        <v>0</v>
      </c>
      <c r="AZ148" s="210">
        <f t="shared" si="75"/>
        <v>0</v>
      </c>
      <c r="BA148" s="109">
        <v>0</v>
      </c>
      <c r="BB148" s="105">
        <v>0</v>
      </c>
      <c r="BC148" s="111">
        <v>0</v>
      </c>
      <c r="BD148" s="209">
        <f t="shared" si="76"/>
        <v>0</v>
      </c>
      <c r="BE148" s="127"/>
      <c r="BF148" s="87" t="e">
        <f t="shared" si="77"/>
        <v>#DIV/0!</v>
      </c>
      <c r="BG148" s="112"/>
    </row>
    <row r="149" spans="2:59" ht="43.5" customHeight="1" thickBot="1" x14ac:dyDescent="0.35">
      <c r="B149" s="256" t="s">
        <v>100</v>
      </c>
      <c r="C149" s="257"/>
      <c r="D149" s="257"/>
      <c r="E149" s="257"/>
      <c r="F149" s="257"/>
      <c r="G149" s="257"/>
      <c r="H149" s="257"/>
      <c r="I149" s="257"/>
      <c r="J149" s="257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  <c r="AA149" s="257"/>
      <c r="AB149" s="257"/>
      <c r="AC149" s="257"/>
      <c r="AD149" s="257"/>
      <c r="AE149" s="257"/>
      <c r="AF149" s="257"/>
      <c r="AG149" s="257"/>
      <c r="AH149" s="257"/>
      <c r="AI149" s="257"/>
      <c r="AJ149" s="257"/>
      <c r="AK149" s="257"/>
      <c r="AL149" s="257"/>
      <c r="AM149" s="257"/>
      <c r="AN149" s="257"/>
      <c r="AO149" s="257"/>
      <c r="AP149" s="257"/>
      <c r="AQ149" s="257"/>
      <c r="AR149" s="257"/>
      <c r="AS149" s="257"/>
      <c r="AT149" s="257"/>
      <c r="AU149" s="257"/>
      <c r="AV149" s="257"/>
      <c r="AW149" s="257"/>
      <c r="AX149" s="257"/>
      <c r="AY149" s="257"/>
      <c r="AZ149" s="257"/>
      <c r="BA149" s="257"/>
      <c r="BB149" s="257"/>
      <c r="BC149" s="257"/>
      <c r="BD149" s="257"/>
      <c r="BE149" s="257"/>
      <c r="BF149" s="257"/>
      <c r="BG149" s="258"/>
    </row>
    <row r="150" spans="2:59" ht="43.5" customHeight="1" x14ac:dyDescent="0.3">
      <c r="B150" s="76">
        <v>901</v>
      </c>
      <c r="C150" s="77">
        <v>1</v>
      </c>
      <c r="D150" s="78">
        <v>1</v>
      </c>
      <c r="E150" s="78">
        <v>1</v>
      </c>
      <c r="F150" s="199">
        <v>1</v>
      </c>
      <c r="G150" s="85">
        <f t="shared" ref="G150:G165" si="79" xml:space="preserve"> C150*45% + D150*45% + E150*5% + F150*5%</f>
        <v>1</v>
      </c>
      <c r="H150" s="200">
        <v>1</v>
      </c>
      <c r="I150" s="201">
        <v>1</v>
      </c>
      <c r="J150" s="202">
        <v>1</v>
      </c>
      <c r="K150" s="203">
        <v>1</v>
      </c>
      <c r="L150" s="85">
        <f t="shared" ref="L150:L165" si="80" xml:space="preserve"> H150*30% + I150*30% + J150*10% + K150*30%</f>
        <v>1</v>
      </c>
      <c r="M150" s="80">
        <v>1</v>
      </c>
      <c r="N150" s="81">
        <v>1</v>
      </c>
      <c r="O150" s="78">
        <v>0.95</v>
      </c>
      <c r="P150" s="84">
        <v>1</v>
      </c>
      <c r="Q150" s="83">
        <v>1</v>
      </c>
      <c r="R150" s="81">
        <v>1</v>
      </c>
      <c r="S150" s="78">
        <v>1</v>
      </c>
      <c r="T150" s="82">
        <v>1</v>
      </c>
      <c r="U150" s="140">
        <v>1</v>
      </c>
      <c r="V150" s="201">
        <v>1</v>
      </c>
      <c r="W150" s="202">
        <v>1</v>
      </c>
      <c r="X150" s="203">
        <v>1</v>
      </c>
      <c r="Y150" s="204">
        <f t="shared" ref="Y150:Y165" si="81" xml:space="preserve"> (U150*10% + V150*10% + W150*10% + X150*10%+ Q150*5% + R150*5% + S150*5% + T150*5%+M150*10% + N150*15% + O150*5% + P150*10%)</f>
        <v>0.99750000000000005</v>
      </c>
      <c r="Z150" s="140">
        <v>0</v>
      </c>
      <c r="AA150" s="201">
        <v>0</v>
      </c>
      <c r="AB150" s="202">
        <v>0</v>
      </c>
      <c r="AC150" s="203">
        <v>0</v>
      </c>
      <c r="AD150" s="85">
        <f t="shared" ref="AD150:AD165" si="82" xml:space="preserve"> Z150*45% + AA150*45% + AB150*5% + AC150*5%</f>
        <v>0</v>
      </c>
      <c r="AE150" s="140">
        <v>0.9</v>
      </c>
      <c r="AF150" s="201"/>
      <c r="AG150" s="202"/>
      <c r="AH150" s="203"/>
      <c r="AI150" s="85">
        <f xml:space="preserve"> AE150*5% + AF150*30% + AG150*35% + AH150*30%</f>
        <v>4.5000000000000005E-2</v>
      </c>
      <c r="AJ150" s="80">
        <v>1</v>
      </c>
      <c r="AK150" s="81">
        <v>0</v>
      </c>
      <c r="AL150" s="82"/>
      <c r="AM150" s="92">
        <v>0</v>
      </c>
      <c r="AN150" s="93">
        <v>0</v>
      </c>
      <c r="AO150" s="78">
        <v>0</v>
      </c>
      <c r="AP150" s="94">
        <v>0</v>
      </c>
      <c r="AQ150" s="205">
        <f t="shared" ref="AQ150:AQ165" si="83" xml:space="preserve"> AM150*15% + AN150*35% + AO150*15% + AP150*35%</f>
        <v>0</v>
      </c>
      <c r="AR150" s="140">
        <v>0</v>
      </c>
      <c r="AS150" s="201">
        <v>0</v>
      </c>
      <c r="AT150" s="202">
        <v>0</v>
      </c>
      <c r="AU150" s="203">
        <v>0</v>
      </c>
      <c r="AV150" s="204">
        <f t="shared" ref="AV150:AV165" si="84" xml:space="preserve"> AR150*30% + AS150*30% + AT150*15% + AU150*25%</f>
        <v>0</v>
      </c>
      <c r="AW150" s="140">
        <v>0</v>
      </c>
      <c r="AX150" s="201">
        <v>0</v>
      </c>
      <c r="AY150" s="203">
        <v>0</v>
      </c>
      <c r="AZ150" s="204">
        <f t="shared" ref="AZ150:AZ165" si="85" xml:space="preserve">  AW150*30% + AX150*45% + AY150*25%</f>
        <v>0</v>
      </c>
      <c r="BA150" s="140">
        <v>0</v>
      </c>
      <c r="BB150" s="202">
        <v>0</v>
      </c>
      <c r="BC150" s="203">
        <v>0</v>
      </c>
      <c r="BD150" s="85">
        <f xml:space="preserve">  BA150*30% + BB150*45% + BC150*25%</f>
        <v>0</v>
      </c>
      <c r="BE150" s="86"/>
      <c r="BF150" s="87" t="e">
        <f t="shared" ref="BF150:BF165" si="86">(
(COUNTIF(B150:E150,"✓")/(COUNTIF(B150:E150,"✓")+COUNTIF(B150:E150,"x")))*0.2 +
(COUNTIF(F150:J150,"✓")/(COUNTIF(F150:J150,"✓")+COUNTIF(F150:J150,"x")))*0.1 +
(COUNTIF(K150:O150,"✓")/(COUNTIF(K150:O150,"✓")+COUNTIF(K150:O150,"x")))*0.1 +
(COUNTIF(P150:S150,"✓")/(COUNTIF(P150:S150,"✓")+COUNTIF(P150:S150,"x")))*0.1 +
(COUNTIF(T150:W150,"✓")/(COUNTIF(T150:W150,"✓")+COUNTIF(T150:W150,"x")))*0.1 +
(COUNTIF(X150:AB150,"✓")/(COUNTIF(X150:AB150,"✓")+COUNTIF(X150:AB150,"x")))*0.1 +
(COUNTIF(AC150:AO150,"✓")/(COUNTIF(AC150:AO150,"✓")+COUNTIF(AC150:AO150,"x")))*0.1 +
(COUNTIF(AP150:AT150,"✓")/(COUNTIF(AP150:AT150,"✓")+COUNTIF(AP150:AT150,"x")))*0.05 +
(COUNTIF(AU150:BB150,"✓")/(COUNTIF(AU150:BB150,"✓")+COUNTIF(AU150:BB150,"x")))*0.1 +
(COUNTIF(BC150:BC150,"✓")/(COUNTIF(BC150:BC150,"✓")+COUNTIF(BC150:BC150,"x")))*0.05
)</f>
        <v>#DIV/0!</v>
      </c>
      <c r="BG150" s="88"/>
    </row>
    <row r="151" spans="2:59" ht="43.5" customHeight="1" x14ac:dyDescent="0.3">
      <c r="B151" s="90">
        <v>902</v>
      </c>
      <c r="C151" s="77">
        <v>1</v>
      </c>
      <c r="D151" s="78">
        <v>1</v>
      </c>
      <c r="E151" s="78">
        <v>1</v>
      </c>
      <c r="F151" s="199">
        <v>1</v>
      </c>
      <c r="G151" s="91">
        <f t="shared" si="79"/>
        <v>1</v>
      </c>
      <c r="H151" s="206">
        <v>0.7</v>
      </c>
      <c r="I151" s="93">
        <v>0.7</v>
      </c>
      <c r="J151" s="78">
        <v>0.7</v>
      </c>
      <c r="K151" s="94">
        <v>0.7</v>
      </c>
      <c r="L151" s="207">
        <f t="shared" si="80"/>
        <v>0.7</v>
      </c>
      <c r="M151" s="80">
        <v>1</v>
      </c>
      <c r="N151" s="81">
        <v>1</v>
      </c>
      <c r="O151" s="78">
        <v>0.95</v>
      </c>
      <c r="P151" s="84">
        <v>1</v>
      </c>
      <c r="Q151" s="83">
        <v>1</v>
      </c>
      <c r="R151" s="81">
        <v>1</v>
      </c>
      <c r="S151" s="78">
        <v>1</v>
      </c>
      <c r="T151" s="82">
        <v>1</v>
      </c>
      <c r="U151" s="92">
        <v>1</v>
      </c>
      <c r="V151" s="93">
        <v>1</v>
      </c>
      <c r="W151" s="78">
        <v>1</v>
      </c>
      <c r="X151" s="94">
        <v>1</v>
      </c>
      <c r="Y151" s="205">
        <f t="shared" si="81"/>
        <v>0.99750000000000005</v>
      </c>
      <c r="Z151" s="92">
        <v>0</v>
      </c>
      <c r="AA151" s="93">
        <v>0</v>
      </c>
      <c r="AB151" s="78">
        <v>0</v>
      </c>
      <c r="AC151" s="94">
        <v>0</v>
      </c>
      <c r="AD151" s="207">
        <f t="shared" si="82"/>
        <v>0</v>
      </c>
      <c r="AE151" s="92">
        <v>0.7</v>
      </c>
      <c r="AF151" s="93"/>
      <c r="AG151" s="78">
        <v>0.5</v>
      </c>
      <c r="AH151" s="94"/>
      <c r="AI151" s="207">
        <f t="shared" ref="AI151:AI165" si="87" xml:space="preserve"> AE151*5% + AF151*30% + AG151*35% + AH151*30%</f>
        <v>0.21</v>
      </c>
      <c r="AJ151" s="206">
        <v>1</v>
      </c>
      <c r="AK151" s="93">
        <v>0</v>
      </c>
      <c r="AL151" s="94"/>
      <c r="AM151" s="92">
        <v>0</v>
      </c>
      <c r="AN151" s="93">
        <v>0</v>
      </c>
      <c r="AO151" s="78">
        <v>0</v>
      </c>
      <c r="AP151" s="94">
        <v>0</v>
      </c>
      <c r="AQ151" s="205">
        <f t="shared" si="83"/>
        <v>0</v>
      </c>
      <c r="AR151" s="92">
        <v>0</v>
      </c>
      <c r="AS151" s="93">
        <v>0</v>
      </c>
      <c r="AT151" s="78">
        <v>0</v>
      </c>
      <c r="AU151" s="94">
        <v>0</v>
      </c>
      <c r="AV151" s="205">
        <f t="shared" si="84"/>
        <v>0</v>
      </c>
      <c r="AW151" s="92">
        <v>0</v>
      </c>
      <c r="AX151" s="93">
        <v>0</v>
      </c>
      <c r="AY151" s="94">
        <v>0</v>
      </c>
      <c r="AZ151" s="205">
        <f t="shared" si="85"/>
        <v>0</v>
      </c>
      <c r="BA151" s="92">
        <v>0</v>
      </c>
      <c r="BB151" s="78">
        <v>0</v>
      </c>
      <c r="BC151" s="94">
        <v>0</v>
      </c>
      <c r="BD151" s="207">
        <f t="shared" ref="BD151:BD165" si="88" xml:space="preserve">  BA151*30% + BB151*45% + BC151*25%</f>
        <v>0</v>
      </c>
      <c r="BE151" s="86"/>
      <c r="BF151" s="87" t="e">
        <f t="shared" si="86"/>
        <v>#DIV/0!</v>
      </c>
      <c r="BG151" s="95"/>
    </row>
    <row r="152" spans="2:59" ht="43.5" customHeight="1" x14ac:dyDescent="0.3">
      <c r="B152" s="76">
        <v>903</v>
      </c>
      <c r="C152" s="77">
        <v>1</v>
      </c>
      <c r="D152" s="78">
        <v>1</v>
      </c>
      <c r="E152" s="78">
        <v>1</v>
      </c>
      <c r="F152" s="199">
        <v>1</v>
      </c>
      <c r="G152" s="91">
        <f t="shared" si="79"/>
        <v>1</v>
      </c>
      <c r="H152" s="206">
        <v>0.8</v>
      </c>
      <c r="I152" s="93">
        <v>0.8</v>
      </c>
      <c r="J152" s="78">
        <v>0.8</v>
      </c>
      <c r="K152" s="94">
        <v>0.8</v>
      </c>
      <c r="L152" s="207">
        <f t="shared" si="80"/>
        <v>0.8</v>
      </c>
      <c r="M152" s="80">
        <v>1</v>
      </c>
      <c r="N152" s="81">
        <v>1</v>
      </c>
      <c r="O152" s="78">
        <v>0.95</v>
      </c>
      <c r="P152" s="84">
        <v>1</v>
      </c>
      <c r="Q152" s="83">
        <v>1</v>
      </c>
      <c r="R152" s="81">
        <v>1</v>
      </c>
      <c r="S152" s="78">
        <v>1</v>
      </c>
      <c r="T152" s="82">
        <v>1</v>
      </c>
      <c r="U152" s="92">
        <v>1</v>
      </c>
      <c r="V152" s="93">
        <v>1</v>
      </c>
      <c r="W152" s="78">
        <v>1</v>
      </c>
      <c r="X152" s="94">
        <v>1</v>
      </c>
      <c r="Y152" s="205">
        <f t="shared" si="81"/>
        <v>0.99750000000000005</v>
      </c>
      <c r="Z152" s="92">
        <v>0</v>
      </c>
      <c r="AA152" s="93">
        <v>0</v>
      </c>
      <c r="AB152" s="78">
        <v>0</v>
      </c>
      <c r="AC152" s="94">
        <v>0</v>
      </c>
      <c r="AD152" s="207">
        <f t="shared" si="82"/>
        <v>0</v>
      </c>
      <c r="AE152" s="92">
        <v>0.9</v>
      </c>
      <c r="AF152" s="93"/>
      <c r="AG152" s="78">
        <v>0.7</v>
      </c>
      <c r="AH152" s="94"/>
      <c r="AI152" s="207">
        <f t="shared" si="87"/>
        <v>0.28999999999999998</v>
      </c>
      <c r="AJ152" s="206">
        <v>1</v>
      </c>
      <c r="AK152" s="93">
        <v>0</v>
      </c>
      <c r="AL152" s="94"/>
      <c r="AM152" s="92">
        <v>0</v>
      </c>
      <c r="AN152" s="93">
        <v>0</v>
      </c>
      <c r="AO152" s="78">
        <v>0</v>
      </c>
      <c r="AP152" s="94">
        <v>0</v>
      </c>
      <c r="AQ152" s="205">
        <f t="shared" si="83"/>
        <v>0</v>
      </c>
      <c r="AR152" s="92">
        <v>0</v>
      </c>
      <c r="AS152" s="93">
        <v>0</v>
      </c>
      <c r="AT152" s="78">
        <v>0</v>
      </c>
      <c r="AU152" s="94">
        <v>0</v>
      </c>
      <c r="AV152" s="205">
        <f t="shared" si="84"/>
        <v>0</v>
      </c>
      <c r="AW152" s="92">
        <v>0</v>
      </c>
      <c r="AX152" s="93">
        <v>0</v>
      </c>
      <c r="AY152" s="94">
        <v>0</v>
      </c>
      <c r="AZ152" s="205">
        <f t="shared" si="85"/>
        <v>0</v>
      </c>
      <c r="BA152" s="92">
        <v>0</v>
      </c>
      <c r="BB152" s="78">
        <v>0</v>
      </c>
      <c r="BC152" s="94">
        <v>0</v>
      </c>
      <c r="BD152" s="207">
        <f t="shared" si="88"/>
        <v>0</v>
      </c>
      <c r="BE152" s="86"/>
      <c r="BF152" s="87" t="e">
        <f t="shared" si="86"/>
        <v>#DIV/0!</v>
      </c>
      <c r="BG152" s="88"/>
    </row>
    <row r="153" spans="2:59" ht="43.5" customHeight="1" x14ac:dyDescent="0.3">
      <c r="B153" s="76">
        <v>904</v>
      </c>
      <c r="C153" s="77">
        <v>1</v>
      </c>
      <c r="D153" s="78">
        <v>1</v>
      </c>
      <c r="E153" s="78">
        <v>1</v>
      </c>
      <c r="F153" s="199">
        <v>1</v>
      </c>
      <c r="G153" s="91">
        <f t="shared" si="79"/>
        <v>1</v>
      </c>
      <c r="H153" s="206">
        <v>0.9</v>
      </c>
      <c r="I153" s="93">
        <v>0.4</v>
      </c>
      <c r="J153" s="78">
        <v>0</v>
      </c>
      <c r="K153" s="94">
        <v>0.9</v>
      </c>
      <c r="L153" s="207">
        <f t="shared" si="80"/>
        <v>0.66</v>
      </c>
      <c r="M153" s="80">
        <v>1</v>
      </c>
      <c r="N153" s="81">
        <v>1</v>
      </c>
      <c r="O153" s="78">
        <v>0.95</v>
      </c>
      <c r="P153" s="84">
        <v>1</v>
      </c>
      <c r="Q153" s="83">
        <v>1</v>
      </c>
      <c r="R153" s="81">
        <v>1</v>
      </c>
      <c r="S153" s="78">
        <v>1</v>
      </c>
      <c r="T153" s="82">
        <v>1</v>
      </c>
      <c r="U153" s="92">
        <v>1</v>
      </c>
      <c r="V153" s="93">
        <v>1</v>
      </c>
      <c r="W153" s="78">
        <v>1</v>
      </c>
      <c r="X153" s="94">
        <v>1</v>
      </c>
      <c r="Y153" s="205">
        <f t="shared" si="81"/>
        <v>0.99750000000000005</v>
      </c>
      <c r="Z153" s="92">
        <v>0</v>
      </c>
      <c r="AA153" s="93">
        <v>0</v>
      </c>
      <c r="AB153" s="78">
        <v>0</v>
      </c>
      <c r="AC153" s="94">
        <v>0</v>
      </c>
      <c r="AD153" s="207">
        <f t="shared" si="82"/>
        <v>0</v>
      </c>
      <c r="AE153" s="92">
        <v>0.7</v>
      </c>
      <c r="AF153" s="93">
        <v>0.7</v>
      </c>
      <c r="AG153" s="78">
        <v>0</v>
      </c>
      <c r="AH153" s="94"/>
      <c r="AI153" s="207">
        <f t="shared" si="87"/>
        <v>0.245</v>
      </c>
      <c r="AJ153" s="206">
        <v>1</v>
      </c>
      <c r="AK153" s="93">
        <v>0</v>
      </c>
      <c r="AL153" s="94"/>
      <c r="AM153" s="92">
        <v>0</v>
      </c>
      <c r="AN153" s="93">
        <v>0</v>
      </c>
      <c r="AO153" s="78">
        <v>0</v>
      </c>
      <c r="AP153" s="94">
        <v>0</v>
      </c>
      <c r="AQ153" s="205">
        <f t="shared" si="83"/>
        <v>0</v>
      </c>
      <c r="AR153" s="92">
        <v>0</v>
      </c>
      <c r="AS153" s="93">
        <v>0</v>
      </c>
      <c r="AT153" s="78">
        <v>0</v>
      </c>
      <c r="AU153" s="94">
        <v>0</v>
      </c>
      <c r="AV153" s="205">
        <f t="shared" si="84"/>
        <v>0</v>
      </c>
      <c r="AW153" s="92">
        <v>0</v>
      </c>
      <c r="AX153" s="93">
        <v>0</v>
      </c>
      <c r="AY153" s="94">
        <v>0</v>
      </c>
      <c r="AZ153" s="205">
        <f t="shared" si="85"/>
        <v>0</v>
      </c>
      <c r="BA153" s="92">
        <v>0</v>
      </c>
      <c r="BB153" s="78">
        <v>0</v>
      </c>
      <c r="BC153" s="94">
        <v>0</v>
      </c>
      <c r="BD153" s="207">
        <f t="shared" si="88"/>
        <v>0</v>
      </c>
      <c r="BE153" s="86"/>
      <c r="BF153" s="87" t="e">
        <f t="shared" si="86"/>
        <v>#DIV/0!</v>
      </c>
      <c r="BG153" s="97"/>
    </row>
    <row r="154" spans="2:59" ht="43.5" customHeight="1" x14ac:dyDescent="0.35">
      <c r="B154" s="90">
        <v>905</v>
      </c>
      <c r="C154" s="77">
        <v>1</v>
      </c>
      <c r="D154" s="78">
        <v>1</v>
      </c>
      <c r="E154" s="78">
        <v>1</v>
      </c>
      <c r="F154" s="199">
        <v>1</v>
      </c>
      <c r="G154" s="91">
        <f t="shared" si="79"/>
        <v>1</v>
      </c>
      <c r="H154" s="206">
        <v>0.7</v>
      </c>
      <c r="I154" s="93">
        <v>0</v>
      </c>
      <c r="J154" s="78">
        <v>0</v>
      </c>
      <c r="K154" s="94">
        <v>0.6</v>
      </c>
      <c r="L154" s="207">
        <f t="shared" si="80"/>
        <v>0.39</v>
      </c>
      <c r="M154" s="80">
        <v>1</v>
      </c>
      <c r="N154" s="81">
        <v>1</v>
      </c>
      <c r="O154" s="78">
        <v>0.95</v>
      </c>
      <c r="P154" s="84">
        <v>1</v>
      </c>
      <c r="Q154" s="83">
        <v>1</v>
      </c>
      <c r="R154" s="81">
        <v>1</v>
      </c>
      <c r="S154" s="78">
        <v>1</v>
      </c>
      <c r="T154" s="82">
        <v>1</v>
      </c>
      <c r="U154" s="92">
        <v>1</v>
      </c>
      <c r="V154" s="93">
        <v>1</v>
      </c>
      <c r="W154" s="78">
        <v>1</v>
      </c>
      <c r="X154" s="94">
        <v>1</v>
      </c>
      <c r="Y154" s="205">
        <f t="shared" si="81"/>
        <v>0.99750000000000005</v>
      </c>
      <c r="Z154" s="92">
        <v>0</v>
      </c>
      <c r="AA154" s="93">
        <v>0</v>
      </c>
      <c r="AB154" s="78">
        <v>0</v>
      </c>
      <c r="AC154" s="94">
        <v>0</v>
      </c>
      <c r="AD154" s="207">
        <f t="shared" si="82"/>
        <v>0</v>
      </c>
      <c r="AE154" s="92">
        <v>0.9</v>
      </c>
      <c r="AF154" s="93"/>
      <c r="AG154" s="78"/>
      <c r="AH154" s="94"/>
      <c r="AI154" s="207">
        <f t="shared" si="87"/>
        <v>4.5000000000000005E-2</v>
      </c>
      <c r="AJ154" s="206">
        <v>1</v>
      </c>
      <c r="AK154" s="93">
        <v>0</v>
      </c>
      <c r="AL154" s="94"/>
      <c r="AM154" s="92">
        <v>0</v>
      </c>
      <c r="AN154" s="93">
        <v>0</v>
      </c>
      <c r="AO154" s="78">
        <v>0</v>
      </c>
      <c r="AP154" s="94">
        <v>0</v>
      </c>
      <c r="AQ154" s="205">
        <f t="shared" si="83"/>
        <v>0</v>
      </c>
      <c r="AR154" s="92">
        <v>0</v>
      </c>
      <c r="AS154" s="93">
        <v>0</v>
      </c>
      <c r="AT154" s="78">
        <v>0</v>
      </c>
      <c r="AU154" s="94">
        <v>0</v>
      </c>
      <c r="AV154" s="205">
        <f t="shared" si="84"/>
        <v>0</v>
      </c>
      <c r="AW154" s="92">
        <v>0</v>
      </c>
      <c r="AX154" s="93">
        <v>0</v>
      </c>
      <c r="AY154" s="94">
        <v>0</v>
      </c>
      <c r="AZ154" s="205">
        <f t="shared" si="85"/>
        <v>0</v>
      </c>
      <c r="BA154" s="92">
        <v>0</v>
      </c>
      <c r="BB154" s="78">
        <v>0</v>
      </c>
      <c r="BC154" s="94">
        <v>0</v>
      </c>
      <c r="BD154" s="207">
        <f t="shared" si="88"/>
        <v>0</v>
      </c>
      <c r="BE154" s="86"/>
      <c r="BF154" s="87" t="e">
        <f t="shared" si="86"/>
        <v>#DIV/0!</v>
      </c>
      <c r="BG154" s="98"/>
    </row>
    <row r="155" spans="2:59" ht="43.5" customHeight="1" x14ac:dyDescent="0.35">
      <c r="B155" s="76">
        <v>906</v>
      </c>
      <c r="C155" s="77">
        <v>1</v>
      </c>
      <c r="D155" s="78">
        <v>1</v>
      </c>
      <c r="E155" s="78">
        <v>1</v>
      </c>
      <c r="F155" s="199">
        <v>1</v>
      </c>
      <c r="G155" s="91">
        <f t="shared" si="79"/>
        <v>1</v>
      </c>
      <c r="H155" s="206">
        <v>0</v>
      </c>
      <c r="I155" s="93">
        <v>0</v>
      </c>
      <c r="J155" s="78">
        <v>0</v>
      </c>
      <c r="K155" s="94">
        <v>0</v>
      </c>
      <c r="L155" s="207">
        <f t="shared" si="80"/>
        <v>0</v>
      </c>
      <c r="M155" s="80">
        <v>1</v>
      </c>
      <c r="N155" s="81">
        <v>1</v>
      </c>
      <c r="O155" s="78">
        <v>0.95</v>
      </c>
      <c r="P155" s="84">
        <v>1</v>
      </c>
      <c r="Q155" s="83">
        <v>1</v>
      </c>
      <c r="R155" s="81">
        <v>1</v>
      </c>
      <c r="S155" s="78">
        <v>1</v>
      </c>
      <c r="T155" s="82">
        <v>1</v>
      </c>
      <c r="U155" s="92">
        <v>1</v>
      </c>
      <c r="V155" s="93">
        <v>1</v>
      </c>
      <c r="W155" s="78">
        <v>1</v>
      </c>
      <c r="X155" s="94">
        <v>1</v>
      </c>
      <c r="Y155" s="205">
        <f t="shared" si="81"/>
        <v>0.99750000000000005</v>
      </c>
      <c r="Z155" s="92">
        <v>0</v>
      </c>
      <c r="AA155" s="93">
        <v>0</v>
      </c>
      <c r="AB155" s="78">
        <v>0</v>
      </c>
      <c r="AC155" s="94">
        <v>0</v>
      </c>
      <c r="AD155" s="207">
        <f t="shared" si="82"/>
        <v>0</v>
      </c>
      <c r="AE155" s="92">
        <v>0.7</v>
      </c>
      <c r="AF155" s="93"/>
      <c r="AG155" s="78">
        <v>1</v>
      </c>
      <c r="AH155" s="94">
        <v>1</v>
      </c>
      <c r="AI155" s="207">
        <f t="shared" si="87"/>
        <v>0.68499999999999994</v>
      </c>
      <c r="AJ155" s="206">
        <v>1</v>
      </c>
      <c r="AK155" s="93">
        <v>0</v>
      </c>
      <c r="AL155" s="94"/>
      <c r="AM155" s="92">
        <v>0</v>
      </c>
      <c r="AN155" s="93">
        <v>0</v>
      </c>
      <c r="AO155" s="78">
        <v>0</v>
      </c>
      <c r="AP155" s="94">
        <v>0</v>
      </c>
      <c r="AQ155" s="205">
        <f t="shared" si="83"/>
        <v>0</v>
      </c>
      <c r="AR155" s="92">
        <v>0</v>
      </c>
      <c r="AS155" s="93">
        <v>0</v>
      </c>
      <c r="AT155" s="78">
        <v>0</v>
      </c>
      <c r="AU155" s="94">
        <v>0</v>
      </c>
      <c r="AV155" s="205">
        <f t="shared" si="84"/>
        <v>0</v>
      </c>
      <c r="AW155" s="92">
        <v>0</v>
      </c>
      <c r="AX155" s="93">
        <v>0</v>
      </c>
      <c r="AY155" s="94">
        <v>0</v>
      </c>
      <c r="AZ155" s="205">
        <f t="shared" si="85"/>
        <v>0</v>
      </c>
      <c r="BA155" s="92">
        <v>0</v>
      </c>
      <c r="BB155" s="78">
        <v>0</v>
      </c>
      <c r="BC155" s="94">
        <v>0</v>
      </c>
      <c r="BD155" s="207">
        <f t="shared" si="88"/>
        <v>0</v>
      </c>
      <c r="BE155" s="86"/>
      <c r="BF155" s="87" t="e">
        <f t="shared" si="86"/>
        <v>#DIV/0!</v>
      </c>
      <c r="BG155" s="99"/>
    </row>
    <row r="156" spans="2:59" ht="43.5" customHeight="1" x14ac:dyDescent="0.35">
      <c r="B156" s="76">
        <v>907</v>
      </c>
      <c r="C156" s="77">
        <v>1</v>
      </c>
      <c r="D156" s="78">
        <v>1</v>
      </c>
      <c r="E156" s="78">
        <v>1</v>
      </c>
      <c r="F156" s="199">
        <v>1</v>
      </c>
      <c r="G156" s="91">
        <f t="shared" si="79"/>
        <v>1</v>
      </c>
      <c r="H156" s="206">
        <v>0</v>
      </c>
      <c r="I156" s="93">
        <v>0</v>
      </c>
      <c r="J156" s="78">
        <v>0</v>
      </c>
      <c r="K156" s="94">
        <v>0</v>
      </c>
      <c r="L156" s="207">
        <f t="shared" si="80"/>
        <v>0</v>
      </c>
      <c r="M156" s="80">
        <v>1</v>
      </c>
      <c r="N156" s="81">
        <v>1</v>
      </c>
      <c r="O156" s="78">
        <v>0.95</v>
      </c>
      <c r="P156" s="84">
        <v>1</v>
      </c>
      <c r="Q156" s="83">
        <v>1</v>
      </c>
      <c r="R156" s="81">
        <v>1</v>
      </c>
      <c r="S156" s="78">
        <v>1</v>
      </c>
      <c r="T156" s="82">
        <v>1</v>
      </c>
      <c r="U156" s="92">
        <v>1</v>
      </c>
      <c r="V156" s="93">
        <v>1</v>
      </c>
      <c r="W156" s="78">
        <v>1</v>
      </c>
      <c r="X156" s="94">
        <v>1</v>
      </c>
      <c r="Y156" s="205">
        <f t="shared" si="81"/>
        <v>0.99750000000000005</v>
      </c>
      <c r="Z156" s="92">
        <v>0</v>
      </c>
      <c r="AA156" s="93">
        <v>0</v>
      </c>
      <c r="AB156" s="78">
        <v>0</v>
      </c>
      <c r="AC156" s="94">
        <v>0</v>
      </c>
      <c r="AD156" s="207">
        <f t="shared" si="82"/>
        <v>0</v>
      </c>
      <c r="AE156" s="92">
        <v>0.9</v>
      </c>
      <c r="AF156" s="93"/>
      <c r="AG156" s="78">
        <v>0.7</v>
      </c>
      <c r="AH156" s="94"/>
      <c r="AI156" s="207">
        <f t="shared" si="87"/>
        <v>0.28999999999999998</v>
      </c>
      <c r="AJ156" s="206">
        <v>1</v>
      </c>
      <c r="AK156" s="93">
        <v>0</v>
      </c>
      <c r="AL156" s="94"/>
      <c r="AM156" s="92">
        <v>0</v>
      </c>
      <c r="AN156" s="93">
        <v>0</v>
      </c>
      <c r="AO156" s="78">
        <v>0</v>
      </c>
      <c r="AP156" s="94">
        <v>0</v>
      </c>
      <c r="AQ156" s="205">
        <f t="shared" si="83"/>
        <v>0</v>
      </c>
      <c r="AR156" s="92">
        <v>0</v>
      </c>
      <c r="AS156" s="93">
        <v>0</v>
      </c>
      <c r="AT156" s="78">
        <v>0</v>
      </c>
      <c r="AU156" s="94">
        <v>0</v>
      </c>
      <c r="AV156" s="205">
        <f t="shared" si="84"/>
        <v>0</v>
      </c>
      <c r="AW156" s="92">
        <v>0</v>
      </c>
      <c r="AX156" s="93">
        <v>0</v>
      </c>
      <c r="AY156" s="94">
        <v>0</v>
      </c>
      <c r="AZ156" s="205">
        <f t="shared" si="85"/>
        <v>0</v>
      </c>
      <c r="BA156" s="92">
        <v>0</v>
      </c>
      <c r="BB156" s="78">
        <v>0</v>
      </c>
      <c r="BC156" s="94">
        <v>0</v>
      </c>
      <c r="BD156" s="207">
        <f t="shared" si="88"/>
        <v>0</v>
      </c>
      <c r="BE156" s="86"/>
      <c r="BF156" s="87" t="e">
        <f t="shared" si="86"/>
        <v>#DIV/0!</v>
      </c>
      <c r="BG156" s="98"/>
    </row>
    <row r="157" spans="2:59" ht="43.5" customHeight="1" x14ac:dyDescent="0.35">
      <c r="B157" s="90">
        <v>908</v>
      </c>
      <c r="C157" s="77">
        <v>1</v>
      </c>
      <c r="D157" s="78">
        <v>1</v>
      </c>
      <c r="E157" s="78">
        <v>1</v>
      </c>
      <c r="F157" s="199">
        <v>1</v>
      </c>
      <c r="G157" s="91">
        <f t="shared" si="79"/>
        <v>1</v>
      </c>
      <c r="H157" s="206">
        <v>0.75</v>
      </c>
      <c r="I157" s="93">
        <v>0.75</v>
      </c>
      <c r="J157" s="78">
        <v>0.75</v>
      </c>
      <c r="K157" s="94">
        <v>0.75</v>
      </c>
      <c r="L157" s="207">
        <f t="shared" si="80"/>
        <v>0.74999999999999989</v>
      </c>
      <c r="M157" s="80">
        <v>1</v>
      </c>
      <c r="N157" s="81">
        <v>1</v>
      </c>
      <c r="O157" s="78">
        <v>0.95</v>
      </c>
      <c r="P157" s="84">
        <v>1</v>
      </c>
      <c r="Q157" s="83">
        <v>1</v>
      </c>
      <c r="R157" s="81">
        <v>1</v>
      </c>
      <c r="S157" s="78">
        <v>1</v>
      </c>
      <c r="T157" s="82">
        <v>1</v>
      </c>
      <c r="U157" s="92">
        <v>1</v>
      </c>
      <c r="V157" s="93">
        <v>1</v>
      </c>
      <c r="W157" s="78">
        <v>1</v>
      </c>
      <c r="X157" s="94">
        <v>1</v>
      </c>
      <c r="Y157" s="205">
        <f t="shared" si="81"/>
        <v>0.99750000000000005</v>
      </c>
      <c r="Z157" s="92">
        <v>0</v>
      </c>
      <c r="AA157" s="93">
        <v>0</v>
      </c>
      <c r="AB157" s="78">
        <v>0</v>
      </c>
      <c r="AC157" s="94">
        <v>0</v>
      </c>
      <c r="AD157" s="207">
        <f t="shared" si="82"/>
        <v>0</v>
      </c>
      <c r="AE157" s="92">
        <v>0.7</v>
      </c>
      <c r="AF157" s="93">
        <v>1</v>
      </c>
      <c r="AG157" s="78">
        <v>0.7</v>
      </c>
      <c r="AH157" s="94"/>
      <c r="AI157" s="207">
        <f t="shared" si="87"/>
        <v>0.57999999999999996</v>
      </c>
      <c r="AJ157" s="206">
        <v>1</v>
      </c>
      <c r="AK157" s="93">
        <v>0</v>
      </c>
      <c r="AL157" s="94"/>
      <c r="AM157" s="92">
        <v>0</v>
      </c>
      <c r="AN157" s="93">
        <v>0</v>
      </c>
      <c r="AO157" s="78">
        <v>0</v>
      </c>
      <c r="AP157" s="94">
        <v>0</v>
      </c>
      <c r="AQ157" s="205">
        <f t="shared" si="83"/>
        <v>0</v>
      </c>
      <c r="AR157" s="92">
        <v>0</v>
      </c>
      <c r="AS157" s="93">
        <v>0</v>
      </c>
      <c r="AT157" s="78">
        <v>0</v>
      </c>
      <c r="AU157" s="94">
        <v>0</v>
      </c>
      <c r="AV157" s="205">
        <f t="shared" si="84"/>
        <v>0</v>
      </c>
      <c r="AW157" s="92">
        <v>0</v>
      </c>
      <c r="AX157" s="93">
        <v>0</v>
      </c>
      <c r="AY157" s="94">
        <v>0</v>
      </c>
      <c r="AZ157" s="205">
        <f t="shared" si="85"/>
        <v>0</v>
      </c>
      <c r="BA157" s="92">
        <v>0</v>
      </c>
      <c r="BB157" s="78">
        <v>0</v>
      </c>
      <c r="BC157" s="94">
        <v>0</v>
      </c>
      <c r="BD157" s="207">
        <f t="shared" si="88"/>
        <v>0</v>
      </c>
      <c r="BE157" s="86"/>
      <c r="BF157" s="87" t="e">
        <f t="shared" si="86"/>
        <v>#DIV/0!</v>
      </c>
      <c r="BG157" s="99"/>
    </row>
    <row r="158" spans="2:59" ht="43.5" customHeight="1" x14ac:dyDescent="0.3">
      <c r="B158" s="76">
        <v>909</v>
      </c>
      <c r="C158" s="77">
        <v>1</v>
      </c>
      <c r="D158" s="78">
        <v>1</v>
      </c>
      <c r="E158" s="78">
        <v>1</v>
      </c>
      <c r="F158" s="199">
        <v>1</v>
      </c>
      <c r="G158" s="91">
        <f t="shared" si="79"/>
        <v>1</v>
      </c>
      <c r="H158" s="206">
        <v>0</v>
      </c>
      <c r="I158" s="93">
        <v>0</v>
      </c>
      <c r="J158" s="78">
        <v>0</v>
      </c>
      <c r="K158" s="94">
        <v>0</v>
      </c>
      <c r="L158" s="207">
        <f t="shared" si="80"/>
        <v>0</v>
      </c>
      <c r="M158" s="80">
        <v>1</v>
      </c>
      <c r="N158" s="81">
        <v>1</v>
      </c>
      <c r="O158" s="78">
        <v>0.95</v>
      </c>
      <c r="P158" s="84">
        <v>1</v>
      </c>
      <c r="Q158" s="83">
        <v>1</v>
      </c>
      <c r="R158" s="81">
        <v>1</v>
      </c>
      <c r="S158" s="78">
        <v>1</v>
      </c>
      <c r="T158" s="82">
        <v>1</v>
      </c>
      <c r="U158" s="92">
        <v>1</v>
      </c>
      <c r="V158" s="93">
        <v>1</v>
      </c>
      <c r="W158" s="78">
        <v>1</v>
      </c>
      <c r="X158" s="94">
        <v>1</v>
      </c>
      <c r="Y158" s="205">
        <f t="shared" si="81"/>
        <v>0.99750000000000005</v>
      </c>
      <c r="Z158" s="92">
        <v>0</v>
      </c>
      <c r="AA158" s="93">
        <v>0</v>
      </c>
      <c r="AB158" s="78">
        <v>0</v>
      </c>
      <c r="AC158" s="94">
        <v>0</v>
      </c>
      <c r="AD158" s="207">
        <f t="shared" si="82"/>
        <v>0</v>
      </c>
      <c r="AE158" s="92">
        <v>0.9</v>
      </c>
      <c r="AF158" s="93"/>
      <c r="AG158" s="78"/>
      <c r="AH158" s="94"/>
      <c r="AI158" s="207">
        <f t="shared" si="87"/>
        <v>4.5000000000000005E-2</v>
      </c>
      <c r="AJ158" s="206">
        <v>1</v>
      </c>
      <c r="AK158" s="93">
        <v>0</v>
      </c>
      <c r="AL158" s="94"/>
      <c r="AM158" s="92">
        <v>0</v>
      </c>
      <c r="AN158" s="93">
        <v>0</v>
      </c>
      <c r="AO158" s="78">
        <v>0</v>
      </c>
      <c r="AP158" s="94">
        <v>0</v>
      </c>
      <c r="AQ158" s="205">
        <f t="shared" si="83"/>
        <v>0</v>
      </c>
      <c r="AR158" s="92">
        <v>0</v>
      </c>
      <c r="AS158" s="93">
        <v>0</v>
      </c>
      <c r="AT158" s="78">
        <v>0</v>
      </c>
      <c r="AU158" s="94">
        <v>0</v>
      </c>
      <c r="AV158" s="205">
        <f t="shared" si="84"/>
        <v>0</v>
      </c>
      <c r="AW158" s="92">
        <v>0</v>
      </c>
      <c r="AX158" s="93">
        <v>0</v>
      </c>
      <c r="AY158" s="94">
        <v>0</v>
      </c>
      <c r="AZ158" s="205">
        <f t="shared" si="85"/>
        <v>0</v>
      </c>
      <c r="BA158" s="92">
        <v>0</v>
      </c>
      <c r="BB158" s="78">
        <v>0</v>
      </c>
      <c r="BC158" s="94">
        <v>0</v>
      </c>
      <c r="BD158" s="207">
        <f t="shared" si="88"/>
        <v>0</v>
      </c>
      <c r="BE158" s="86"/>
      <c r="BF158" s="87" t="e">
        <f t="shared" si="86"/>
        <v>#DIV/0!</v>
      </c>
      <c r="BG158" s="100"/>
    </row>
    <row r="159" spans="2:59" ht="43.5" customHeight="1" x14ac:dyDescent="0.35">
      <c r="B159" s="76">
        <v>910</v>
      </c>
      <c r="C159" s="77">
        <v>1</v>
      </c>
      <c r="D159" s="78">
        <v>1</v>
      </c>
      <c r="E159" s="78">
        <v>1</v>
      </c>
      <c r="F159" s="199">
        <v>1</v>
      </c>
      <c r="G159" s="91">
        <f t="shared" si="79"/>
        <v>1</v>
      </c>
      <c r="H159" s="206">
        <v>0</v>
      </c>
      <c r="I159" s="93">
        <v>0.45</v>
      </c>
      <c r="J159" s="78">
        <v>0</v>
      </c>
      <c r="K159" s="94">
        <v>0</v>
      </c>
      <c r="L159" s="207">
        <f t="shared" si="80"/>
        <v>0.13500000000000001</v>
      </c>
      <c r="M159" s="80">
        <v>1</v>
      </c>
      <c r="N159" s="81">
        <v>1</v>
      </c>
      <c r="O159" s="78">
        <v>0.95</v>
      </c>
      <c r="P159" s="84">
        <v>1</v>
      </c>
      <c r="Q159" s="83">
        <v>1</v>
      </c>
      <c r="R159" s="81">
        <v>1</v>
      </c>
      <c r="S159" s="78">
        <v>1</v>
      </c>
      <c r="T159" s="82">
        <v>1</v>
      </c>
      <c r="U159" s="92">
        <v>1</v>
      </c>
      <c r="V159" s="93">
        <v>1</v>
      </c>
      <c r="W159" s="78">
        <v>1</v>
      </c>
      <c r="X159" s="94">
        <v>1</v>
      </c>
      <c r="Y159" s="205">
        <f t="shared" si="81"/>
        <v>0.99750000000000005</v>
      </c>
      <c r="Z159" s="92">
        <v>0</v>
      </c>
      <c r="AA159" s="93">
        <v>0</v>
      </c>
      <c r="AB159" s="78">
        <v>0</v>
      </c>
      <c r="AC159" s="94">
        <v>0</v>
      </c>
      <c r="AD159" s="207">
        <f t="shared" si="82"/>
        <v>0</v>
      </c>
      <c r="AE159" s="92">
        <v>0.9</v>
      </c>
      <c r="AF159" s="93">
        <v>1</v>
      </c>
      <c r="AG159" s="78"/>
      <c r="AH159" s="94">
        <v>1</v>
      </c>
      <c r="AI159" s="207">
        <f t="shared" si="87"/>
        <v>0.64500000000000002</v>
      </c>
      <c r="AJ159" s="206">
        <v>1</v>
      </c>
      <c r="AK159" s="93">
        <v>0</v>
      </c>
      <c r="AL159" s="94"/>
      <c r="AM159" s="92">
        <v>0</v>
      </c>
      <c r="AN159" s="93">
        <v>0</v>
      </c>
      <c r="AO159" s="78">
        <v>0</v>
      </c>
      <c r="AP159" s="94">
        <v>0</v>
      </c>
      <c r="AQ159" s="205">
        <f t="shared" si="83"/>
        <v>0</v>
      </c>
      <c r="AR159" s="92">
        <v>0</v>
      </c>
      <c r="AS159" s="93">
        <v>0</v>
      </c>
      <c r="AT159" s="78">
        <v>0</v>
      </c>
      <c r="AU159" s="94">
        <v>0</v>
      </c>
      <c r="AV159" s="205">
        <f t="shared" si="84"/>
        <v>0</v>
      </c>
      <c r="AW159" s="92">
        <v>0</v>
      </c>
      <c r="AX159" s="93">
        <v>0</v>
      </c>
      <c r="AY159" s="94">
        <v>0</v>
      </c>
      <c r="AZ159" s="205">
        <f t="shared" si="85"/>
        <v>0</v>
      </c>
      <c r="BA159" s="92">
        <v>0</v>
      </c>
      <c r="BB159" s="78">
        <v>0</v>
      </c>
      <c r="BC159" s="94">
        <v>0</v>
      </c>
      <c r="BD159" s="207">
        <f t="shared" si="88"/>
        <v>0</v>
      </c>
      <c r="BE159" s="86"/>
      <c r="BF159" s="87" t="e">
        <f t="shared" si="86"/>
        <v>#DIV/0!</v>
      </c>
      <c r="BG159" s="98"/>
    </row>
    <row r="160" spans="2:59" ht="43.5" customHeight="1" x14ac:dyDescent="0.3">
      <c r="B160" s="90">
        <v>911</v>
      </c>
      <c r="C160" s="77">
        <v>1</v>
      </c>
      <c r="D160" s="78">
        <v>1</v>
      </c>
      <c r="E160" s="78">
        <v>1</v>
      </c>
      <c r="F160" s="199">
        <v>1</v>
      </c>
      <c r="G160" s="91">
        <f t="shared" si="79"/>
        <v>1</v>
      </c>
      <c r="H160" s="206">
        <v>0.8</v>
      </c>
      <c r="I160" s="93">
        <v>0</v>
      </c>
      <c r="J160" s="78">
        <v>0</v>
      </c>
      <c r="K160" s="94">
        <v>0.8</v>
      </c>
      <c r="L160" s="207">
        <f t="shared" si="80"/>
        <v>0.48</v>
      </c>
      <c r="M160" s="80">
        <v>1</v>
      </c>
      <c r="N160" s="81">
        <v>1</v>
      </c>
      <c r="O160" s="78">
        <v>0.95</v>
      </c>
      <c r="P160" s="84">
        <v>1</v>
      </c>
      <c r="Q160" s="83">
        <v>1</v>
      </c>
      <c r="R160" s="81">
        <v>1</v>
      </c>
      <c r="S160" s="78">
        <v>1</v>
      </c>
      <c r="T160" s="82">
        <v>1</v>
      </c>
      <c r="U160" s="92">
        <v>1</v>
      </c>
      <c r="V160" s="93">
        <v>1</v>
      </c>
      <c r="W160" s="78">
        <v>1</v>
      </c>
      <c r="X160" s="94">
        <v>1</v>
      </c>
      <c r="Y160" s="205">
        <f t="shared" si="81"/>
        <v>0.99750000000000005</v>
      </c>
      <c r="Z160" s="92">
        <v>0</v>
      </c>
      <c r="AA160" s="93">
        <v>0</v>
      </c>
      <c r="AB160" s="78">
        <v>0</v>
      </c>
      <c r="AC160" s="94">
        <v>0</v>
      </c>
      <c r="AD160" s="207">
        <f t="shared" si="82"/>
        <v>0</v>
      </c>
      <c r="AE160" s="92">
        <v>0.9</v>
      </c>
      <c r="AF160" s="93">
        <v>0</v>
      </c>
      <c r="AG160" s="78">
        <v>0.7</v>
      </c>
      <c r="AH160" s="94"/>
      <c r="AI160" s="207">
        <f t="shared" si="87"/>
        <v>0.28999999999999998</v>
      </c>
      <c r="AJ160" s="206">
        <v>1</v>
      </c>
      <c r="AK160" s="93">
        <v>0</v>
      </c>
      <c r="AL160" s="94"/>
      <c r="AM160" s="92">
        <v>0</v>
      </c>
      <c r="AN160" s="93">
        <v>0</v>
      </c>
      <c r="AO160" s="78">
        <v>0</v>
      </c>
      <c r="AP160" s="94">
        <v>0</v>
      </c>
      <c r="AQ160" s="205">
        <f t="shared" si="83"/>
        <v>0</v>
      </c>
      <c r="AR160" s="92">
        <v>0</v>
      </c>
      <c r="AS160" s="93">
        <v>0</v>
      </c>
      <c r="AT160" s="78">
        <v>0</v>
      </c>
      <c r="AU160" s="94">
        <v>0</v>
      </c>
      <c r="AV160" s="205">
        <f t="shared" si="84"/>
        <v>0</v>
      </c>
      <c r="AW160" s="92">
        <v>0</v>
      </c>
      <c r="AX160" s="93">
        <v>0</v>
      </c>
      <c r="AY160" s="94">
        <v>0</v>
      </c>
      <c r="AZ160" s="205">
        <f t="shared" si="85"/>
        <v>0</v>
      </c>
      <c r="BA160" s="92">
        <v>0</v>
      </c>
      <c r="BB160" s="78">
        <v>0</v>
      </c>
      <c r="BC160" s="94">
        <v>0</v>
      </c>
      <c r="BD160" s="207">
        <f t="shared" si="88"/>
        <v>0</v>
      </c>
      <c r="BE160" s="86"/>
      <c r="BF160" s="87" t="e">
        <f t="shared" si="86"/>
        <v>#DIV/0!</v>
      </c>
      <c r="BG160" s="97"/>
    </row>
    <row r="161" spans="2:59" ht="43.5" customHeight="1" x14ac:dyDescent="0.3">
      <c r="B161" s="76">
        <v>912</v>
      </c>
      <c r="C161" s="77">
        <v>1</v>
      </c>
      <c r="D161" s="78">
        <v>1</v>
      </c>
      <c r="E161" s="78">
        <v>1</v>
      </c>
      <c r="F161" s="199">
        <v>1</v>
      </c>
      <c r="G161" s="91">
        <f t="shared" si="79"/>
        <v>1</v>
      </c>
      <c r="H161" s="206">
        <v>0</v>
      </c>
      <c r="I161" s="93">
        <v>0</v>
      </c>
      <c r="J161" s="78">
        <v>0</v>
      </c>
      <c r="K161" s="94">
        <v>0</v>
      </c>
      <c r="L161" s="207">
        <f t="shared" si="80"/>
        <v>0</v>
      </c>
      <c r="M161" s="80">
        <v>1</v>
      </c>
      <c r="N161" s="81">
        <v>1</v>
      </c>
      <c r="O161" s="78">
        <v>0.95</v>
      </c>
      <c r="P161" s="84">
        <v>1</v>
      </c>
      <c r="Q161" s="83">
        <v>1</v>
      </c>
      <c r="R161" s="81">
        <v>1</v>
      </c>
      <c r="S161" s="78">
        <v>1</v>
      </c>
      <c r="T161" s="82">
        <v>1</v>
      </c>
      <c r="U161" s="92">
        <v>1</v>
      </c>
      <c r="V161" s="93">
        <v>1</v>
      </c>
      <c r="W161" s="78">
        <v>1</v>
      </c>
      <c r="X161" s="94">
        <v>1</v>
      </c>
      <c r="Y161" s="205">
        <f t="shared" si="81"/>
        <v>0.99750000000000005</v>
      </c>
      <c r="Z161" s="92">
        <v>0</v>
      </c>
      <c r="AA161" s="93">
        <v>0</v>
      </c>
      <c r="AB161" s="78">
        <v>0</v>
      </c>
      <c r="AC161" s="94">
        <v>0</v>
      </c>
      <c r="AD161" s="207">
        <f t="shared" si="82"/>
        <v>0</v>
      </c>
      <c r="AE161" s="92">
        <v>0.9</v>
      </c>
      <c r="AF161" s="93">
        <v>0</v>
      </c>
      <c r="AG161" s="78">
        <v>0.7</v>
      </c>
      <c r="AH161" s="94">
        <v>0</v>
      </c>
      <c r="AI161" s="207">
        <f t="shared" si="87"/>
        <v>0.28999999999999998</v>
      </c>
      <c r="AJ161" s="206">
        <v>1</v>
      </c>
      <c r="AK161" s="93">
        <v>0</v>
      </c>
      <c r="AL161" s="94"/>
      <c r="AM161" s="92">
        <v>0</v>
      </c>
      <c r="AN161" s="93">
        <v>0</v>
      </c>
      <c r="AO161" s="78">
        <v>0</v>
      </c>
      <c r="AP161" s="94">
        <v>0</v>
      </c>
      <c r="AQ161" s="205">
        <f t="shared" si="83"/>
        <v>0</v>
      </c>
      <c r="AR161" s="92">
        <v>0</v>
      </c>
      <c r="AS161" s="93">
        <v>0</v>
      </c>
      <c r="AT161" s="78">
        <v>0</v>
      </c>
      <c r="AU161" s="94">
        <v>0</v>
      </c>
      <c r="AV161" s="205">
        <f t="shared" si="84"/>
        <v>0</v>
      </c>
      <c r="AW161" s="92">
        <v>0</v>
      </c>
      <c r="AX161" s="93">
        <v>0</v>
      </c>
      <c r="AY161" s="94">
        <v>0</v>
      </c>
      <c r="AZ161" s="205">
        <f t="shared" si="85"/>
        <v>0</v>
      </c>
      <c r="BA161" s="92">
        <v>0</v>
      </c>
      <c r="BB161" s="78">
        <v>0</v>
      </c>
      <c r="BC161" s="94">
        <v>0</v>
      </c>
      <c r="BD161" s="207">
        <f t="shared" si="88"/>
        <v>0</v>
      </c>
      <c r="BE161" s="86"/>
      <c r="BF161" s="87" t="e">
        <f t="shared" si="86"/>
        <v>#DIV/0!</v>
      </c>
      <c r="BG161" s="97"/>
    </row>
    <row r="162" spans="2:59" ht="43.5" customHeight="1" x14ac:dyDescent="0.3">
      <c r="B162" s="76">
        <v>913</v>
      </c>
      <c r="C162" s="77">
        <v>1</v>
      </c>
      <c r="D162" s="78">
        <v>1</v>
      </c>
      <c r="E162" s="78">
        <v>1</v>
      </c>
      <c r="F162" s="199">
        <v>1</v>
      </c>
      <c r="G162" s="91">
        <f t="shared" si="79"/>
        <v>1</v>
      </c>
      <c r="H162" s="206">
        <v>0</v>
      </c>
      <c r="I162" s="93">
        <v>0</v>
      </c>
      <c r="J162" s="78">
        <v>0</v>
      </c>
      <c r="K162" s="94">
        <v>0</v>
      </c>
      <c r="L162" s="207">
        <f t="shared" si="80"/>
        <v>0</v>
      </c>
      <c r="M162" s="80">
        <v>1</v>
      </c>
      <c r="N162" s="81">
        <v>1</v>
      </c>
      <c r="O162" s="78">
        <v>0.95</v>
      </c>
      <c r="P162" s="84">
        <v>1</v>
      </c>
      <c r="Q162" s="83">
        <v>1</v>
      </c>
      <c r="R162" s="81">
        <v>1</v>
      </c>
      <c r="S162" s="78">
        <v>1</v>
      </c>
      <c r="T162" s="82">
        <v>1</v>
      </c>
      <c r="U162" s="92">
        <v>1</v>
      </c>
      <c r="V162" s="93">
        <v>1</v>
      </c>
      <c r="W162" s="78">
        <v>1</v>
      </c>
      <c r="X162" s="94">
        <v>1</v>
      </c>
      <c r="Y162" s="205">
        <f t="shared" si="81"/>
        <v>0.99750000000000005</v>
      </c>
      <c r="Z162" s="92">
        <v>0</v>
      </c>
      <c r="AA162" s="93">
        <v>0</v>
      </c>
      <c r="AB162" s="78">
        <v>0</v>
      </c>
      <c r="AC162" s="94">
        <v>0</v>
      </c>
      <c r="AD162" s="207">
        <f t="shared" si="82"/>
        <v>0</v>
      </c>
      <c r="AE162" s="92">
        <v>0.9</v>
      </c>
      <c r="AF162" s="93">
        <v>0</v>
      </c>
      <c r="AG162" s="78">
        <v>0</v>
      </c>
      <c r="AH162" s="94">
        <v>0</v>
      </c>
      <c r="AI162" s="207">
        <f t="shared" si="87"/>
        <v>4.5000000000000005E-2</v>
      </c>
      <c r="AJ162" s="206">
        <v>1</v>
      </c>
      <c r="AK162" s="93">
        <v>0</v>
      </c>
      <c r="AL162" s="94"/>
      <c r="AM162" s="92">
        <v>0</v>
      </c>
      <c r="AN162" s="93">
        <v>0</v>
      </c>
      <c r="AO162" s="78">
        <v>0</v>
      </c>
      <c r="AP162" s="94">
        <v>0</v>
      </c>
      <c r="AQ162" s="205">
        <f t="shared" si="83"/>
        <v>0</v>
      </c>
      <c r="AR162" s="92">
        <v>0</v>
      </c>
      <c r="AS162" s="93">
        <v>0</v>
      </c>
      <c r="AT162" s="78">
        <v>0</v>
      </c>
      <c r="AU162" s="94">
        <v>0</v>
      </c>
      <c r="AV162" s="205">
        <f t="shared" si="84"/>
        <v>0</v>
      </c>
      <c r="AW162" s="92">
        <v>0</v>
      </c>
      <c r="AX162" s="93">
        <v>0</v>
      </c>
      <c r="AY162" s="94">
        <v>0</v>
      </c>
      <c r="AZ162" s="205">
        <f t="shared" si="85"/>
        <v>0</v>
      </c>
      <c r="BA162" s="92">
        <v>0</v>
      </c>
      <c r="BB162" s="78">
        <v>0</v>
      </c>
      <c r="BC162" s="94">
        <v>0</v>
      </c>
      <c r="BD162" s="207">
        <f t="shared" si="88"/>
        <v>0</v>
      </c>
      <c r="BE162" s="86"/>
      <c r="BF162" s="87" t="e">
        <f t="shared" si="86"/>
        <v>#DIV/0!</v>
      </c>
      <c r="BG162" s="100"/>
    </row>
    <row r="163" spans="2:59" ht="43.5" customHeight="1" x14ac:dyDescent="0.35">
      <c r="B163" s="90">
        <v>914</v>
      </c>
      <c r="C163" s="77">
        <v>1</v>
      </c>
      <c r="D163" s="78">
        <v>1</v>
      </c>
      <c r="E163" s="78">
        <v>1</v>
      </c>
      <c r="F163" s="199">
        <v>1</v>
      </c>
      <c r="G163" s="91">
        <f t="shared" si="79"/>
        <v>1</v>
      </c>
      <c r="H163" s="206">
        <v>0</v>
      </c>
      <c r="I163" s="93">
        <v>0</v>
      </c>
      <c r="J163" s="78">
        <v>0</v>
      </c>
      <c r="K163" s="94">
        <v>0</v>
      </c>
      <c r="L163" s="207">
        <f t="shared" si="80"/>
        <v>0</v>
      </c>
      <c r="M163" s="80">
        <v>1</v>
      </c>
      <c r="N163" s="81">
        <v>1</v>
      </c>
      <c r="O163" s="78">
        <v>0.95</v>
      </c>
      <c r="P163" s="84">
        <v>1</v>
      </c>
      <c r="Q163" s="83">
        <v>1</v>
      </c>
      <c r="R163" s="81">
        <v>1</v>
      </c>
      <c r="S163" s="78">
        <v>1</v>
      </c>
      <c r="T163" s="82">
        <v>1</v>
      </c>
      <c r="U163" s="92">
        <v>1</v>
      </c>
      <c r="V163" s="93">
        <v>1</v>
      </c>
      <c r="W163" s="78">
        <v>1</v>
      </c>
      <c r="X163" s="94">
        <v>1</v>
      </c>
      <c r="Y163" s="205">
        <f t="shared" si="81"/>
        <v>0.99750000000000005</v>
      </c>
      <c r="Z163" s="92">
        <v>0</v>
      </c>
      <c r="AA163" s="93">
        <v>0</v>
      </c>
      <c r="AB163" s="78">
        <v>0</v>
      </c>
      <c r="AC163" s="94">
        <v>0</v>
      </c>
      <c r="AD163" s="207">
        <f t="shared" si="82"/>
        <v>0</v>
      </c>
      <c r="AE163" s="92">
        <v>0.9</v>
      </c>
      <c r="AF163" s="93">
        <v>1</v>
      </c>
      <c r="AG163" s="78">
        <v>0.7</v>
      </c>
      <c r="AH163" s="94">
        <v>1</v>
      </c>
      <c r="AI163" s="207">
        <f t="shared" si="87"/>
        <v>0.8899999999999999</v>
      </c>
      <c r="AJ163" s="206">
        <v>1</v>
      </c>
      <c r="AK163" s="93">
        <v>0</v>
      </c>
      <c r="AL163" s="94"/>
      <c r="AM163" s="92">
        <v>0</v>
      </c>
      <c r="AN163" s="93">
        <v>0</v>
      </c>
      <c r="AO163" s="78">
        <v>0</v>
      </c>
      <c r="AP163" s="94">
        <v>0</v>
      </c>
      <c r="AQ163" s="205">
        <f t="shared" si="83"/>
        <v>0</v>
      </c>
      <c r="AR163" s="92">
        <v>0</v>
      </c>
      <c r="AS163" s="93">
        <v>0</v>
      </c>
      <c r="AT163" s="78">
        <v>0</v>
      </c>
      <c r="AU163" s="94">
        <v>0</v>
      </c>
      <c r="AV163" s="205">
        <f t="shared" si="84"/>
        <v>0</v>
      </c>
      <c r="AW163" s="92">
        <v>0</v>
      </c>
      <c r="AX163" s="93">
        <v>0</v>
      </c>
      <c r="AY163" s="94">
        <v>0</v>
      </c>
      <c r="AZ163" s="205">
        <f t="shared" si="85"/>
        <v>0</v>
      </c>
      <c r="BA163" s="92">
        <v>0</v>
      </c>
      <c r="BB163" s="78">
        <v>0</v>
      </c>
      <c r="BC163" s="94">
        <v>0</v>
      </c>
      <c r="BD163" s="207">
        <f t="shared" si="88"/>
        <v>0</v>
      </c>
      <c r="BE163" s="86"/>
      <c r="BF163" s="87" t="e">
        <f t="shared" si="86"/>
        <v>#DIV/0!</v>
      </c>
      <c r="BG163" s="98"/>
    </row>
    <row r="164" spans="2:59" ht="43.5" customHeight="1" x14ac:dyDescent="0.35">
      <c r="B164" s="76">
        <v>915</v>
      </c>
      <c r="C164" s="77">
        <v>1</v>
      </c>
      <c r="D164" s="78">
        <v>1</v>
      </c>
      <c r="E164" s="78">
        <v>1</v>
      </c>
      <c r="F164" s="199">
        <v>1</v>
      </c>
      <c r="G164" s="91">
        <f t="shared" si="79"/>
        <v>1</v>
      </c>
      <c r="H164" s="206">
        <v>0</v>
      </c>
      <c r="I164" s="93">
        <v>0</v>
      </c>
      <c r="J164" s="78">
        <v>0</v>
      </c>
      <c r="K164" s="94">
        <v>0</v>
      </c>
      <c r="L164" s="207">
        <f t="shared" si="80"/>
        <v>0</v>
      </c>
      <c r="M164" s="80">
        <v>0.95</v>
      </c>
      <c r="N164" s="81">
        <v>0.95</v>
      </c>
      <c r="O164" s="78">
        <v>0.95</v>
      </c>
      <c r="P164" s="84">
        <v>0.95</v>
      </c>
      <c r="Q164" s="83">
        <v>1</v>
      </c>
      <c r="R164" s="81">
        <v>1</v>
      </c>
      <c r="S164" s="78">
        <v>1</v>
      </c>
      <c r="T164" s="82">
        <v>1</v>
      </c>
      <c r="U164" s="92">
        <v>1</v>
      </c>
      <c r="V164" s="93">
        <v>1</v>
      </c>
      <c r="W164" s="78">
        <v>1</v>
      </c>
      <c r="X164" s="94">
        <v>1</v>
      </c>
      <c r="Y164" s="205">
        <f t="shared" si="81"/>
        <v>0.98</v>
      </c>
      <c r="Z164" s="92">
        <v>0</v>
      </c>
      <c r="AA164" s="93">
        <v>0</v>
      </c>
      <c r="AB164" s="78">
        <v>0</v>
      </c>
      <c r="AC164" s="94">
        <v>0</v>
      </c>
      <c r="AD164" s="207">
        <f t="shared" si="82"/>
        <v>0</v>
      </c>
      <c r="AE164" s="92">
        <v>0.4</v>
      </c>
      <c r="AF164" s="93"/>
      <c r="AG164" s="78">
        <v>0.7</v>
      </c>
      <c r="AH164" s="94"/>
      <c r="AI164" s="207">
        <f t="shared" si="87"/>
        <v>0.26499999999999996</v>
      </c>
      <c r="AJ164" s="206">
        <v>1</v>
      </c>
      <c r="AK164" s="93">
        <v>0</v>
      </c>
      <c r="AL164" s="94"/>
      <c r="AM164" s="92">
        <v>0</v>
      </c>
      <c r="AN164" s="93">
        <v>0</v>
      </c>
      <c r="AO164" s="78">
        <v>0</v>
      </c>
      <c r="AP164" s="94">
        <v>0</v>
      </c>
      <c r="AQ164" s="205">
        <f t="shared" si="83"/>
        <v>0</v>
      </c>
      <c r="AR164" s="92">
        <v>0</v>
      </c>
      <c r="AS164" s="93">
        <v>0</v>
      </c>
      <c r="AT164" s="78">
        <v>0</v>
      </c>
      <c r="AU164" s="94">
        <v>0</v>
      </c>
      <c r="AV164" s="205">
        <f t="shared" si="84"/>
        <v>0</v>
      </c>
      <c r="AW164" s="92">
        <v>0</v>
      </c>
      <c r="AX164" s="93">
        <v>0</v>
      </c>
      <c r="AY164" s="94">
        <v>0</v>
      </c>
      <c r="AZ164" s="205">
        <f t="shared" si="85"/>
        <v>0</v>
      </c>
      <c r="BA164" s="92">
        <v>0</v>
      </c>
      <c r="BB164" s="78">
        <v>0</v>
      </c>
      <c r="BC164" s="94">
        <v>0</v>
      </c>
      <c r="BD164" s="207">
        <f t="shared" si="88"/>
        <v>0</v>
      </c>
      <c r="BE164" s="86"/>
      <c r="BF164" s="87" t="e">
        <f t="shared" si="86"/>
        <v>#DIV/0!</v>
      </c>
      <c r="BG164" s="98"/>
    </row>
    <row r="165" spans="2:59" ht="43.5" customHeight="1" thickBot="1" x14ac:dyDescent="0.4">
      <c r="B165" s="101">
        <v>916</v>
      </c>
      <c r="C165" s="77">
        <v>1</v>
      </c>
      <c r="D165" s="78">
        <v>1</v>
      </c>
      <c r="E165" s="78">
        <v>1</v>
      </c>
      <c r="F165" s="199">
        <v>1</v>
      </c>
      <c r="G165" s="102">
        <f t="shared" si="79"/>
        <v>1</v>
      </c>
      <c r="H165" s="208">
        <v>0</v>
      </c>
      <c r="I165" s="110">
        <v>0</v>
      </c>
      <c r="J165" s="105">
        <v>0</v>
      </c>
      <c r="K165" s="111">
        <v>0</v>
      </c>
      <c r="L165" s="209">
        <f t="shared" si="80"/>
        <v>0</v>
      </c>
      <c r="M165" s="107">
        <v>1</v>
      </c>
      <c r="N165" s="104">
        <v>1</v>
      </c>
      <c r="O165" s="105">
        <v>0.95</v>
      </c>
      <c r="P165" s="106">
        <v>1</v>
      </c>
      <c r="Q165" s="103">
        <v>1</v>
      </c>
      <c r="R165" s="104">
        <v>1</v>
      </c>
      <c r="S165" s="105">
        <v>1</v>
      </c>
      <c r="T165" s="108">
        <v>1</v>
      </c>
      <c r="U165" s="109">
        <v>1</v>
      </c>
      <c r="V165" s="110">
        <v>1</v>
      </c>
      <c r="W165" s="105">
        <v>1</v>
      </c>
      <c r="X165" s="111">
        <v>1</v>
      </c>
      <c r="Y165" s="210">
        <f t="shared" si="81"/>
        <v>0.99750000000000005</v>
      </c>
      <c r="Z165" s="109">
        <v>0</v>
      </c>
      <c r="AA165" s="110">
        <v>0</v>
      </c>
      <c r="AB165" s="105">
        <v>0</v>
      </c>
      <c r="AC165" s="111">
        <v>0</v>
      </c>
      <c r="AD165" s="209">
        <f t="shared" si="82"/>
        <v>0</v>
      </c>
      <c r="AE165" s="109">
        <v>0.9</v>
      </c>
      <c r="AF165" s="110">
        <v>0.7</v>
      </c>
      <c r="AG165" s="105">
        <v>0.7</v>
      </c>
      <c r="AH165" s="111">
        <v>0.7</v>
      </c>
      <c r="AI165" s="209">
        <f t="shared" si="87"/>
        <v>0.71</v>
      </c>
      <c r="AJ165" s="208">
        <v>1</v>
      </c>
      <c r="AK165" s="110">
        <v>0</v>
      </c>
      <c r="AL165" s="111"/>
      <c r="AM165" s="109">
        <v>0</v>
      </c>
      <c r="AN165" s="110">
        <v>0</v>
      </c>
      <c r="AO165" s="105">
        <v>0</v>
      </c>
      <c r="AP165" s="111">
        <v>0</v>
      </c>
      <c r="AQ165" s="210">
        <f t="shared" si="83"/>
        <v>0</v>
      </c>
      <c r="AR165" s="109">
        <v>0</v>
      </c>
      <c r="AS165" s="110">
        <v>0</v>
      </c>
      <c r="AT165" s="105">
        <v>0</v>
      </c>
      <c r="AU165" s="111">
        <v>0</v>
      </c>
      <c r="AV165" s="210">
        <f t="shared" si="84"/>
        <v>0</v>
      </c>
      <c r="AW165" s="109">
        <v>0</v>
      </c>
      <c r="AX165" s="110">
        <v>0</v>
      </c>
      <c r="AY165" s="111">
        <v>0</v>
      </c>
      <c r="AZ165" s="210">
        <f t="shared" si="85"/>
        <v>0</v>
      </c>
      <c r="BA165" s="109">
        <v>0</v>
      </c>
      <c r="BB165" s="105">
        <v>0</v>
      </c>
      <c r="BC165" s="111">
        <v>0</v>
      </c>
      <c r="BD165" s="209">
        <f t="shared" si="88"/>
        <v>0</v>
      </c>
      <c r="BE165" s="127"/>
      <c r="BF165" s="87" t="e">
        <f t="shared" si="86"/>
        <v>#DIV/0!</v>
      </c>
      <c r="BG165" s="112"/>
    </row>
    <row r="166" spans="2:59" ht="42" customHeight="1" thickBot="1" x14ac:dyDescent="0.35">
      <c r="B166" s="256" t="s">
        <v>102</v>
      </c>
      <c r="C166" s="257"/>
      <c r="D166" s="257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  <c r="AA166" s="257"/>
      <c r="AB166" s="257"/>
      <c r="AC166" s="257"/>
      <c r="AD166" s="257"/>
      <c r="AE166" s="257"/>
      <c r="AF166" s="257"/>
      <c r="AG166" s="257"/>
      <c r="AH166" s="257"/>
      <c r="AI166" s="257"/>
      <c r="AJ166" s="257"/>
      <c r="AK166" s="257"/>
      <c r="AL166" s="257"/>
      <c r="AM166" s="257"/>
      <c r="AN166" s="257"/>
      <c r="AO166" s="257"/>
      <c r="AP166" s="257"/>
      <c r="AQ166" s="257"/>
      <c r="AR166" s="257"/>
      <c r="AS166" s="257"/>
      <c r="AT166" s="257"/>
      <c r="AU166" s="257"/>
      <c r="AV166" s="257"/>
      <c r="AW166" s="257"/>
      <c r="AX166" s="257"/>
      <c r="AY166" s="257"/>
      <c r="AZ166" s="257"/>
      <c r="BA166" s="257"/>
      <c r="BB166" s="257"/>
      <c r="BC166" s="257"/>
      <c r="BD166" s="257"/>
      <c r="BE166" s="257"/>
      <c r="BF166" s="257"/>
      <c r="BG166" s="258"/>
    </row>
    <row r="167" spans="2:59" ht="42" customHeight="1" x14ac:dyDescent="0.3">
      <c r="B167" s="76">
        <v>1001</v>
      </c>
      <c r="C167" s="77">
        <v>1</v>
      </c>
      <c r="D167" s="78">
        <v>1</v>
      </c>
      <c r="E167" s="78">
        <v>1</v>
      </c>
      <c r="F167" s="199">
        <v>1</v>
      </c>
      <c r="G167" s="85">
        <f t="shared" ref="G167:G182" si="89" xml:space="preserve"> C167*45% + D167*45% + E167*5% + F167*5%</f>
        <v>1</v>
      </c>
      <c r="H167" s="200">
        <v>0</v>
      </c>
      <c r="I167" s="201">
        <v>0</v>
      </c>
      <c r="J167" s="202">
        <v>0</v>
      </c>
      <c r="K167" s="203">
        <v>0</v>
      </c>
      <c r="L167" s="85">
        <f t="shared" ref="L167:L182" si="90" xml:space="preserve"> H167*30% + I167*30% + J167*10% + K167*30%</f>
        <v>0</v>
      </c>
      <c r="M167" s="80">
        <v>1</v>
      </c>
      <c r="N167" s="81">
        <v>1</v>
      </c>
      <c r="O167" s="78">
        <v>0.95</v>
      </c>
      <c r="P167" s="84">
        <v>1</v>
      </c>
      <c r="Q167" s="83">
        <v>0</v>
      </c>
      <c r="R167" s="81">
        <v>0</v>
      </c>
      <c r="S167" s="78">
        <v>0</v>
      </c>
      <c r="T167" s="82">
        <v>1</v>
      </c>
      <c r="U167" s="140">
        <v>0</v>
      </c>
      <c r="V167" s="201">
        <v>0</v>
      </c>
      <c r="W167" s="202">
        <v>0</v>
      </c>
      <c r="X167" s="203">
        <v>1</v>
      </c>
      <c r="Y167" s="204">
        <f t="shared" ref="Y167:Y182" si="91" xml:space="preserve"> (U167*10% + V167*10% + W167*10% + X167*10%+ Q167*5% + R167*5% + S167*5% + T167*5%+M167*10% + N167*15% + O167*5% + P167*10%)</f>
        <v>0.54749999999999999</v>
      </c>
      <c r="Z167" s="140">
        <v>0</v>
      </c>
      <c r="AA167" s="201">
        <v>0</v>
      </c>
      <c r="AB167" s="202">
        <v>0</v>
      </c>
      <c r="AC167" s="203">
        <v>0</v>
      </c>
      <c r="AD167" s="85">
        <f t="shared" ref="AD167:AD182" si="92" xml:space="preserve"> Z167*45% + AA167*45% + AB167*5% + AC167*5%</f>
        <v>0</v>
      </c>
      <c r="AE167" s="140">
        <v>0.9</v>
      </c>
      <c r="AF167" s="201">
        <v>0</v>
      </c>
      <c r="AG167" s="202">
        <v>0</v>
      </c>
      <c r="AH167" s="203">
        <v>0</v>
      </c>
      <c r="AI167" s="85">
        <f xml:space="preserve"> AE167*5% + AF167*30% + AG167*35% + AH167*30%</f>
        <v>4.5000000000000005E-2</v>
      </c>
      <c r="AJ167" s="80">
        <v>0</v>
      </c>
      <c r="AK167" s="81">
        <v>0</v>
      </c>
      <c r="AL167" s="82"/>
      <c r="AM167" s="92">
        <v>0</v>
      </c>
      <c r="AN167" s="93">
        <v>0</v>
      </c>
      <c r="AO167" s="78">
        <v>0</v>
      </c>
      <c r="AP167" s="94">
        <v>0</v>
      </c>
      <c r="AQ167" s="205">
        <f t="shared" ref="AQ167:AQ182" si="93" xml:space="preserve"> AM167*15% + AN167*35% + AO167*15% + AP167*35%</f>
        <v>0</v>
      </c>
      <c r="AR167" s="140">
        <v>0</v>
      </c>
      <c r="AS167" s="201">
        <v>0</v>
      </c>
      <c r="AT167" s="202">
        <v>0</v>
      </c>
      <c r="AU167" s="203">
        <v>0</v>
      </c>
      <c r="AV167" s="204">
        <f t="shared" ref="AV167:AV182" si="94" xml:space="preserve"> AR167*30% + AS167*30% + AT167*15% + AU167*25%</f>
        <v>0</v>
      </c>
      <c r="AW167" s="140">
        <v>0</v>
      </c>
      <c r="AX167" s="201">
        <v>0</v>
      </c>
      <c r="AY167" s="203">
        <v>0</v>
      </c>
      <c r="AZ167" s="204">
        <f t="shared" ref="AZ167:AZ182" si="95" xml:space="preserve">  AW167*30% + AX167*45% + AY167*25%</f>
        <v>0</v>
      </c>
      <c r="BA167" s="140">
        <v>0</v>
      </c>
      <c r="BB167" s="202">
        <v>0</v>
      </c>
      <c r="BC167" s="203">
        <v>0</v>
      </c>
      <c r="BD167" s="85">
        <f t="shared" ref="BD167:BD182" si="96" xml:space="preserve">  BA167*30% + BB167*45% + BC167*25%</f>
        <v>0</v>
      </c>
      <c r="BE167" s="86"/>
      <c r="BF167" s="87" t="e">
        <f t="shared" ref="BF167:BF182" si="97">(
(COUNTIF(B167:E167,"✓")/(COUNTIF(B167:E167,"✓")+COUNTIF(B167:E167,"x")))*0.2 +
(COUNTIF(F167:J167,"✓")/(COUNTIF(F167:J167,"✓")+COUNTIF(F167:J167,"x")))*0.1 +
(COUNTIF(K167:O167,"✓")/(COUNTIF(K167:O167,"✓")+COUNTIF(K167:O167,"x")))*0.1 +
(COUNTIF(P167:S167,"✓")/(COUNTIF(P167:S167,"✓")+COUNTIF(P167:S167,"x")))*0.1 +
(COUNTIF(T167:W167,"✓")/(COUNTIF(T167:W167,"✓")+COUNTIF(T167:W167,"x")))*0.1 +
(COUNTIF(X167:AB167,"✓")/(COUNTIF(X167:AB167,"✓")+COUNTIF(X167:AB167,"x")))*0.1 +
(COUNTIF(AC167:AO167,"✓")/(COUNTIF(AC167:AO167,"✓")+COUNTIF(AC167:AO167,"x")))*0.1 +
(COUNTIF(AP167:AT167,"✓")/(COUNTIF(AP167:AT167,"✓")+COUNTIF(AP167:AT167,"x")))*0.05 +
(COUNTIF(AU167:BB167,"✓")/(COUNTIF(AU167:BB167,"✓")+COUNTIF(AU167:BB167,"x")))*0.1 +
(COUNTIF(BC167:BC167,"✓")/(COUNTIF(BC167:BC167,"✓")+COUNTIF(BC167:BC167,"x")))*0.05
)</f>
        <v>#DIV/0!</v>
      </c>
      <c r="BG167" s="88"/>
    </row>
    <row r="168" spans="2:59" ht="42" customHeight="1" x14ac:dyDescent="0.3">
      <c r="B168" s="90">
        <v>1002</v>
      </c>
      <c r="C168" s="77">
        <v>1</v>
      </c>
      <c r="D168" s="78">
        <v>1</v>
      </c>
      <c r="E168" s="78">
        <v>1</v>
      </c>
      <c r="F168" s="199">
        <v>1</v>
      </c>
      <c r="G168" s="91">
        <f t="shared" si="89"/>
        <v>1</v>
      </c>
      <c r="H168" s="206">
        <v>0</v>
      </c>
      <c r="I168" s="93">
        <v>0</v>
      </c>
      <c r="J168" s="78">
        <v>0</v>
      </c>
      <c r="K168" s="94">
        <v>0</v>
      </c>
      <c r="L168" s="207">
        <f t="shared" si="90"/>
        <v>0</v>
      </c>
      <c r="M168" s="80">
        <v>0.7</v>
      </c>
      <c r="N168" s="81">
        <v>0</v>
      </c>
      <c r="O168" s="78">
        <v>0.95</v>
      </c>
      <c r="P168" s="84">
        <v>1</v>
      </c>
      <c r="Q168" s="83">
        <v>0</v>
      </c>
      <c r="R168" s="81">
        <v>0</v>
      </c>
      <c r="S168" s="78">
        <v>0</v>
      </c>
      <c r="T168" s="82">
        <v>0</v>
      </c>
      <c r="U168" s="92">
        <v>0</v>
      </c>
      <c r="V168" s="93">
        <v>0</v>
      </c>
      <c r="W168" s="78">
        <v>0</v>
      </c>
      <c r="X168" s="94">
        <v>0</v>
      </c>
      <c r="Y168" s="205">
        <f t="shared" si="91"/>
        <v>0.2175</v>
      </c>
      <c r="Z168" s="92">
        <v>0</v>
      </c>
      <c r="AA168" s="93">
        <v>0</v>
      </c>
      <c r="AB168" s="78">
        <v>0</v>
      </c>
      <c r="AC168" s="94">
        <v>0</v>
      </c>
      <c r="AD168" s="207">
        <f t="shared" si="92"/>
        <v>0</v>
      </c>
      <c r="AE168" s="92">
        <v>0.7</v>
      </c>
      <c r="AF168" s="93">
        <v>0</v>
      </c>
      <c r="AG168" s="78">
        <v>0</v>
      </c>
      <c r="AH168" s="94">
        <v>0</v>
      </c>
      <c r="AI168" s="207">
        <f t="shared" ref="AI168:AI182" si="98" xml:space="preserve"> AE168*5% + AF168*30% + AG168*35% + AH168*30%</f>
        <v>3.4999999999999996E-2</v>
      </c>
      <c r="AJ168" s="206">
        <v>1</v>
      </c>
      <c r="AK168" s="93">
        <v>0</v>
      </c>
      <c r="AL168" s="94"/>
      <c r="AM168" s="92">
        <v>0</v>
      </c>
      <c r="AN168" s="93">
        <v>0</v>
      </c>
      <c r="AO168" s="78">
        <v>0</v>
      </c>
      <c r="AP168" s="94">
        <v>0</v>
      </c>
      <c r="AQ168" s="205">
        <f t="shared" si="93"/>
        <v>0</v>
      </c>
      <c r="AR168" s="92">
        <v>0</v>
      </c>
      <c r="AS168" s="93">
        <v>0</v>
      </c>
      <c r="AT168" s="78">
        <v>0</v>
      </c>
      <c r="AU168" s="94">
        <v>0</v>
      </c>
      <c r="AV168" s="205">
        <f t="shared" si="94"/>
        <v>0</v>
      </c>
      <c r="AW168" s="92">
        <v>0</v>
      </c>
      <c r="AX168" s="93">
        <v>0</v>
      </c>
      <c r="AY168" s="94">
        <v>0</v>
      </c>
      <c r="AZ168" s="205">
        <f t="shared" si="95"/>
        <v>0</v>
      </c>
      <c r="BA168" s="92">
        <v>0</v>
      </c>
      <c r="BB168" s="78">
        <v>0</v>
      </c>
      <c r="BC168" s="94">
        <v>0</v>
      </c>
      <c r="BD168" s="207">
        <f t="shared" si="96"/>
        <v>0</v>
      </c>
      <c r="BE168" s="86"/>
      <c r="BF168" s="87" t="e">
        <f t="shared" si="97"/>
        <v>#DIV/0!</v>
      </c>
      <c r="BG168" s="95"/>
    </row>
    <row r="169" spans="2:59" ht="42" customHeight="1" x14ac:dyDescent="0.3">
      <c r="B169" s="76">
        <v>1003</v>
      </c>
      <c r="C169" s="77">
        <v>1</v>
      </c>
      <c r="D169" s="78">
        <v>1</v>
      </c>
      <c r="E169" s="78">
        <v>1</v>
      </c>
      <c r="F169" s="199">
        <v>1</v>
      </c>
      <c r="G169" s="91">
        <f t="shared" si="89"/>
        <v>1</v>
      </c>
      <c r="H169" s="206">
        <v>0</v>
      </c>
      <c r="I169" s="93">
        <v>0</v>
      </c>
      <c r="J169" s="78">
        <v>0</v>
      </c>
      <c r="K169" s="94">
        <v>0</v>
      </c>
      <c r="L169" s="207">
        <f t="shared" si="90"/>
        <v>0</v>
      </c>
      <c r="M169" s="80">
        <v>0</v>
      </c>
      <c r="N169" s="81">
        <v>0</v>
      </c>
      <c r="O169" s="78">
        <v>0</v>
      </c>
      <c r="P169" s="84">
        <v>0</v>
      </c>
      <c r="Q169" s="83">
        <v>0</v>
      </c>
      <c r="R169" s="81">
        <v>0</v>
      </c>
      <c r="S169" s="78">
        <v>0</v>
      </c>
      <c r="T169" s="82">
        <v>0</v>
      </c>
      <c r="U169" s="92">
        <v>0</v>
      </c>
      <c r="V169" s="93">
        <v>0</v>
      </c>
      <c r="W169" s="78">
        <v>0</v>
      </c>
      <c r="X169" s="94">
        <v>0</v>
      </c>
      <c r="Y169" s="205">
        <f t="shared" si="91"/>
        <v>0</v>
      </c>
      <c r="Z169" s="92">
        <v>0</v>
      </c>
      <c r="AA169" s="93">
        <v>0</v>
      </c>
      <c r="AB169" s="78">
        <v>0</v>
      </c>
      <c r="AC169" s="94">
        <v>0</v>
      </c>
      <c r="AD169" s="207">
        <f t="shared" si="92"/>
        <v>0</v>
      </c>
      <c r="AE169" s="92">
        <v>0.9</v>
      </c>
      <c r="AF169" s="93">
        <v>0</v>
      </c>
      <c r="AG169" s="78">
        <v>0</v>
      </c>
      <c r="AH169" s="94">
        <v>0</v>
      </c>
      <c r="AI169" s="207">
        <f t="shared" si="98"/>
        <v>4.5000000000000005E-2</v>
      </c>
      <c r="AJ169" s="206">
        <v>0</v>
      </c>
      <c r="AK169" s="93">
        <v>0</v>
      </c>
      <c r="AL169" s="94"/>
      <c r="AM169" s="92">
        <v>0</v>
      </c>
      <c r="AN169" s="93">
        <v>0</v>
      </c>
      <c r="AO169" s="78">
        <v>0</v>
      </c>
      <c r="AP169" s="94">
        <v>0</v>
      </c>
      <c r="AQ169" s="205">
        <f t="shared" si="93"/>
        <v>0</v>
      </c>
      <c r="AR169" s="92">
        <v>0</v>
      </c>
      <c r="AS169" s="93">
        <v>0</v>
      </c>
      <c r="AT169" s="78">
        <v>0</v>
      </c>
      <c r="AU169" s="94">
        <v>0</v>
      </c>
      <c r="AV169" s="205">
        <f t="shared" si="94"/>
        <v>0</v>
      </c>
      <c r="AW169" s="92">
        <v>0</v>
      </c>
      <c r="AX169" s="93">
        <v>0</v>
      </c>
      <c r="AY169" s="94">
        <v>0</v>
      </c>
      <c r="AZ169" s="205">
        <f t="shared" si="95"/>
        <v>0</v>
      </c>
      <c r="BA169" s="92">
        <v>0</v>
      </c>
      <c r="BB169" s="78">
        <v>0</v>
      </c>
      <c r="BC169" s="94">
        <v>0</v>
      </c>
      <c r="BD169" s="207">
        <f t="shared" si="96"/>
        <v>0</v>
      </c>
      <c r="BE169" s="86"/>
      <c r="BF169" s="87" t="e">
        <f t="shared" si="97"/>
        <v>#DIV/0!</v>
      </c>
      <c r="BG169" s="88"/>
    </row>
    <row r="170" spans="2:59" ht="42" customHeight="1" x14ac:dyDescent="0.3">
      <c r="B170" s="76">
        <v>1004</v>
      </c>
      <c r="C170" s="77">
        <v>1</v>
      </c>
      <c r="D170" s="78">
        <v>1</v>
      </c>
      <c r="E170" s="78">
        <v>1</v>
      </c>
      <c r="F170" s="199">
        <v>1</v>
      </c>
      <c r="G170" s="91">
        <f t="shared" si="89"/>
        <v>1</v>
      </c>
      <c r="H170" s="206">
        <v>0</v>
      </c>
      <c r="I170" s="93">
        <v>0</v>
      </c>
      <c r="J170" s="78">
        <v>0</v>
      </c>
      <c r="K170" s="94">
        <v>0</v>
      </c>
      <c r="L170" s="207">
        <f t="shared" si="90"/>
        <v>0</v>
      </c>
      <c r="M170" s="80">
        <v>1</v>
      </c>
      <c r="N170" s="81">
        <v>1</v>
      </c>
      <c r="O170" s="78">
        <v>0.95</v>
      </c>
      <c r="P170" s="84">
        <v>1</v>
      </c>
      <c r="Q170" s="83">
        <v>0</v>
      </c>
      <c r="R170" s="81">
        <v>0</v>
      </c>
      <c r="S170" s="78">
        <v>0</v>
      </c>
      <c r="T170" s="82">
        <v>0</v>
      </c>
      <c r="U170" s="92">
        <v>0</v>
      </c>
      <c r="V170" s="93">
        <v>0</v>
      </c>
      <c r="W170" s="78">
        <v>0</v>
      </c>
      <c r="X170" s="94">
        <v>0</v>
      </c>
      <c r="Y170" s="205">
        <f t="shared" si="91"/>
        <v>0.39749999999999996</v>
      </c>
      <c r="Z170" s="92">
        <v>0</v>
      </c>
      <c r="AA170" s="93">
        <v>0</v>
      </c>
      <c r="AB170" s="78">
        <v>0</v>
      </c>
      <c r="AC170" s="94">
        <v>0</v>
      </c>
      <c r="AD170" s="207">
        <f t="shared" si="92"/>
        <v>0</v>
      </c>
      <c r="AE170" s="92">
        <v>0.7</v>
      </c>
      <c r="AF170" s="93">
        <v>0</v>
      </c>
      <c r="AG170" s="78">
        <v>0</v>
      </c>
      <c r="AH170" s="94">
        <v>0</v>
      </c>
      <c r="AI170" s="207">
        <f t="shared" si="98"/>
        <v>3.4999999999999996E-2</v>
      </c>
      <c r="AJ170" s="206">
        <v>0</v>
      </c>
      <c r="AK170" s="93">
        <v>0</v>
      </c>
      <c r="AL170" s="94"/>
      <c r="AM170" s="92">
        <v>0</v>
      </c>
      <c r="AN170" s="93">
        <v>0</v>
      </c>
      <c r="AO170" s="78">
        <v>0</v>
      </c>
      <c r="AP170" s="94">
        <v>0</v>
      </c>
      <c r="AQ170" s="205">
        <f t="shared" si="93"/>
        <v>0</v>
      </c>
      <c r="AR170" s="92">
        <v>0</v>
      </c>
      <c r="AS170" s="93">
        <v>0</v>
      </c>
      <c r="AT170" s="78">
        <v>0</v>
      </c>
      <c r="AU170" s="94">
        <v>0</v>
      </c>
      <c r="AV170" s="205">
        <f t="shared" si="94"/>
        <v>0</v>
      </c>
      <c r="AW170" s="92">
        <v>0</v>
      </c>
      <c r="AX170" s="93">
        <v>0</v>
      </c>
      <c r="AY170" s="94">
        <v>0</v>
      </c>
      <c r="AZ170" s="205">
        <f t="shared" si="95"/>
        <v>0</v>
      </c>
      <c r="BA170" s="92">
        <v>0</v>
      </c>
      <c r="BB170" s="78">
        <v>0</v>
      </c>
      <c r="BC170" s="94">
        <v>0</v>
      </c>
      <c r="BD170" s="207">
        <f t="shared" si="96"/>
        <v>0</v>
      </c>
      <c r="BE170" s="86"/>
      <c r="BF170" s="87" t="e">
        <f t="shared" si="97"/>
        <v>#DIV/0!</v>
      </c>
      <c r="BG170" s="97"/>
    </row>
    <row r="171" spans="2:59" ht="42" customHeight="1" x14ac:dyDescent="0.35">
      <c r="B171" s="90">
        <v>1005</v>
      </c>
      <c r="C171" s="77">
        <v>1</v>
      </c>
      <c r="D171" s="78">
        <v>1</v>
      </c>
      <c r="E171" s="78">
        <v>1</v>
      </c>
      <c r="F171" s="199">
        <v>1</v>
      </c>
      <c r="G171" s="91">
        <f t="shared" si="89"/>
        <v>1</v>
      </c>
      <c r="H171" s="206">
        <v>0</v>
      </c>
      <c r="I171" s="93">
        <v>0</v>
      </c>
      <c r="J171" s="78">
        <v>0</v>
      </c>
      <c r="K171" s="94">
        <v>0</v>
      </c>
      <c r="L171" s="207">
        <f t="shared" si="90"/>
        <v>0</v>
      </c>
      <c r="M171" s="80">
        <v>1</v>
      </c>
      <c r="N171" s="81">
        <v>1</v>
      </c>
      <c r="O171" s="78">
        <v>0.95</v>
      </c>
      <c r="P171" s="84">
        <v>1</v>
      </c>
      <c r="Q171" s="83">
        <v>0</v>
      </c>
      <c r="R171" s="81">
        <v>0</v>
      </c>
      <c r="S171" s="78">
        <v>0</v>
      </c>
      <c r="T171" s="82">
        <v>0</v>
      </c>
      <c r="U171" s="92">
        <v>0.2</v>
      </c>
      <c r="V171" s="93">
        <v>0</v>
      </c>
      <c r="W171" s="78">
        <v>0</v>
      </c>
      <c r="X171" s="94">
        <v>0.2</v>
      </c>
      <c r="Y171" s="205">
        <f t="shared" si="91"/>
        <v>0.4375</v>
      </c>
      <c r="Z171" s="92">
        <v>0</v>
      </c>
      <c r="AA171" s="93">
        <v>0</v>
      </c>
      <c r="AB171" s="78">
        <v>0</v>
      </c>
      <c r="AC171" s="94">
        <v>0</v>
      </c>
      <c r="AD171" s="207">
        <f t="shared" si="92"/>
        <v>0</v>
      </c>
      <c r="AE171" s="92">
        <v>0.9</v>
      </c>
      <c r="AF171" s="93">
        <v>0</v>
      </c>
      <c r="AG171" s="78">
        <v>0</v>
      </c>
      <c r="AH171" s="94">
        <v>0</v>
      </c>
      <c r="AI171" s="207">
        <f t="shared" si="98"/>
        <v>4.5000000000000005E-2</v>
      </c>
      <c r="AJ171" s="206">
        <v>1</v>
      </c>
      <c r="AK171" s="93">
        <v>0</v>
      </c>
      <c r="AL171" s="94"/>
      <c r="AM171" s="92">
        <v>0</v>
      </c>
      <c r="AN171" s="93">
        <v>0</v>
      </c>
      <c r="AO171" s="78">
        <v>0</v>
      </c>
      <c r="AP171" s="94">
        <v>0</v>
      </c>
      <c r="AQ171" s="205">
        <f t="shared" si="93"/>
        <v>0</v>
      </c>
      <c r="AR171" s="92">
        <v>0</v>
      </c>
      <c r="AS171" s="93">
        <v>0</v>
      </c>
      <c r="AT171" s="78">
        <v>0</v>
      </c>
      <c r="AU171" s="94">
        <v>0</v>
      </c>
      <c r="AV171" s="205">
        <f t="shared" si="94"/>
        <v>0</v>
      </c>
      <c r="AW171" s="92">
        <v>0</v>
      </c>
      <c r="AX171" s="93">
        <v>0</v>
      </c>
      <c r="AY171" s="94">
        <v>0</v>
      </c>
      <c r="AZ171" s="205">
        <f t="shared" si="95"/>
        <v>0</v>
      </c>
      <c r="BA171" s="92">
        <v>0</v>
      </c>
      <c r="BB171" s="78">
        <v>0</v>
      </c>
      <c r="BC171" s="94">
        <v>0</v>
      </c>
      <c r="BD171" s="207">
        <f t="shared" si="96"/>
        <v>0</v>
      </c>
      <c r="BE171" s="86"/>
      <c r="BF171" s="87" t="e">
        <f t="shared" si="97"/>
        <v>#DIV/0!</v>
      </c>
      <c r="BG171" s="98"/>
    </row>
    <row r="172" spans="2:59" ht="42" customHeight="1" x14ac:dyDescent="0.35">
      <c r="B172" s="76">
        <v>1006</v>
      </c>
      <c r="C172" s="77">
        <v>1</v>
      </c>
      <c r="D172" s="78">
        <v>1</v>
      </c>
      <c r="E172" s="78">
        <v>1</v>
      </c>
      <c r="F172" s="199">
        <v>1</v>
      </c>
      <c r="G172" s="91">
        <f t="shared" si="89"/>
        <v>1</v>
      </c>
      <c r="H172" s="206">
        <v>0</v>
      </c>
      <c r="I172" s="93">
        <v>0</v>
      </c>
      <c r="J172" s="78">
        <v>0</v>
      </c>
      <c r="K172" s="94">
        <v>0</v>
      </c>
      <c r="L172" s="207">
        <f t="shared" si="90"/>
        <v>0</v>
      </c>
      <c r="M172" s="80">
        <v>1</v>
      </c>
      <c r="N172" s="81">
        <v>1</v>
      </c>
      <c r="O172" s="78">
        <v>0.95</v>
      </c>
      <c r="P172" s="84">
        <v>1</v>
      </c>
      <c r="Q172" s="83">
        <v>0</v>
      </c>
      <c r="R172" s="81">
        <v>0</v>
      </c>
      <c r="S172" s="78">
        <v>0</v>
      </c>
      <c r="T172" s="82">
        <v>0</v>
      </c>
      <c r="U172" s="92">
        <v>0</v>
      </c>
      <c r="V172" s="93">
        <v>0</v>
      </c>
      <c r="W172" s="78">
        <v>0</v>
      </c>
      <c r="X172" s="94">
        <v>0</v>
      </c>
      <c r="Y172" s="205">
        <f t="shared" si="91"/>
        <v>0.39749999999999996</v>
      </c>
      <c r="Z172" s="92">
        <v>0</v>
      </c>
      <c r="AA172" s="93">
        <v>0</v>
      </c>
      <c r="AB172" s="78">
        <v>0</v>
      </c>
      <c r="AC172" s="94">
        <v>0</v>
      </c>
      <c r="AD172" s="207">
        <f t="shared" si="92"/>
        <v>0</v>
      </c>
      <c r="AE172" s="92">
        <v>0.7</v>
      </c>
      <c r="AF172" s="93">
        <v>0</v>
      </c>
      <c r="AG172" s="78">
        <v>0</v>
      </c>
      <c r="AH172" s="94">
        <v>0</v>
      </c>
      <c r="AI172" s="207">
        <f t="shared" si="98"/>
        <v>3.4999999999999996E-2</v>
      </c>
      <c r="AJ172" s="206">
        <v>0</v>
      </c>
      <c r="AK172" s="93">
        <v>0</v>
      </c>
      <c r="AL172" s="94"/>
      <c r="AM172" s="92">
        <v>0</v>
      </c>
      <c r="AN172" s="93">
        <v>0</v>
      </c>
      <c r="AO172" s="78">
        <v>0</v>
      </c>
      <c r="AP172" s="94">
        <v>0</v>
      </c>
      <c r="AQ172" s="205">
        <f t="shared" si="93"/>
        <v>0</v>
      </c>
      <c r="AR172" s="92">
        <v>0</v>
      </c>
      <c r="AS172" s="93">
        <v>0</v>
      </c>
      <c r="AT172" s="78">
        <v>0</v>
      </c>
      <c r="AU172" s="94">
        <v>0</v>
      </c>
      <c r="AV172" s="205">
        <f t="shared" si="94"/>
        <v>0</v>
      </c>
      <c r="AW172" s="92">
        <v>0</v>
      </c>
      <c r="AX172" s="93">
        <v>0</v>
      </c>
      <c r="AY172" s="94">
        <v>0</v>
      </c>
      <c r="AZ172" s="205">
        <f t="shared" si="95"/>
        <v>0</v>
      </c>
      <c r="BA172" s="92">
        <v>0</v>
      </c>
      <c r="BB172" s="78">
        <v>0</v>
      </c>
      <c r="BC172" s="94">
        <v>0</v>
      </c>
      <c r="BD172" s="207">
        <f t="shared" si="96"/>
        <v>0</v>
      </c>
      <c r="BE172" s="86"/>
      <c r="BF172" s="87" t="e">
        <f t="shared" si="97"/>
        <v>#DIV/0!</v>
      </c>
      <c r="BG172" s="99"/>
    </row>
    <row r="173" spans="2:59" ht="42" customHeight="1" x14ac:dyDescent="0.35">
      <c r="B173" s="76">
        <v>1007</v>
      </c>
      <c r="C173" s="77">
        <v>1</v>
      </c>
      <c r="D173" s="78">
        <v>1</v>
      </c>
      <c r="E173" s="78">
        <v>1</v>
      </c>
      <c r="F173" s="199">
        <v>1</v>
      </c>
      <c r="G173" s="91">
        <f t="shared" si="89"/>
        <v>1</v>
      </c>
      <c r="H173" s="206">
        <v>0</v>
      </c>
      <c r="I173" s="93">
        <v>0</v>
      </c>
      <c r="J173" s="78">
        <v>0</v>
      </c>
      <c r="K173" s="94">
        <v>0</v>
      </c>
      <c r="L173" s="207">
        <f t="shared" si="90"/>
        <v>0</v>
      </c>
      <c r="M173" s="80">
        <v>1</v>
      </c>
      <c r="N173" s="81">
        <v>1</v>
      </c>
      <c r="O173" s="78">
        <v>0.95</v>
      </c>
      <c r="P173" s="84">
        <v>1</v>
      </c>
      <c r="Q173" s="83">
        <v>0</v>
      </c>
      <c r="R173" s="81">
        <v>0</v>
      </c>
      <c r="S173" s="78">
        <v>0</v>
      </c>
      <c r="T173" s="82">
        <v>0</v>
      </c>
      <c r="U173" s="92">
        <v>0.2</v>
      </c>
      <c r="V173" s="93">
        <v>0</v>
      </c>
      <c r="W173" s="78">
        <v>0</v>
      </c>
      <c r="X173" s="94">
        <v>0.2</v>
      </c>
      <c r="Y173" s="205">
        <f t="shared" si="91"/>
        <v>0.4375</v>
      </c>
      <c r="Z173" s="92">
        <v>0</v>
      </c>
      <c r="AA173" s="93">
        <v>0</v>
      </c>
      <c r="AB173" s="78">
        <v>0</v>
      </c>
      <c r="AC173" s="94">
        <v>0</v>
      </c>
      <c r="AD173" s="207">
        <f t="shared" si="92"/>
        <v>0</v>
      </c>
      <c r="AE173" s="92">
        <v>0.9</v>
      </c>
      <c r="AF173" s="93">
        <v>0</v>
      </c>
      <c r="AG173" s="78">
        <v>0</v>
      </c>
      <c r="AH173" s="94">
        <v>0</v>
      </c>
      <c r="AI173" s="207">
        <f t="shared" si="98"/>
        <v>4.5000000000000005E-2</v>
      </c>
      <c r="AJ173" s="206">
        <v>1</v>
      </c>
      <c r="AK173" s="93">
        <v>0</v>
      </c>
      <c r="AL173" s="94"/>
      <c r="AM173" s="92">
        <v>0</v>
      </c>
      <c r="AN173" s="93">
        <v>0</v>
      </c>
      <c r="AO173" s="78">
        <v>0</v>
      </c>
      <c r="AP173" s="94">
        <v>0</v>
      </c>
      <c r="AQ173" s="205">
        <f t="shared" si="93"/>
        <v>0</v>
      </c>
      <c r="AR173" s="92">
        <v>0</v>
      </c>
      <c r="AS173" s="93">
        <v>0</v>
      </c>
      <c r="AT173" s="78">
        <v>0</v>
      </c>
      <c r="AU173" s="94">
        <v>0</v>
      </c>
      <c r="AV173" s="205">
        <f t="shared" si="94"/>
        <v>0</v>
      </c>
      <c r="AW173" s="92">
        <v>0</v>
      </c>
      <c r="AX173" s="93">
        <v>0</v>
      </c>
      <c r="AY173" s="94">
        <v>0</v>
      </c>
      <c r="AZ173" s="205">
        <f t="shared" si="95"/>
        <v>0</v>
      </c>
      <c r="BA173" s="92">
        <v>0</v>
      </c>
      <c r="BB173" s="78">
        <v>0</v>
      </c>
      <c r="BC173" s="94">
        <v>0</v>
      </c>
      <c r="BD173" s="207">
        <f t="shared" si="96"/>
        <v>0</v>
      </c>
      <c r="BE173" s="86"/>
      <c r="BF173" s="87" t="e">
        <f t="shared" si="97"/>
        <v>#DIV/0!</v>
      </c>
      <c r="BG173" s="98"/>
    </row>
    <row r="174" spans="2:59" ht="42" customHeight="1" x14ac:dyDescent="0.35">
      <c r="B174" s="90">
        <v>1008</v>
      </c>
      <c r="C174" s="77">
        <v>1</v>
      </c>
      <c r="D174" s="78">
        <v>1</v>
      </c>
      <c r="E174" s="78">
        <v>1</v>
      </c>
      <c r="F174" s="199">
        <v>1</v>
      </c>
      <c r="G174" s="91">
        <f t="shared" si="89"/>
        <v>1</v>
      </c>
      <c r="H174" s="206">
        <v>0</v>
      </c>
      <c r="I174" s="93">
        <v>0</v>
      </c>
      <c r="J174" s="78">
        <v>0</v>
      </c>
      <c r="K174" s="94">
        <v>0</v>
      </c>
      <c r="L174" s="207">
        <f t="shared" si="90"/>
        <v>0</v>
      </c>
      <c r="M174" s="80">
        <v>1</v>
      </c>
      <c r="N174" s="81">
        <v>1</v>
      </c>
      <c r="O174" s="78">
        <v>0.95</v>
      </c>
      <c r="P174" s="84">
        <v>1</v>
      </c>
      <c r="Q174" s="83">
        <v>0</v>
      </c>
      <c r="R174" s="81">
        <v>0</v>
      </c>
      <c r="S174" s="78">
        <v>0</v>
      </c>
      <c r="T174" s="82">
        <v>0</v>
      </c>
      <c r="U174" s="92">
        <v>0.6</v>
      </c>
      <c r="V174" s="93">
        <v>0.8</v>
      </c>
      <c r="W174" s="78">
        <v>0.8</v>
      </c>
      <c r="X174" s="94">
        <v>0.6</v>
      </c>
      <c r="Y174" s="205">
        <f t="shared" si="91"/>
        <v>0.67749999999999999</v>
      </c>
      <c r="Z174" s="92">
        <v>0</v>
      </c>
      <c r="AA174" s="93">
        <v>0</v>
      </c>
      <c r="AB174" s="78">
        <v>0</v>
      </c>
      <c r="AC174" s="94">
        <v>0</v>
      </c>
      <c r="AD174" s="207">
        <f t="shared" si="92"/>
        <v>0</v>
      </c>
      <c r="AE174" s="92">
        <v>0.7</v>
      </c>
      <c r="AF174" s="93">
        <v>0</v>
      </c>
      <c r="AG174" s="78">
        <v>0</v>
      </c>
      <c r="AH174" s="94">
        <v>0</v>
      </c>
      <c r="AI174" s="207">
        <f t="shared" si="98"/>
        <v>3.4999999999999996E-2</v>
      </c>
      <c r="AJ174" s="206">
        <v>0</v>
      </c>
      <c r="AK174" s="93">
        <v>0</v>
      </c>
      <c r="AL174" s="94"/>
      <c r="AM174" s="92">
        <v>0</v>
      </c>
      <c r="AN174" s="93">
        <v>0</v>
      </c>
      <c r="AO174" s="78">
        <v>0</v>
      </c>
      <c r="AP174" s="94">
        <v>0</v>
      </c>
      <c r="AQ174" s="205">
        <f t="shared" si="93"/>
        <v>0</v>
      </c>
      <c r="AR174" s="92">
        <v>0</v>
      </c>
      <c r="AS174" s="93">
        <v>0</v>
      </c>
      <c r="AT174" s="78">
        <v>0</v>
      </c>
      <c r="AU174" s="94">
        <v>0</v>
      </c>
      <c r="AV174" s="205">
        <f t="shared" si="94"/>
        <v>0</v>
      </c>
      <c r="AW174" s="92">
        <v>0</v>
      </c>
      <c r="AX174" s="93">
        <v>0</v>
      </c>
      <c r="AY174" s="94">
        <v>0</v>
      </c>
      <c r="AZ174" s="205">
        <f t="shared" si="95"/>
        <v>0</v>
      </c>
      <c r="BA174" s="92">
        <v>0</v>
      </c>
      <c r="BB174" s="78">
        <v>0</v>
      </c>
      <c r="BC174" s="94">
        <v>0</v>
      </c>
      <c r="BD174" s="207">
        <f t="shared" si="96"/>
        <v>0</v>
      </c>
      <c r="BE174" s="86"/>
      <c r="BF174" s="87" t="e">
        <f t="shared" si="97"/>
        <v>#DIV/0!</v>
      </c>
      <c r="BG174" s="99"/>
    </row>
    <row r="175" spans="2:59" ht="42" customHeight="1" x14ac:dyDescent="0.3">
      <c r="B175" s="76">
        <v>1009</v>
      </c>
      <c r="C175" s="77">
        <v>1</v>
      </c>
      <c r="D175" s="78">
        <v>1</v>
      </c>
      <c r="E175" s="78">
        <v>1</v>
      </c>
      <c r="F175" s="199">
        <v>1</v>
      </c>
      <c r="G175" s="91">
        <f t="shared" si="89"/>
        <v>1</v>
      </c>
      <c r="H175" s="206">
        <v>0</v>
      </c>
      <c r="I175" s="93">
        <v>0</v>
      </c>
      <c r="J175" s="78">
        <v>0</v>
      </c>
      <c r="K175" s="94">
        <v>0</v>
      </c>
      <c r="L175" s="207">
        <f t="shared" si="90"/>
        <v>0</v>
      </c>
      <c r="M175" s="80">
        <v>1</v>
      </c>
      <c r="N175" s="81">
        <v>1</v>
      </c>
      <c r="O175" s="78">
        <v>0.95</v>
      </c>
      <c r="P175" s="84">
        <v>1</v>
      </c>
      <c r="Q175" s="83">
        <v>0</v>
      </c>
      <c r="R175" s="81">
        <v>0</v>
      </c>
      <c r="S175" s="78">
        <v>0</v>
      </c>
      <c r="T175" s="82">
        <v>0</v>
      </c>
      <c r="U175" s="92">
        <v>0.2</v>
      </c>
      <c r="V175" s="93">
        <v>0</v>
      </c>
      <c r="W175" s="78">
        <v>0</v>
      </c>
      <c r="X175" s="94">
        <v>0.2</v>
      </c>
      <c r="Y175" s="205">
        <f t="shared" si="91"/>
        <v>0.4375</v>
      </c>
      <c r="Z175" s="92">
        <v>0</v>
      </c>
      <c r="AA175" s="93">
        <v>0</v>
      </c>
      <c r="AB175" s="78">
        <v>0</v>
      </c>
      <c r="AC175" s="94">
        <v>0</v>
      </c>
      <c r="AD175" s="207">
        <f t="shared" si="92"/>
        <v>0</v>
      </c>
      <c r="AE175" s="92">
        <v>0.9</v>
      </c>
      <c r="AF175" s="93">
        <v>0</v>
      </c>
      <c r="AG175" s="78">
        <v>0</v>
      </c>
      <c r="AH175" s="94">
        <v>0</v>
      </c>
      <c r="AI175" s="207">
        <f t="shared" si="98"/>
        <v>4.5000000000000005E-2</v>
      </c>
      <c r="AJ175" s="206">
        <v>1</v>
      </c>
      <c r="AK175" s="93">
        <v>0</v>
      </c>
      <c r="AL175" s="94"/>
      <c r="AM175" s="92">
        <v>0</v>
      </c>
      <c r="AN175" s="93">
        <v>0</v>
      </c>
      <c r="AO175" s="78">
        <v>0</v>
      </c>
      <c r="AP175" s="94">
        <v>0</v>
      </c>
      <c r="AQ175" s="205">
        <f t="shared" si="93"/>
        <v>0</v>
      </c>
      <c r="AR175" s="92">
        <v>0</v>
      </c>
      <c r="AS175" s="93">
        <v>0</v>
      </c>
      <c r="AT175" s="78">
        <v>0</v>
      </c>
      <c r="AU175" s="94">
        <v>0</v>
      </c>
      <c r="AV175" s="205">
        <f t="shared" si="94"/>
        <v>0</v>
      </c>
      <c r="AW175" s="92">
        <v>0</v>
      </c>
      <c r="AX175" s="93">
        <v>0</v>
      </c>
      <c r="AY175" s="94">
        <v>0</v>
      </c>
      <c r="AZ175" s="205">
        <f t="shared" si="95"/>
        <v>0</v>
      </c>
      <c r="BA175" s="92">
        <v>0</v>
      </c>
      <c r="BB175" s="78">
        <v>0</v>
      </c>
      <c r="BC175" s="94">
        <v>0</v>
      </c>
      <c r="BD175" s="207">
        <f t="shared" si="96"/>
        <v>0</v>
      </c>
      <c r="BE175" s="86"/>
      <c r="BF175" s="87" t="e">
        <f t="shared" si="97"/>
        <v>#DIV/0!</v>
      </c>
      <c r="BG175" s="100"/>
    </row>
    <row r="176" spans="2:59" ht="42" customHeight="1" x14ac:dyDescent="0.35">
      <c r="B176" s="76">
        <v>1010</v>
      </c>
      <c r="C176" s="77">
        <v>1</v>
      </c>
      <c r="D176" s="78">
        <v>1</v>
      </c>
      <c r="E176" s="78">
        <v>1</v>
      </c>
      <c r="F176" s="199">
        <v>1</v>
      </c>
      <c r="G176" s="91">
        <f t="shared" si="89"/>
        <v>1</v>
      </c>
      <c r="H176" s="206">
        <v>0</v>
      </c>
      <c r="I176" s="93">
        <v>0</v>
      </c>
      <c r="J176" s="78">
        <v>0</v>
      </c>
      <c r="K176" s="94">
        <v>0</v>
      </c>
      <c r="L176" s="207">
        <f t="shared" si="90"/>
        <v>0</v>
      </c>
      <c r="M176" s="80">
        <v>1</v>
      </c>
      <c r="N176" s="81">
        <v>1</v>
      </c>
      <c r="O176" s="78">
        <v>0.95</v>
      </c>
      <c r="P176" s="84">
        <v>1</v>
      </c>
      <c r="Q176" s="83">
        <v>0</v>
      </c>
      <c r="R176" s="81">
        <v>0</v>
      </c>
      <c r="S176" s="78">
        <v>0</v>
      </c>
      <c r="T176" s="82">
        <v>0</v>
      </c>
      <c r="U176" s="92">
        <v>0.6</v>
      </c>
      <c r="V176" s="93">
        <v>0.8</v>
      </c>
      <c r="W176" s="78">
        <v>0.8</v>
      </c>
      <c r="X176" s="94">
        <v>0.7</v>
      </c>
      <c r="Y176" s="205">
        <f t="shared" si="91"/>
        <v>0.6875</v>
      </c>
      <c r="Z176" s="92">
        <v>0</v>
      </c>
      <c r="AA176" s="93">
        <v>0</v>
      </c>
      <c r="AB176" s="78">
        <v>0</v>
      </c>
      <c r="AC176" s="94">
        <v>0</v>
      </c>
      <c r="AD176" s="207">
        <f t="shared" si="92"/>
        <v>0</v>
      </c>
      <c r="AE176" s="92">
        <v>0.9</v>
      </c>
      <c r="AF176" s="93">
        <v>0</v>
      </c>
      <c r="AG176" s="78">
        <v>0</v>
      </c>
      <c r="AH176" s="94">
        <v>0</v>
      </c>
      <c r="AI176" s="207">
        <f t="shared" si="98"/>
        <v>4.5000000000000005E-2</v>
      </c>
      <c r="AJ176" s="206">
        <v>1</v>
      </c>
      <c r="AK176" s="93">
        <v>0</v>
      </c>
      <c r="AL176" s="94"/>
      <c r="AM176" s="92">
        <v>0</v>
      </c>
      <c r="AN176" s="93">
        <v>0</v>
      </c>
      <c r="AO176" s="78">
        <v>0</v>
      </c>
      <c r="AP176" s="94">
        <v>0</v>
      </c>
      <c r="AQ176" s="205">
        <f t="shared" si="93"/>
        <v>0</v>
      </c>
      <c r="AR176" s="92">
        <v>0</v>
      </c>
      <c r="AS176" s="93">
        <v>0</v>
      </c>
      <c r="AT176" s="78">
        <v>0</v>
      </c>
      <c r="AU176" s="94">
        <v>0</v>
      </c>
      <c r="AV176" s="205">
        <f t="shared" si="94"/>
        <v>0</v>
      </c>
      <c r="AW176" s="92">
        <v>0</v>
      </c>
      <c r="AX176" s="93">
        <v>0</v>
      </c>
      <c r="AY176" s="94">
        <v>0</v>
      </c>
      <c r="AZ176" s="205">
        <f t="shared" si="95"/>
        <v>0</v>
      </c>
      <c r="BA176" s="92">
        <v>0</v>
      </c>
      <c r="BB176" s="78">
        <v>0</v>
      </c>
      <c r="BC176" s="94">
        <v>0</v>
      </c>
      <c r="BD176" s="207">
        <f t="shared" si="96"/>
        <v>0</v>
      </c>
      <c r="BE176" s="86"/>
      <c r="BF176" s="87" t="e">
        <f t="shared" si="97"/>
        <v>#DIV/0!</v>
      </c>
      <c r="BG176" s="98"/>
    </row>
    <row r="177" spans="2:59" ht="42" customHeight="1" x14ac:dyDescent="0.3">
      <c r="B177" s="90">
        <v>1011</v>
      </c>
      <c r="C177" s="77">
        <v>1</v>
      </c>
      <c r="D177" s="78">
        <v>1</v>
      </c>
      <c r="E177" s="78">
        <v>1</v>
      </c>
      <c r="F177" s="199">
        <v>1</v>
      </c>
      <c r="G177" s="91">
        <f t="shared" si="89"/>
        <v>1</v>
      </c>
      <c r="H177" s="206">
        <v>0</v>
      </c>
      <c r="I177" s="93">
        <v>0</v>
      </c>
      <c r="J177" s="78">
        <v>0</v>
      </c>
      <c r="K177" s="94">
        <v>0</v>
      </c>
      <c r="L177" s="207">
        <f t="shared" si="90"/>
        <v>0</v>
      </c>
      <c r="M177" s="80">
        <v>1</v>
      </c>
      <c r="N177" s="81">
        <v>1</v>
      </c>
      <c r="O177" s="78">
        <v>0.95</v>
      </c>
      <c r="P177" s="84">
        <v>1</v>
      </c>
      <c r="Q177" s="83">
        <v>0</v>
      </c>
      <c r="R177" s="81">
        <v>0</v>
      </c>
      <c r="S177" s="78">
        <v>0</v>
      </c>
      <c r="T177" s="82">
        <v>0</v>
      </c>
      <c r="U177" s="92">
        <v>0</v>
      </c>
      <c r="V177" s="93">
        <v>0</v>
      </c>
      <c r="W177" s="78">
        <v>0</v>
      </c>
      <c r="X177" s="94">
        <v>0</v>
      </c>
      <c r="Y177" s="205">
        <f t="shared" si="91"/>
        <v>0.39749999999999996</v>
      </c>
      <c r="Z177" s="92">
        <v>0</v>
      </c>
      <c r="AA177" s="93">
        <v>0</v>
      </c>
      <c r="AB177" s="78">
        <v>0</v>
      </c>
      <c r="AC177" s="94">
        <v>0</v>
      </c>
      <c r="AD177" s="207">
        <f t="shared" si="92"/>
        <v>0</v>
      </c>
      <c r="AE177" s="92">
        <v>0.9</v>
      </c>
      <c r="AF177" s="93">
        <v>0</v>
      </c>
      <c r="AG177" s="78">
        <v>0</v>
      </c>
      <c r="AH177" s="94">
        <v>0</v>
      </c>
      <c r="AI177" s="207">
        <f t="shared" si="98"/>
        <v>4.5000000000000005E-2</v>
      </c>
      <c r="AJ177" s="206">
        <v>0</v>
      </c>
      <c r="AK177" s="93">
        <v>0</v>
      </c>
      <c r="AL177" s="94"/>
      <c r="AM177" s="92">
        <v>0</v>
      </c>
      <c r="AN177" s="93">
        <v>0</v>
      </c>
      <c r="AO177" s="78">
        <v>0</v>
      </c>
      <c r="AP177" s="94">
        <v>0</v>
      </c>
      <c r="AQ177" s="205">
        <f t="shared" si="93"/>
        <v>0</v>
      </c>
      <c r="AR177" s="92">
        <v>0</v>
      </c>
      <c r="AS177" s="93">
        <v>0</v>
      </c>
      <c r="AT177" s="78">
        <v>0</v>
      </c>
      <c r="AU177" s="94">
        <v>0</v>
      </c>
      <c r="AV177" s="205">
        <f t="shared" si="94"/>
        <v>0</v>
      </c>
      <c r="AW177" s="92">
        <v>0</v>
      </c>
      <c r="AX177" s="93">
        <v>0</v>
      </c>
      <c r="AY177" s="94">
        <v>0</v>
      </c>
      <c r="AZ177" s="205">
        <f t="shared" si="95"/>
        <v>0</v>
      </c>
      <c r="BA177" s="92">
        <v>0</v>
      </c>
      <c r="BB177" s="78">
        <v>0</v>
      </c>
      <c r="BC177" s="94">
        <v>0</v>
      </c>
      <c r="BD177" s="207">
        <f t="shared" si="96"/>
        <v>0</v>
      </c>
      <c r="BE177" s="86"/>
      <c r="BF177" s="87" t="e">
        <f t="shared" si="97"/>
        <v>#DIV/0!</v>
      </c>
      <c r="BG177" s="97"/>
    </row>
    <row r="178" spans="2:59" ht="42" customHeight="1" x14ac:dyDescent="0.3">
      <c r="B178" s="76">
        <v>1012</v>
      </c>
      <c r="C178" s="77">
        <v>1</v>
      </c>
      <c r="D178" s="78">
        <v>1</v>
      </c>
      <c r="E178" s="78">
        <v>1</v>
      </c>
      <c r="F178" s="199">
        <v>1</v>
      </c>
      <c r="G178" s="91">
        <f t="shared" si="89"/>
        <v>1</v>
      </c>
      <c r="H178" s="206">
        <v>0</v>
      </c>
      <c r="I178" s="93">
        <v>0</v>
      </c>
      <c r="J178" s="78">
        <v>0</v>
      </c>
      <c r="K178" s="94">
        <v>0</v>
      </c>
      <c r="L178" s="207">
        <f t="shared" si="90"/>
        <v>0</v>
      </c>
      <c r="M178" s="80">
        <v>1</v>
      </c>
      <c r="N178" s="81">
        <v>1</v>
      </c>
      <c r="O178" s="78">
        <v>0.95</v>
      </c>
      <c r="P178" s="84">
        <v>1</v>
      </c>
      <c r="Q178" s="83">
        <v>0</v>
      </c>
      <c r="R178" s="81">
        <v>0</v>
      </c>
      <c r="S178" s="78">
        <v>0</v>
      </c>
      <c r="T178" s="82">
        <v>0</v>
      </c>
      <c r="U178" s="92">
        <v>0.6</v>
      </c>
      <c r="V178" s="93">
        <v>0.8</v>
      </c>
      <c r="W178" s="78">
        <v>0.8</v>
      </c>
      <c r="X178" s="94">
        <v>0.6</v>
      </c>
      <c r="Y178" s="205">
        <f t="shared" si="91"/>
        <v>0.67749999999999999</v>
      </c>
      <c r="Z178" s="92">
        <v>0</v>
      </c>
      <c r="AA178" s="93">
        <v>0</v>
      </c>
      <c r="AB178" s="78">
        <v>0</v>
      </c>
      <c r="AC178" s="94">
        <v>0</v>
      </c>
      <c r="AD178" s="207">
        <f t="shared" si="92"/>
        <v>0</v>
      </c>
      <c r="AE178" s="92">
        <v>0</v>
      </c>
      <c r="AF178" s="93">
        <v>0</v>
      </c>
      <c r="AG178" s="78">
        <v>0</v>
      </c>
      <c r="AH178" s="94">
        <v>0</v>
      </c>
      <c r="AI178" s="207">
        <f t="shared" si="98"/>
        <v>0</v>
      </c>
      <c r="AJ178" s="206">
        <v>1</v>
      </c>
      <c r="AK178" s="93">
        <v>0</v>
      </c>
      <c r="AL178" s="94"/>
      <c r="AM178" s="92">
        <v>0</v>
      </c>
      <c r="AN178" s="93">
        <v>0</v>
      </c>
      <c r="AO178" s="78">
        <v>0</v>
      </c>
      <c r="AP178" s="94">
        <v>0</v>
      </c>
      <c r="AQ178" s="205">
        <f t="shared" si="93"/>
        <v>0</v>
      </c>
      <c r="AR178" s="92">
        <v>0</v>
      </c>
      <c r="AS178" s="93">
        <v>0</v>
      </c>
      <c r="AT178" s="78">
        <v>0</v>
      </c>
      <c r="AU178" s="94">
        <v>0</v>
      </c>
      <c r="AV178" s="205">
        <f t="shared" si="94"/>
        <v>0</v>
      </c>
      <c r="AW178" s="92">
        <v>0</v>
      </c>
      <c r="AX178" s="93">
        <v>0</v>
      </c>
      <c r="AY178" s="94">
        <v>0</v>
      </c>
      <c r="AZ178" s="205">
        <f t="shared" si="95"/>
        <v>0</v>
      </c>
      <c r="BA178" s="92">
        <v>0</v>
      </c>
      <c r="BB178" s="78">
        <v>0</v>
      </c>
      <c r="BC178" s="94">
        <v>0</v>
      </c>
      <c r="BD178" s="207">
        <f t="shared" si="96"/>
        <v>0</v>
      </c>
      <c r="BE178" s="86"/>
      <c r="BF178" s="87" t="e">
        <f t="shared" si="97"/>
        <v>#DIV/0!</v>
      </c>
      <c r="BG178" s="97"/>
    </row>
    <row r="179" spans="2:59" ht="42" customHeight="1" x14ac:dyDescent="0.3">
      <c r="B179" s="76">
        <v>1013</v>
      </c>
      <c r="C179" s="77">
        <v>1</v>
      </c>
      <c r="D179" s="78">
        <v>1</v>
      </c>
      <c r="E179" s="78">
        <v>1</v>
      </c>
      <c r="F179" s="199">
        <v>1</v>
      </c>
      <c r="G179" s="91">
        <f t="shared" si="89"/>
        <v>1</v>
      </c>
      <c r="H179" s="206">
        <v>0</v>
      </c>
      <c r="I179" s="93">
        <v>0</v>
      </c>
      <c r="J179" s="78">
        <v>0</v>
      </c>
      <c r="K179" s="94">
        <v>0</v>
      </c>
      <c r="L179" s="207">
        <f t="shared" si="90"/>
        <v>0</v>
      </c>
      <c r="M179" s="80">
        <v>1</v>
      </c>
      <c r="N179" s="81">
        <v>1</v>
      </c>
      <c r="O179" s="78">
        <v>0.95</v>
      </c>
      <c r="P179" s="84">
        <v>1</v>
      </c>
      <c r="Q179" s="83">
        <v>0</v>
      </c>
      <c r="R179" s="81">
        <v>0</v>
      </c>
      <c r="S179" s="78">
        <v>0</v>
      </c>
      <c r="T179" s="82">
        <v>1</v>
      </c>
      <c r="U179" s="92">
        <v>0</v>
      </c>
      <c r="V179" s="93">
        <v>0</v>
      </c>
      <c r="W179" s="78">
        <v>0</v>
      </c>
      <c r="X179" s="94">
        <v>1</v>
      </c>
      <c r="Y179" s="205">
        <f t="shared" si="91"/>
        <v>0.54749999999999999</v>
      </c>
      <c r="Z179" s="92">
        <v>0</v>
      </c>
      <c r="AA179" s="93">
        <v>0</v>
      </c>
      <c r="AB179" s="78">
        <v>0</v>
      </c>
      <c r="AC179" s="94">
        <v>0</v>
      </c>
      <c r="AD179" s="207">
        <f t="shared" si="92"/>
        <v>0</v>
      </c>
      <c r="AE179" s="92">
        <v>0.9</v>
      </c>
      <c r="AF179" s="93">
        <v>0</v>
      </c>
      <c r="AG179" s="78">
        <v>0</v>
      </c>
      <c r="AH179" s="94">
        <v>0</v>
      </c>
      <c r="AI179" s="207">
        <f t="shared" si="98"/>
        <v>4.5000000000000005E-2</v>
      </c>
      <c r="AJ179" s="206">
        <v>1</v>
      </c>
      <c r="AK179" s="93">
        <v>0</v>
      </c>
      <c r="AL179" s="94"/>
      <c r="AM179" s="92">
        <v>0</v>
      </c>
      <c r="AN179" s="93">
        <v>0</v>
      </c>
      <c r="AO179" s="78">
        <v>0</v>
      </c>
      <c r="AP179" s="94">
        <v>0</v>
      </c>
      <c r="AQ179" s="205">
        <f t="shared" si="93"/>
        <v>0</v>
      </c>
      <c r="AR179" s="92">
        <v>0</v>
      </c>
      <c r="AS179" s="93">
        <v>0</v>
      </c>
      <c r="AT179" s="78">
        <v>0</v>
      </c>
      <c r="AU179" s="94">
        <v>0</v>
      </c>
      <c r="AV179" s="205">
        <f t="shared" si="94"/>
        <v>0</v>
      </c>
      <c r="AW179" s="92">
        <v>0</v>
      </c>
      <c r="AX179" s="93">
        <v>0</v>
      </c>
      <c r="AY179" s="94">
        <v>0</v>
      </c>
      <c r="AZ179" s="205">
        <f t="shared" si="95"/>
        <v>0</v>
      </c>
      <c r="BA179" s="92">
        <v>0</v>
      </c>
      <c r="BB179" s="78">
        <v>0</v>
      </c>
      <c r="BC179" s="94">
        <v>0</v>
      </c>
      <c r="BD179" s="207">
        <f t="shared" si="96"/>
        <v>0</v>
      </c>
      <c r="BE179" s="86"/>
      <c r="BF179" s="87" t="e">
        <f t="shared" si="97"/>
        <v>#DIV/0!</v>
      </c>
      <c r="BG179" s="100"/>
    </row>
    <row r="180" spans="2:59" ht="42" customHeight="1" x14ac:dyDescent="0.35">
      <c r="B180" s="90">
        <v>1014</v>
      </c>
      <c r="C180" s="77">
        <v>1</v>
      </c>
      <c r="D180" s="78">
        <v>1</v>
      </c>
      <c r="E180" s="78">
        <v>1</v>
      </c>
      <c r="F180" s="199">
        <v>1</v>
      </c>
      <c r="G180" s="91">
        <f t="shared" si="89"/>
        <v>1</v>
      </c>
      <c r="H180" s="206">
        <v>0</v>
      </c>
      <c r="I180" s="93">
        <v>0</v>
      </c>
      <c r="J180" s="78">
        <v>0</v>
      </c>
      <c r="K180" s="94">
        <v>0</v>
      </c>
      <c r="L180" s="207">
        <f t="shared" si="90"/>
        <v>0</v>
      </c>
      <c r="M180" s="80">
        <v>1</v>
      </c>
      <c r="N180" s="81">
        <v>1</v>
      </c>
      <c r="O180" s="78">
        <v>0.95</v>
      </c>
      <c r="P180" s="84">
        <v>1</v>
      </c>
      <c r="Q180" s="83">
        <v>0</v>
      </c>
      <c r="R180" s="81">
        <v>0</v>
      </c>
      <c r="S180" s="78">
        <v>0</v>
      </c>
      <c r="T180" s="82">
        <v>0</v>
      </c>
      <c r="U180" s="92">
        <v>0</v>
      </c>
      <c r="V180" s="93">
        <v>0</v>
      </c>
      <c r="W180" s="78">
        <v>0</v>
      </c>
      <c r="X180" s="94">
        <v>0</v>
      </c>
      <c r="Y180" s="205">
        <f t="shared" si="91"/>
        <v>0.39749999999999996</v>
      </c>
      <c r="Z180" s="92">
        <v>0</v>
      </c>
      <c r="AA180" s="93">
        <v>0</v>
      </c>
      <c r="AB180" s="78">
        <v>0</v>
      </c>
      <c r="AC180" s="94">
        <v>0</v>
      </c>
      <c r="AD180" s="207">
        <f t="shared" si="92"/>
        <v>0</v>
      </c>
      <c r="AE180" s="92">
        <v>0</v>
      </c>
      <c r="AF180" s="93">
        <v>0</v>
      </c>
      <c r="AG180" s="78">
        <v>0</v>
      </c>
      <c r="AH180" s="94">
        <v>0</v>
      </c>
      <c r="AI180" s="207">
        <f t="shared" si="98"/>
        <v>0</v>
      </c>
      <c r="AJ180" s="206">
        <v>1</v>
      </c>
      <c r="AK180" s="93">
        <v>0</v>
      </c>
      <c r="AL180" s="94"/>
      <c r="AM180" s="92">
        <v>0</v>
      </c>
      <c r="AN180" s="93">
        <v>0</v>
      </c>
      <c r="AO180" s="78">
        <v>0</v>
      </c>
      <c r="AP180" s="94">
        <v>0</v>
      </c>
      <c r="AQ180" s="205">
        <f t="shared" si="93"/>
        <v>0</v>
      </c>
      <c r="AR180" s="92">
        <v>0</v>
      </c>
      <c r="AS180" s="93">
        <v>0</v>
      </c>
      <c r="AT180" s="78">
        <v>0</v>
      </c>
      <c r="AU180" s="94">
        <v>0</v>
      </c>
      <c r="AV180" s="205">
        <f t="shared" si="94"/>
        <v>0</v>
      </c>
      <c r="AW180" s="92">
        <v>0</v>
      </c>
      <c r="AX180" s="93">
        <v>0</v>
      </c>
      <c r="AY180" s="94">
        <v>0</v>
      </c>
      <c r="AZ180" s="205">
        <f t="shared" si="95"/>
        <v>0</v>
      </c>
      <c r="BA180" s="92">
        <v>0</v>
      </c>
      <c r="BB180" s="78">
        <v>0</v>
      </c>
      <c r="BC180" s="94">
        <v>0</v>
      </c>
      <c r="BD180" s="207">
        <f t="shared" si="96"/>
        <v>0</v>
      </c>
      <c r="BE180" s="86"/>
      <c r="BF180" s="87" t="e">
        <f t="shared" si="97"/>
        <v>#DIV/0!</v>
      </c>
      <c r="BG180" s="98"/>
    </row>
    <row r="181" spans="2:59" ht="42" customHeight="1" x14ac:dyDescent="0.35">
      <c r="B181" s="76">
        <v>1015</v>
      </c>
      <c r="C181" s="77">
        <v>1</v>
      </c>
      <c r="D181" s="78">
        <v>1</v>
      </c>
      <c r="E181" s="78">
        <v>1</v>
      </c>
      <c r="F181" s="199">
        <v>1</v>
      </c>
      <c r="G181" s="91">
        <f t="shared" si="89"/>
        <v>1</v>
      </c>
      <c r="H181" s="206">
        <v>0</v>
      </c>
      <c r="I181" s="93">
        <v>0</v>
      </c>
      <c r="J181" s="78">
        <v>0</v>
      </c>
      <c r="K181" s="94">
        <v>0</v>
      </c>
      <c r="L181" s="207">
        <f t="shared" si="90"/>
        <v>0</v>
      </c>
      <c r="M181" s="80">
        <v>0</v>
      </c>
      <c r="N181" s="81">
        <v>0</v>
      </c>
      <c r="O181" s="78">
        <v>0</v>
      </c>
      <c r="P181" s="84">
        <v>0</v>
      </c>
      <c r="Q181" s="83">
        <v>0</v>
      </c>
      <c r="R181" s="81">
        <v>0</v>
      </c>
      <c r="S181" s="78">
        <v>0</v>
      </c>
      <c r="T181" s="82">
        <v>0</v>
      </c>
      <c r="U181" s="92">
        <v>0</v>
      </c>
      <c r="V181" s="93">
        <v>0</v>
      </c>
      <c r="W181" s="78">
        <v>0</v>
      </c>
      <c r="X181" s="94">
        <v>0</v>
      </c>
      <c r="Y181" s="205">
        <f t="shared" si="91"/>
        <v>0</v>
      </c>
      <c r="Z181" s="92">
        <v>0</v>
      </c>
      <c r="AA181" s="93">
        <v>0</v>
      </c>
      <c r="AB181" s="78">
        <v>0</v>
      </c>
      <c r="AC181" s="94">
        <v>0</v>
      </c>
      <c r="AD181" s="207">
        <f t="shared" si="92"/>
        <v>0</v>
      </c>
      <c r="AE181" s="92">
        <v>0.4</v>
      </c>
      <c r="AF181" s="93">
        <v>0</v>
      </c>
      <c r="AG181" s="78">
        <v>0</v>
      </c>
      <c r="AH181" s="94">
        <v>0</v>
      </c>
      <c r="AI181" s="207">
        <f t="shared" si="98"/>
        <v>2.0000000000000004E-2</v>
      </c>
      <c r="AJ181" s="206">
        <v>0</v>
      </c>
      <c r="AK181" s="93">
        <v>0</v>
      </c>
      <c r="AL181" s="94"/>
      <c r="AM181" s="92">
        <v>0</v>
      </c>
      <c r="AN181" s="93">
        <v>0</v>
      </c>
      <c r="AO181" s="78">
        <v>0</v>
      </c>
      <c r="AP181" s="94">
        <v>0</v>
      </c>
      <c r="AQ181" s="205">
        <f t="shared" si="93"/>
        <v>0</v>
      </c>
      <c r="AR181" s="92">
        <v>0</v>
      </c>
      <c r="AS181" s="93">
        <v>0</v>
      </c>
      <c r="AT181" s="78">
        <v>0</v>
      </c>
      <c r="AU181" s="94">
        <v>0</v>
      </c>
      <c r="AV181" s="205">
        <f t="shared" si="94"/>
        <v>0</v>
      </c>
      <c r="AW181" s="92">
        <v>0</v>
      </c>
      <c r="AX181" s="93">
        <v>0</v>
      </c>
      <c r="AY181" s="94">
        <v>0</v>
      </c>
      <c r="AZ181" s="205">
        <f t="shared" si="95"/>
        <v>0</v>
      </c>
      <c r="BA181" s="92">
        <v>0</v>
      </c>
      <c r="BB181" s="78">
        <v>0</v>
      </c>
      <c r="BC181" s="94">
        <v>0</v>
      </c>
      <c r="BD181" s="207">
        <f t="shared" si="96"/>
        <v>0</v>
      </c>
      <c r="BE181" s="86"/>
      <c r="BF181" s="87" t="e">
        <f t="shared" si="97"/>
        <v>#DIV/0!</v>
      </c>
      <c r="BG181" s="98"/>
    </row>
    <row r="182" spans="2:59" ht="42" customHeight="1" thickBot="1" x14ac:dyDescent="0.4">
      <c r="B182" s="101">
        <v>1016</v>
      </c>
      <c r="C182" s="77">
        <v>1</v>
      </c>
      <c r="D182" s="78">
        <v>1</v>
      </c>
      <c r="E182" s="78">
        <v>1</v>
      </c>
      <c r="F182" s="199">
        <v>1</v>
      </c>
      <c r="G182" s="102">
        <f t="shared" si="89"/>
        <v>1</v>
      </c>
      <c r="H182" s="208">
        <v>0</v>
      </c>
      <c r="I182" s="110">
        <v>0</v>
      </c>
      <c r="J182" s="105">
        <v>0</v>
      </c>
      <c r="K182" s="111">
        <v>0</v>
      </c>
      <c r="L182" s="209">
        <f t="shared" si="90"/>
        <v>0</v>
      </c>
      <c r="M182" s="107">
        <v>1</v>
      </c>
      <c r="N182" s="104">
        <v>1</v>
      </c>
      <c r="O182" s="105">
        <v>0.95</v>
      </c>
      <c r="P182" s="106">
        <v>1</v>
      </c>
      <c r="Q182" s="103">
        <v>0</v>
      </c>
      <c r="R182" s="104">
        <v>0</v>
      </c>
      <c r="S182" s="105">
        <v>0</v>
      </c>
      <c r="T182" s="108">
        <v>0</v>
      </c>
      <c r="U182" s="109">
        <v>0</v>
      </c>
      <c r="V182" s="110">
        <v>0</v>
      </c>
      <c r="W182" s="105">
        <v>0</v>
      </c>
      <c r="X182" s="111">
        <v>0</v>
      </c>
      <c r="Y182" s="210">
        <f t="shared" si="91"/>
        <v>0.39749999999999996</v>
      </c>
      <c r="Z182" s="109">
        <v>0</v>
      </c>
      <c r="AA182" s="110">
        <v>0</v>
      </c>
      <c r="AB182" s="105">
        <v>0</v>
      </c>
      <c r="AC182" s="111">
        <v>0</v>
      </c>
      <c r="AD182" s="209">
        <f t="shared" si="92"/>
        <v>0</v>
      </c>
      <c r="AE182" s="109">
        <v>0</v>
      </c>
      <c r="AF182" s="110">
        <v>0</v>
      </c>
      <c r="AG182" s="105">
        <v>0</v>
      </c>
      <c r="AH182" s="111">
        <v>0</v>
      </c>
      <c r="AI182" s="209">
        <f t="shared" si="98"/>
        <v>0</v>
      </c>
      <c r="AJ182" s="208">
        <v>1</v>
      </c>
      <c r="AK182" s="110">
        <v>0</v>
      </c>
      <c r="AL182" s="111"/>
      <c r="AM182" s="109">
        <v>0</v>
      </c>
      <c r="AN182" s="110">
        <v>0</v>
      </c>
      <c r="AO182" s="105">
        <v>0</v>
      </c>
      <c r="AP182" s="111">
        <v>0</v>
      </c>
      <c r="AQ182" s="210">
        <f t="shared" si="93"/>
        <v>0</v>
      </c>
      <c r="AR182" s="109">
        <v>0</v>
      </c>
      <c r="AS182" s="110">
        <v>0</v>
      </c>
      <c r="AT182" s="105">
        <v>0</v>
      </c>
      <c r="AU182" s="111">
        <v>0</v>
      </c>
      <c r="AV182" s="210">
        <f t="shared" si="94"/>
        <v>0</v>
      </c>
      <c r="AW182" s="109">
        <v>0</v>
      </c>
      <c r="AX182" s="110">
        <v>0</v>
      </c>
      <c r="AY182" s="111">
        <v>0</v>
      </c>
      <c r="AZ182" s="210">
        <f t="shared" si="95"/>
        <v>0</v>
      </c>
      <c r="BA182" s="109">
        <v>0</v>
      </c>
      <c r="BB182" s="105">
        <v>0</v>
      </c>
      <c r="BC182" s="111">
        <v>0</v>
      </c>
      <c r="BD182" s="209">
        <f t="shared" si="96"/>
        <v>0</v>
      </c>
      <c r="BE182" s="127"/>
      <c r="BF182" s="87" t="e">
        <f t="shared" si="97"/>
        <v>#DIV/0!</v>
      </c>
      <c r="BG182" s="112"/>
    </row>
    <row r="183" spans="2:59" ht="42" customHeight="1" thickBot="1" x14ac:dyDescent="0.35">
      <c r="B183" s="263" t="s">
        <v>103</v>
      </c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/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  <c r="X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64"/>
      <c r="AK183" s="264"/>
      <c r="AL183" s="264"/>
      <c r="AM183" s="264"/>
      <c r="AN183" s="264"/>
      <c r="AO183" s="264"/>
      <c r="AP183" s="264"/>
      <c r="AQ183" s="264"/>
      <c r="AR183" s="264"/>
      <c r="AS183" s="264"/>
      <c r="AT183" s="264"/>
      <c r="AU183" s="264"/>
      <c r="AV183" s="264"/>
      <c r="AW183" s="264"/>
      <c r="AX183" s="264"/>
      <c r="AY183" s="264"/>
      <c r="AZ183" s="264"/>
      <c r="BA183" s="264"/>
      <c r="BB183" s="264"/>
      <c r="BC183" s="264"/>
      <c r="BD183" s="264"/>
      <c r="BE183" s="264"/>
      <c r="BF183" s="264"/>
      <c r="BG183" s="265"/>
    </row>
    <row r="184" spans="2:59" ht="42" customHeight="1" x14ac:dyDescent="0.3">
      <c r="B184" s="133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5" t="s">
        <v>101</v>
      </c>
      <c r="N184" s="136"/>
      <c r="O184" s="136"/>
      <c r="P184" s="135"/>
      <c r="Q184" s="136"/>
      <c r="R184" s="135"/>
      <c r="S184" s="135"/>
      <c r="T184" s="136"/>
      <c r="U184" s="135"/>
      <c r="V184" s="135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8"/>
    </row>
    <row r="185" spans="2:59" ht="42" customHeight="1" x14ac:dyDescent="0.3">
      <c r="B185" s="113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5"/>
      <c r="N185" s="116"/>
      <c r="O185" s="116"/>
      <c r="P185" s="115"/>
      <c r="Q185" s="116"/>
      <c r="R185" s="115"/>
      <c r="S185" s="115"/>
      <c r="T185" s="116"/>
      <c r="U185" s="115"/>
      <c r="V185" s="115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/>
      <c r="AT185" s="117"/>
      <c r="AU185" s="117"/>
      <c r="AV185" s="117"/>
      <c r="AW185" s="117"/>
      <c r="AX185" s="117"/>
      <c r="AY185" s="117"/>
      <c r="AZ185" s="117"/>
      <c r="BA185" s="117"/>
      <c r="BB185" s="117"/>
      <c r="BC185" s="117"/>
      <c r="BD185" s="117"/>
      <c r="BE185" s="117"/>
      <c r="BF185" s="117"/>
      <c r="BG185" s="118"/>
    </row>
    <row r="186" spans="2:59" ht="42" customHeight="1" thickBot="1" x14ac:dyDescent="0.35">
      <c r="B186" s="119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1"/>
      <c r="N186" s="122"/>
      <c r="O186" s="122"/>
      <c r="P186" s="121"/>
      <c r="Q186" s="123"/>
      <c r="R186" s="123"/>
      <c r="S186" s="123"/>
      <c r="T186" s="123"/>
      <c r="U186" s="121"/>
      <c r="V186" s="121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/>
      <c r="BB186" s="124"/>
      <c r="BC186" s="124"/>
      <c r="BD186" s="124"/>
      <c r="BE186" s="124"/>
      <c r="BF186" s="124"/>
      <c r="BG186" s="125"/>
    </row>
  </sheetData>
  <mergeCells count="50">
    <mergeCell ref="B98:BG98"/>
    <mergeCell ref="B81:BG81"/>
    <mergeCell ref="B64:BG64"/>
    <mergeCell ref="B183:BG183"/>
    <mergeCell ref="B166:BG166"/>
    <mergeCell ref="B149:BG149"/>
    <mergeCell ref="B132:BG132"/>
    <mergeCell ref="B115:BG115"/>
    <mergeCell ref="BE8:BF8"/>
    <mergeCell ref="B9:BG9"/>
    <mergeCell ref="B47:BG47"/>
    <mergeCell ref="AW12:AY12"/>
    <mergeCell ref="B30:BG30"/>
    <mergeCell ref="C11:AP11"/>
    <mergeCell ref="AR11:BC11"/>
    <mergeCell ref="C12:F12"/>
    <mergeCell ref="H12:K12"/>
    <mergeCell ref="M12:P12"/>
    <mergeCell ref="Q12:T12"/>
    <mergeCell ref="U12:X12"/>
    <mergeCell ref="Z12:AC12"/>
    <mergeCell ref="AE12:AH12"/>
    <mergeCell ref="AJ12:AL12"/>
    <mergeCell ref="B10:BG10"/>
    <mergeCell ref="U8:X8"/>
    <mergeCell ref="AM8:AP8"/>
    <mergeCell ref="BA8:BB8"/>
    <mergeCell ref="BA2:BC2"/>
    <mergeCell ref="C2:F2"/>
    <mergeCell ref="H2:K2"/>
    <mergeCell ref="M2:P2"/>
    <mergeCell ref="Q2:T2"/>
    <mergeCell ref="U2:X2"/>
    <mergeCell ref="Z2:AC2"/>
    <mergeCell ref="AE2:AH2"/>
    <mergeCell ref="AJ2:AL2"/>
    <mergeCell ref="AM2:AP2"/>
    <mergeCell ref="AR2:AU2"/>
    <mergeCell ref="AW2:AY2"/>
    <mergeCell ref="L12:L13"/>
    <mergeCell ref="Y12:Y13"/>
    <mergeCell ref="AD12:AD13"/>
    <mergeCell ref="AI12:AI13"/>
    <mergeCell ref="AM12:AP12"/>
    <mergeCell ref="BD12:BD13"/>
    <mergeCell ref="AQ12:AQ13"/>
    <mergeCell ref="AR12:AU12"/>
    <mergeCell ref="AV12:AV13"/>
    <mergeCell ref="AZ12:AZ13"/>
    <mergeCell ref="BA12:BC12"/>
  </mergeCells>
  <conditionalFormatting sqref="C31:AH46">
    <cfRule type="cellIs" dxfId="620" priority="585" operator="equal">
      <formula>#REF!</formula>
    </cfRule>
  </conditionalFormatting>
  <conditionalFormatting sqref="C31:AI46">
    <cfRule type="cellIs" dxfId="619" priority="581" operator="between">
      <formula>0.01</formula>
      <formula>0.99</formula>
    </cfRule>
    <cfRule type="cellIs" dxfId="618" priority="582" operator="equal">
      <formula>0</formula>
    </cfRule>
    <cfRule type="cellIs" dxfId="617" priority="583" operator="equal">
      <formula>1</formula>
    </cfRule>
  </conditionalFormatting>
  <conditionalFormatting sqref="C14:AY29 BA14:BC29 C48:AY63 BA48:BC63 C65:AY80 BA65:BC80 C82:AY97 BA82:BC97 C99:AY114 BA99:BC114 C116:AY131 BA116:BC131 C133:AY148 BA133:BC148 C150:AY165 BA150:BC165 C167:AY182 BA167:BC182 C31:AH46">
    <cfRule type="cellIs" dxfId="616" priority="606" stopIfTrue="1" operator="equal">
      <formula>"✓"</formula>
    </cfRule>
  </conditionalFormatting>
  <conditionalFormatting sqref="C14:AY29 BA14:BC29 C48:AY63 BA48:BC63 C65:AY80 BA65:BC80 C82:AY97 BA82:BC97 C99:AY114 BA99:BC114 C116:AY131 BA116:BC131 C133:AY148 BA133:BC148 C150:AY165 BA150:BC165 C167:AY182 BA167:BC182">
    <cfRule type="cellIs" dxfId="615" priority="605" operator="equal">
      <formula>#REF!</formula>
    </cfRule>
  </conditionalFormatting>
  <conditionalFormatting sqref="C116:AY131 BA116:BC131">
    <cfRule type="cellIs" dxfId="614" priority="233" operator="between">
      <formula>0.01</formula>
      <formula>0.99</formula>
    </cfRule>
    <cfRule type="cellIs" dxfId="613" priority="234" operator="equal">
      <formula>0</formula>
    </cfRule>
    <cfRule type="cellIs" dxfId="612" priority="235" operator="equal">
      <formula>1</formula>
    </cfRule>
  </conditionalFormatting>
  <conditionalFormatting sqref="C133:AY148 BA133:BC148">
    <cfRule type="cellIs" dxfId="611" priority="174" operator="between">
      <formula>0.01</formula>
      <formula>0.99</formula>
    </cfRule>
    <cfRule type="cellIs" dxfId="610" priority="175" operator="equal">
      <formula>0</formula>
    </cfRule>
    <cfRule type="cellIs" dxfId="609" priority="176" operator="equal">
      <formula>1</formula>
    </cfRule>
  </conditionalFormatting>
  <conditionalFormatting sqref="C150:AY165 BA150:BC165">
    <cfRule type="cellIs" dxfId="608" priority="115" operator="between">
      <formula>0.01</formula>
      <formula>0.99</formula>
    </cfRule>
    <cfRule type="cellIs" dxfId="607" priority="116" operator="equal">
      <formula>0</formula>
    </cfRule>
    <cfRule type="cellIs" dxfId="606" priority="117" operator="equal">
      <formula>1</formula>
    </cfRule>
  </conditionalFormatting>
  <conditionalFormatting sqref="C167:AY182 BA167:BC182">
    <cfRule type="cellIs" dxfId="605" priority="56" operator="between">
      <formula>0.01</formula>
      <formula>0.99</formula>
    </cfRule>
    <cfRule type="cellIs" dxfId="604" priority="57" operator="equal">
      <formula>0</formula>
    </cfRule>
    <cfRule type="cellIs" dxfId="603" priority="58" operator="equal">
      <formula>1</formula>
    </cfRule>
  </conditionalFormatting>
  <conditionalFormatting sqref="Y31:Y46">
    <cfRule type="cellIs" dxfId="602" priority="465" operator="equal">
      <formula>#REF!</formula>
    </cfRule>
    <cfRule type="cellIs" dxfId="601" priority="466" operator="between">
      <formula>0.01</formula>
      <formula>0.99</formula>
    </cfRule>
    <cfRule type="cellIs" dxfId="600" priority="467" operator="equal">
      <formula>0</formula>
    </cfRule>
    <cfRule type="cellIs" dxfId="599" priority="468" operator="equal">
      <formula>1</formula>
    </cfRule>
  </conditionalFormatting>
  <conditionalFormatting sqref="AE14:AI29 AL14:AL29 AR31:AY46 BA31:BC46">
    <cfRule type="cellIs" dxfId="598" priority="612" operator="equal">
      <formula>"✓."</formula>
    </cfRule>
  </conditionalFormatting>
  <conditionalFormatting sqref="AE31:AI46">
    <cfRule type="cellIs" dxfId="597" priority="580" stopIfTrue="1" operator="equal">
      <formula>"✓"</formula>
    </cfRule>
    <cfRule type="cellIs" dxfId="596" priority="584" operator="equal">
      <formula>"✓."</formula>
    </cfRule>
  </conditionalFormatting>
  <conditionalFormatting sqref="AE48:AI63 AL48:AL63">
    <cfRule type="cellIs" dxfId="595" priority="464" operator="equal">
      <formula>"✓."</formula>
    </cfRule>
  </conditionalFormatting>
  <conditionalFormatting sqref="AE65:AI80 AL65:AL80">
    <cfRule type="cellIs" dxfId="594" priority="409" operator="equal">
      <formula>"✓."</formula>
    </cfRule>
  </conditionalFormatting>
  <conditionalFormatting sqref="AE82:AI97 AL82:AL97">
    <cfRule type="cellIs" dxfId="593" priority="350" operator="equal">
      <formula>"✓."</formula>
    </cfRule>
  </conditionalFormatting>
  <conditionalFormatting sqref="AE99:AI114 AL99:AL114">
    <cfRule type="cellIs" dxfId="592" priority="291" operator="equal">
      <formula>"✓."</formula>
    </cfRule>
  </conditionalFormatting>
  <conditionalFormatting sqref="AE116:AI131 AL116:AL131">
    <cfRule type="cellIs" dxfId="591" priority="232" operator="equal">
      <formula>"✓."</formula>
    </cfRule>
  </conditionalFormatting>
  <conditionalFormatting sqref="AE133:AI148 AL133:AL148">
    <cfRule type="cellIs" dxfId="590" priority="173" operator="equal">
      <formula>"✓."</formula>
    </cfRule>
  </conditionalFormatting>
  <conditionalFormatting sqref="AE150:AI165 AL150:AL165">
    <cfRule type="cellIs" dxfId="589" priority="114" operator="equal">
      <formula>"✓."</formula>
    </cfRule>
  </conditionalFormatting>
  <conditionalFormatting sqref="AE167:AI182 AL167:AL182">
    <cfRule type="cellIs" dxfId="588" priority="55" operator="equal">
      <formula>"✓."</formula>
    </cfRule>
  </conditionalFormatting>
  <conditionalFormatting sqref="AI31:AI46">
    <cfRule type="cellIs" dxfId="587" priority="579" operator="equal">
      <formula>#REF!</formula>
    </cfRule>
  </conditionalFormatting>
  <conditionalFormatting sqref="AJ31:AJ46">
    <cfRule type="cellIs" dxfId="586" priority="599" operator="between">
      <formula>0.01</formula>
      <formula>0.99</formula>
    </cfRule>
    <cfRule type="cellIs" dxfId="585" priority="600" operator="equal">
      <formula>0</formula>
    </cfRule>
    <cfRule type="cellIs" dxfId="584" priority="601" operator="equal">
      <formula>1</formula>
    </cfRule>
    <cfRule type="cellIs" dxfId="583" priority="602" operator="equal">
      <formula>"✓."</formula>
    </cfRule>
    <cfRule type="cellIs" dxfId="582" priority="603" operator="equal">
      <formula>#REF!</formula>
    </cfRule>
    <cfRule type="cellIs" dxfId="581" priority="604" stopIfTrue="1" operator="equal">
      <formula>"✓"</formula>
    </cfRule>
  </conditionalFormatting>
  <conditionalFormatting sqref="AJ14:AK29 AR14:AY29 BA14:BC29 AJ48:AK63 AR48:AY63 BA48:BC63 AJ65:AK80 AR65:AY80 BA65:BC80">
    <cfRule type="cellIs" dxfId="580" priority="595" operator="between">
      <formula>0.01</formula>
      <formula>0.99</formula>
    </cfRule>
    <cfRule type="cellIs" dxfId="579" priority="596" operator="equal">
      <formula>0</formula>
    </cfRule>
    <cfRule type="cellIs" dxfId="578" priority="597" operator="equal">
      <formula>1</formula>
    </cfRule>
    <cfRule type="cellIs" dxfId="577" priority="598" operator="equal">
      <formula>"✓."</formula>
    </cfRule>
  </conditionalFormatting>
  <conditionalFormatting sqref="AJ14:AK29">
    <cfRule type="cellIs" dxfId="576" priority="594" stopIfTrue="1" operator="equal">
      <formula>"✓"</formula>
    </cfRule>
  </conditionalFormatting>
  <conditionalFormatting sqref="AJ48:AK63">
    <cfRule type="cellIs" dxfId="575" priority="463" stopIfTrue="1" operator="equal">
      <formula>"✓"</formula>
    </cfRule>
  </conditionalFormatting>
  <conditionalFormatting sqref="AJ65:AK80">
    <cfRule type="cellIs" dxfId="574" priority="408" stopIfTrue="1" operator="equal">
      <formula>"✓"</formula>
    </cfRule>
  </conditionalFormatting>
  <conditionalFormatting sqref="AJ82:AK97 AR82:AY97 BA82:BC97">
    <cfRule type="cellIs" dxfId="573" priority="351" operator="between">
      <formula>0.01</formula>
      <formula>0.99</formula>
    </cfRule>
    <cfRule type="cellIs" dxfId="572" priority="352" operator="equal">
      <formula>0</formula>
    </cfRule>
    <cfRule type="cellIs" dxfId="571" priority="353" operator="equal">
      <formula>1</formula>
    </cfRule>
    <cfRule type="cellIs" dxfId="570" priority="354" operator="equal">
      <formula>"✓."</formula>
    </cfRule>
  </conditionalFormatting>
  <conditionalFormatting sqref="AJ82:AK97">
    <cfRule type="cellIs" dxfId="569" priority="349" stopIfTrue="1" operator="equal">
      <formula>"✓"</formula>
    </cfRule>
  </conditionalFormatting>
  <conditionalFormatting sqref="AJ99:AK114 AR99:AY114 BA99:BC114">
    <cfRule type="cellIs" dxfId="568" priority="292" operator="between">
      <formula>0.01</formula>
      <formula>0.99</formula>
    </cfRule>
    <cfRule type="cellIs" dxfId="567" priority="293" operator="equal">
      <formula>0</formula>
    </cfRule>
    <cfRule type="cellIs" dxfId="566" priority="294" operator="equal">
      <formula>1</formula>
    </cfRule>
    <cfRule type="cellIs" dxfId="565" priority="295" operator="equal">
      <formula>"✓."</formula>
    </cfRule>
  </conditionalFormatting>
  <conditionalFormatting sqref="AJ99:AK114">
    <cfRule type="cellIs" dxfId="564" priority="290" stopIfTrue="1" operator="equal">
      <formula>"✓"</formula>
    </cfRule>
  </conditionalFormatting>
  <conditionalFormatting sqref="AJ116:AK131 AR116:AY131 BA116:BC131">
    <cfRule type="cellIs" dxfId="563" priority="236" operator="equal">
      <formula>"✓."</formula>
    </cfRule>
  </conditionalFormatting>
  <conditionalFormatting sqref="AJ116:AK131">
    <cfRule type="cellIs" dxfId="562" priority="231" stopIfTrue="1" operator="equal">
      <formula>"✓"</formula>
    </cfRule>
  </conditionalFormatting>
  <conditionalFormatting sqref="AJ133:AK148 AR133:AY148 BA133:BC148">
    <cfRule type="cellIs" dxfId="561" priority="177" operator="equal">
      <formula>"✓."</formula>
    </cfRule>
  </conditionalFormatting>
  <conditionalFormatting sqref="AJ133:AK148">
    <cfRule type="cellIs" dxfId="560" priority="172" stopIfTrue="1" operator="equal">
      <formula>"✓"</formula>
    </cfRule>
  </conditionalFormatting>
  <conditionalFormatting sqref="AJ150:AK165 AR150:AY165 BA150:BC165">
    <cfRule type="cellIs" dxfId="559" priority="118" operator="equal">
      <formula>"✓."</formula>
    </cfRule>
  </conditionalFormatting>
  <conditionalFormatting sqref="AJ150:AK165">
    <cfRule type="cellIs" dxfId="558" priority="113" stopIfTrue="1" operator="equal">
      <formula>"✓"</formula>
    </cfRule>
  </conditionalFormatting>
  <conditionalFormatting sqref="AJ167:AK182 AR167:AY182 BA167:BC182">
    <cfRule type="cellIs" dxfId="557" priority="59" operator="equal">
      <formula>"✓."</formula>
    </cfRule>
  </conditionalFormatting>
  <conditionalFormatting sqref="AJ167:AK182">
    <cfRule type="cellIs" dxfId="556" priority="54" stopIfTrue="1" operator="equal">
      <formula>"✓"</formula>
    </cfRule>
  </conditionalFormatting>
  <conditionalFormatting sqref="AJ31:AL46">
    <cfRule type="cellIs" dxfId="555" priority="593" stopIfTrue="1" operator="equal">
      <formula>"✓"</formula>
    </cfRule>
  </conditionalFormatting>
  <conditionalFormatting sqref="AK31:AK46">
    <cfRule type="cellIs" dxfId="554" priority="587" stopIfTrue="1" operator="equal">
      <formula>"✓"</formula>
    </cfRule>
    <cfRule type="cellIs" dxfId="553" priority="588" operator="between">
      <formula>0.01</formula>
      <formula>0.99</formula>
    </cfRule>
    <cfRule type="cellIs" dxfId="552" priority="589" operator="equal">
      <formula>0</formula>
    </cfRule>
    <cfRule type="cellIs" dxfId="551" priority="590" operator="equal">
      <formula>1</formula>
    </cfRule>
    <cfRule type="cellIs" dxfId="550" priority="591" operator="equal">
      <formula>"✓."</formula>
    </cfRule>
    <cfRule type="cellIs" dxfId="549" priority="592" operator="equal">
      <formula>#REF!</formula>
    </cfRule>
  </conditionalFormatting>
  <conditionalFormatting sqref="AL31:AL46">
    <cfRule type="cellIs" dxfId="548" priority="607" operator="equal">
      <formula>"✓."</formula>
    </cfRule>
    <cfRule type="cellIs" dxfId="547" priority="608" stopIfTrue="1" operator="equal">
      <formula>"✓"</formula>
    </cfRule>
  </conditionalFormatting>
  <conditionalFormatting sqref="AL31:AY46 C14:AI29 AL14:AQ29 C48:AI63 AL48:AQ63 C65:AI80 AL65:AQ80 C82:AI97 AL82:AQ97 C99:AI114 AL99:AQ114 BA31:BC46">
    <cfRule type="cellIs" dxfId="546" priority="609" operator="between">
      <formula>0.01</formula>
      <formula>0.99</formula>
    </cfRule>
    <cfRule type="cellIs" dxfId="545" priority="610" operator="equal">
      <formula>0</formula>
    </cfRule>
    <cfRule type="cellIs" dxfId="544" priority="611" operator="equal">
      <formula>1</formula>
    </cfRule>
  </conditionalFormatting>
  <conditionalFormatting sqref="AL31:AY46">
    <cfRule type="cellIs" dxfId="543" priority="561" operator="equal">
      <formula>#REF!</formula>
    </cfRule>
  </conditionalFormatting>
  <conditionalFormatting sqref="AM31:AY46">
    <cfRule type="cellIs" dxfId="542" priority="586" stopIfTrue="1" operator="equal">
      <formula>"✓"</formula>
    </cfRule>
  </conditionalFormatting>
  <conditionalFormatting sqref="AQ14:AQ29">
    <cfRule type="cellIs" dxfId="541" priority="578" operator="equal">
      <formula>"✓."</formula>
    </cfRule>
  </conditionalFormatting>
  <conditionalFormatting sqref="AQ31:AQ46">
    <cfRule type="cellIs" dxfId="540" priority="574" operator="equal">
      <formula>"✓."</formula>
    </cfRule>
    <cfRule type="cellIs" dxfId="539" priority="575" operator="between">
      <formula>0.01</formula>
      <formula>0.99</formula>
    </cfRule>
    <cfRule type="cellIs" dxfId="538" priority="576" operator="equal">
      <formula>0</formula>
    </cfRule>
    <cfRule type="cellIs" dxfId="537" priority="577" operator="equal">
      <formula>1</formula>
    </cfRule>
  </conditionalFormatting>
  <conditionalFormatting sqref="AQ48:AQ63">
    <cfRule type="cellIs" dxfId="536" priority="462" operator="equal">
      <formula>"✓."</formula>
    </cfRule>
  </conditionalFormatting>
  <conditionalFormatting sqref="AQ65:AQ80">
    <cfRule type="cellIs" dxfId="535" priority="407" operator="equal">
      <formula>"✓."</formula>
    </cfRule>
  </conditionalFormatting>
  <conditionalFormatting sqref="AQ82:AQ97">
    <cfRule type="cellIs" dxfId="534" priority="348" operator="equal">
      <formula>"✓."</formula>
    </cfRule>
  </conditionalFormatting>
  <conditionalFormatting sqref="AQ99:AQ114">
    <cfRule type="cellIs" dxfId="533" priority="289" operator="equal">
      <formula>"✓."</formula>
    </cfRule>
  </conditionalFormatting>
  <conditionalFormatting sqref="AQ116:AQ131">
    <cfRule type="cellIs" dxfId="532" priority="230" operator="equal">
      <formula>"✓."</formula>
    </cfRule>
  </conditionalFormatting>
  <conditionalFormatting sqref="AQ133:AQ148">
    <cfRule type="cellIs" dxfId="531" priority="171" operator="equal">
      <formula>"✓."</formula>
    </cfRule>
  </conditionalFormatting>
  <conditionalFormatting sqref="AQ150:AQ165">
    <cfRule type="cellIs" dxfId="530" priority="112" operator="equal">
      <formula>"✓."</formula>
    </cfRule>
  </conditionalFormatting>
  <conditionalFormatting sqref="AQ167:AQ182">
    <cfRule type="cellIs" dxfId="529" priority="53" operator="equal">
      <formula>"✓."</formula>
    </cfRule>
  </conditionalFormatting>
  <conditionalFormatting sqref="AR14:AY29">
    <cfRule type="cellIs" dxfId="528" priority="573" stopIfTrue="1" operator="equal">
      <formula>"✓"</formula>
    </cfRule>
  </conditionalFormatting>
  <conditionalFormatting sqref="AR48:AY63">
    <cfRule type="cellIs" dxfId="527" priority="461" stopIfTrue="1" operator="equal">
      <formula>"✓"</formula>
    </cfRule>
  </conditionalFormatting>
  <conditionalFormatting sqref="AR65:AY80">
    <cfRule type="cellIs" dxfId="526" priority="406" stopIfTrue="1" operator="equal">
      <formula>"✓"</formula>
    </cfRule>
  </conditionalFormatting>
  <conditionalFormatting sqref="AR82:AY97">
    <cfRule type="cellIs" dxfId="525" priority="347" stopIfTrue="1" operator="equal">
      <formula>"✓"</formula>
    </cfRule>
  </conditionalFormatting>
  <conditionalFormatting sqref="AR99:AY114">
    <cfRule type="cellIs" dxfId="524" priority="288" stopIfTrue="1" operator="equal">
      <formula>"✓"</formula>
    </cfRule>
  </conditionalFormatting>
  <conditionalFormatting sqref="AR116:AY131">
    <cfRule type="cellIs" dxfId="523" priority="229" stopIfTrue="1" operator="equal">
      <formula>"✓"</formula>
    </cfRule>
  </conditionalFormatting>
  <conditionalFormatting sqref="AR133:AY148">
    <cfRule type="cellIs" dxfId="522" priority="170" stopIfTrue="1" operator="equal">
      <formula>"✓"</formula>
    </cfRule>
  </conditionalFormatting>
  <conditionalFormatting sqref="AR150:AY165">
    <cfRule type="cellIs" dxfId="521" priority="111" stopIfTrue="1" operator="equal">
      <formula>"✓"</formula>
    </cfRule>
  </conditionalFormatting>
  <conditionalFormatting sqref="AR167:AY182">
    <cfRule type="cellIs" dxfId="520" priority="52" stopIfTrue="1" operator="equal">
      <formula>"✓"</formula>
    </cfRule>
  </conditionalFormatting>
  <conditionalFormatting sqref="AV14:AV29">
    <cfRule type="cellIs" dxfId="519" priority="562" operator="equal">
      <formula>"✓."</formula>
    </cfRule>
    <cfRule type="cellIs" dxfId="518" priority="563" operator="equal">
      <formula>#REF!</formula>
    </cfRule>
    <cfRule type="cellIs" dxfId="517" priority="564" operator="between">
      <formula>0.01</formula>
      <formula>0.99</formula>
    </cfRule>
    <cfRule type="cellIs" dxfId="516" priority="565" operator="equal">
      <formula>0</formula>
    </cfRule>
    <cfRule type="cellIs" dxfId="515" priority="566" operator="equal">
      <formula>1</formula>
    </cfRule>
    <cfRule type="cellIs" dxfId="514" priority="567" stopIfTrue="1" operator="equal">
      <formula>"✓"</formula>
    </cfRule>
    <cfRule type="cellIs" dxfId="513" priority="568" operator="equal">
      <formula>#REF!</formula>
    </cfRule>
    <cfRule type="cellIs" dxfId="512" priority="569" stopIfTrue="1" operator="equal">
      <formula>"✓"</formula>
    </cfRule>
    <cfRule type="cellIs" dxfId="511" priority="570" operator="between">
      <formula>0.01</formula>
      <formula>0.99</formula>
    </cfRule>
    <cfRule type="cellIs" dxfId="510" priority="571" operator="equal">
      <formula>0</formula>
    </cfRule>
    <cfRule type="cellIs" dxfId="509" priority="572" operator="equal">
      <formula>1</formula>
    </cfRule>
  </conditionalFormatting>
  <conditionalFormatting sqref="AV31:AV46">
    <cfRule type="cellIs" dxfId="508" priority="549" operator="equal">
      <formula>"✓."</formula>
    </cfRule>
    <cfRule type="cellIs" dxfId="507" priority="550" operator="equal">
      <formula>#REF!</formula>
    </cfRule>
    <cfRule type="cellIs" dxfId="506" priority="551" operator="between">
      <formula>0.01</formula>
      <formula>0.99</formula>
    </cfRule>
    <cfRule type="cellIs" dxfId="505" priority="552" operator="equal">
      <formula>0</formula>
    </cfRule>
    <cfRule type="cellIs" dxfId="504" priority="553" operator="equal">
      <formula>1</formula>
    </cfRule>
    <cfRule type="cellIs" dxfId="503" priority="554" stopIfTrue="1" operator="equal">
      <formula>"✓"</formula>
    </cfRule>
    <cfRule type="cellIs" dxfId="502" priority="555" operator="equal">
      <formula>#REF!</formula>
    </cfRule>
    <cfRule type="cellIs" dxfId="501" priority="556" stopIfTrue="1" operator="equal">
      <formula>"✓"</formula>
    </cfRule>
    <cfRule type="cellIs" dxfId="500" priority="557" operator="between">
      <formula>0.01</formula>
      <formula>0.99</formula>
    </cfRule>
    <cfRule type="cellIs" dxfId="499" priority="558" operator="equal">
      <formula>0</formula>
    </cfRule>
    <cfRule type="cellIs" dxfId="498" priority="559" operator="equal">
      <formula>1</formula>
    </cfRule>
    <cfRule type="cellIs" dxfId="497" priority="560" stopIfTrue="1" operator="equal">
      <formula>"✓"</formula>
    </cfRule>
  </conditionalFormatting>
  <conditionalFormatting sqref="AV48:AV63">
    <cfRule type="cellIs" dxfId="496" priority="450" operator="equal">
      <formula>"✓."</formula>
    </cfRule>
    <cfRule type="cellIs" dxfId="495" priority="451" operator="equal">
      <formula>#REF!</formula>
    </cfRule>
    <cfRule type="cellIs" dxfId="494" priority="452" operator="between">
      <formula>0.01</formula>
      <formula>0.99</formula>
    </cfRule>
    <cfRule type="cellIs" dxfId="493" priority="453" operator="equal">
      <formula>0</formula>
    </cfRule>
    <cfRule type="cellIs" dxfId="492" priority="454" operator="equal">
      <formula>1</formula>
    </cfRule>
    <cfRule type="cellIs" dxfId="491" priority="455" stopIfTrue="1" operator="equal">
      <formula>"✓"</formula>
    </cfRule>
    <cfRule type="cellIs" dxfId="490" priority="456" operator="equal">
      <formula>#REF!</formula>
    </cfRule>
    <cfRule type="cellIs" dxfId="489" priority="457" stopIfTrue="1" operator="equal">
      <formula>"✓"</formula>
    </cfRule>
    <cfRule type="cellIs" dxfId="488" priority="458" operator="between">
      <formula>0.01</formula>
      <formula>0.99</formula>
    </cfRule>
    <cfRule type="cellIs" dxfId="487" priority="459" operator="equal">
      <formula>0</formula>
    </cfRule>
    <cfRule type="cellIs" dxfId="486" priority="460" operator="equal">
      <formula>1</formula>
    </cfRule>
  </conditionalFormatting>
  <conditionalFormatting sqref="AV65:AV80">
    <cfRule type="cellIs" dxfId="485" priority="395" operator="equal">
      <formula>"✓."</formula>
    </cfRule>
    <cfRule type="cellIs" dxfId="484" priority="396" operator="equal">
      <formula>#REF!</formula>
    </cfRule>
    <cfRule type="cellIs" dxfId="483" priority="397" operator="between">
      <formula>0.01</formula>
      <formula>0.99</formula>
    </cfRule>
    <cfRule type="cellIs" dxfId="482" priority="398" operator="equal">
      <formula>0</formula>
    </cfRule>
    <cfRule type="cellIs" dxfId="481" priority="399" operator="equal">
      <formula>1</formula>
    </cfRule>
    <cfRule type="cellIs" dxfId="480" priority="400" stopIfTrue="1" operator="equal">
      <formula>"✓"</formula>
    </cfRule>
    <cfRule type="cellIs" dxfId="479" priority="401" operator="equal">
      <formula>#REF!</formula>
    </cfRule>
    <cfRule type="cellIs" dxfId="478" priority="402" stopIfTrue="1" operator="equal">
      <formula>"✓"</formula>
    </cfRule>
    <cfRule type="cellIs" dxfId="477" priority="403" operator="between">
      <formula>0.01</formula>
      <formula>0.99</formula>
    </cfRule>
    <cfRule type="cellIs" dxfId="476" priority="404" operator="equal">
      <formula>0</formula>
    </cfRule>
    <cfRule type="cellIs" dxfId="475" priority="405" operator="equal">
      <formula>1</formula>
    </cfRule>
  </conditionalFormatting>
  <conditionalFormatting sqref="AV82:AV97">
    <cfRule type="cellIs" dxfId="474" priority="336" operator="equal">
      <formula>"✓."</formula>
    </cfRule>
    <cfRule type="cellIs" dxfId="473" priority="337" operator="equal">
      <formula>#REF!</formula>
    </cfRule>
    <cfRule type="cellIs" dxfId="472" priority="338" operator="between">
      <formula>0.01</formula>
      <formula>0.99</formula>
    </cfRule>
    <cfRule type="cellIs" dxfId="471" priority="339" operator="equal">
      <formula>0</formula>
    </cfRule>
    <cfRule type="cellIs" dxfId="470" priority="340" operator="equal">
      <formula>1</formula>
    </cfRule>
    <cfRule type="cellIs" dxfId="469" priority="341" stopIfTrue="1" operator="equal">
      <formula>"✓"</formula>
    </cfRule>
    <cfRule type="cellIs" dxfId="468" priority="342" operator="equal">
      <formula>#REF!</formula>
    </cfRule>
    <cfRule type="cellIs" dxfId="467" priority="343" stopIfTrue="1" operator="equal">
      <formula>"✓"</formula>
    </cfRule>
    <cfRule type="cellIs" dxfId="466" priority="344" operator="between">
      <formula>0.01</formula>
      <formula>0.99</formula>
    </cfRule>
    <cfRule type="cellIs" dxfId="465" priority="345" operator="equal">
      <formula>0</formula>
    </cfRule>
    <cfRule type="cellIs" dxfId="464" priority="346" operator="equal">
      <formula>1</formula>
    </cfRule>
  </conditionalFormatting>
  <conditionalFormatting sqref="AV99:AV114">
    <cfRule type="cellIs" dxfId="463" priority="277" operator="equal">
      <formula>"✓."</formula>
    </cfRule>
    <cfRule type="cellIs" dxfId="462" priority="278" operator="equal">
      <formula>#REF!</formula>
    </cfRule>
    <cfRule type="cellIs" dxfId="461" priority="279" operator="between">
      <formula>0.01</formula>
      <formula>0.99</formula>
    </cfRule>
    <cfRule type="cellIs" dxfId="460" priority="280" operator="equal">
      <formula>0</formula>
    </cfRule>
    <cfRule type="cellIs" dxfId="459" priority="281" operator="equal">
      <formula>1</formula>
    </cfRule>
    <cfRule type="cellIs" dxfId="458" priority="282" stopIfTrue="1" operator="equal">
      <formula>"✓"</formula>
    </cfRule>
    <cfRule type="cellIs" dxfId="457" priority="283" operator="equal">
      <formula>#REF!</formula>
    </cfRule>
    <cfRule type="cellIs" dxfId="456" priority="284" stopIfTrue="1" operator="equal">
      <formula>"✓"</formula>
    </cfRule>
    <cfRule type="cellIs" dxfId="455" priority="285" operator="between">
      <formula>0.01</formula>
      <formula>0.99</formula>
    </cfRule>
    <cfRule type="cellIs" dxfId="454" priority="286" operator="equal">
      <formula>0</formula>
    </cfRule>
    <cfRule type="cellIs" dxfId="453" priority="287" operator="equal">
      <formula>1</formula>
    </cfRule>
  </conditionalFormatting>
  <conditionalFormatting sqref="AV116:AV131">
    <cfRule type="cellIs" dxfId="452" priority="218" operator="equal">
      <formula>"✓."</formula>
    </cfRule>
    <cfRule type="cellIs" dxfId="451" priority="219" operator="equal">
      <formula>#REF!</formula>
    </cfRule>
    <cfRule type="cellIs" dxfId="450" priority="220" operator="between">
      <formula>0.01</formula>
      <formula>0.99</formula>
    </cfRule>
    <cfRule type="cellIs" dxfId="449" priority="221" operator="equal">
      <formula>0</formula>
    </cfRule>
    <cfRule type="cellIs" dxfId="448" priority="222" operator="equal">
      <formula>1</formula>
    </cfRule>
    <cfRule type="cellIs" dxfId="447" priority="223" stopIfTrue="1" operator="equal">
      <formula>"✓"</formula>
    </cfRule>
    <cfRule type="cellIs" dxfId="446" priority="224" operator="equal">
      <formula>#REF!</formula>
    </cfRule>
    <cfRule type="cellIs" dxfId="445" priority="225" stopIfTrue="1" operator="equal">
      <formula>"✓"</formula>
    </cfRule>
    <cfRule type="cellIs" dxfId="444" priority="226" operator="between">
      <formula>0.01</formula>
      <formula>0.99</formula>
    </cfRule>
    <cfRule type="cellIs" dxfId="443" priority="227" operator="equal">
      <formula>0</formula>
    </cfRule>
    <cfRule type="cellIs" dxfId="442" priority="228" operator="equal">
      <formula>1</formula>
    </cfRule>
  </conditionalFormatting>
  <conditionalFormatting sqref="AV133:AV148">
    <cfRule type="cellIs" dxfId="441" priority="159" operator="equal">
      <formula>"✓."</formula>
    </cfRule>
    <cfRule type="cellIs" dxfId="440" priority="160" operator="equal">
      <formula>#REF!</formula>
    </cfRule>
    <cfRule type="cellIs" dxfId="439" priority="161" operator="between">
      <formula>0.01</formula>
      <formula>0.99</formula>
    </cfRule>
    <cfRule type="cellIs" dxfId="438" priority="162" operator="equal">
      <formula>0</formula>
    </cfRule>
    <cfRule type="cellIs" dxfId="437" priority="163" operator="equal">
      <formula>1</formula>
    </cfRule>
    <cfRule type="cellIs" dxfId="436" priority="164" stopIfTrue="1" operator="equal">
      <formula>"✓"</formula>
    </cfRule>
    <cfRule type="cellIs" dxfId="435" priority="165" operator="equal">
      <formula>#REF!</formula>
    </cfRule>
    <cfRule type="cellIs" dxfId="434" priority="166" stopIfTrue="1" operator="equal">
      <formula>"✓"</formula>
    </cfRule>
    <cfRule type="cellIs" dxfId="433" priority="167" operator="between">
      <formula>0.01</formula>
      <formula>0.99</formula>
    </cfRule>
    <cfRule type="cellIs" dxfId="432" priority="168" operator="equal">
      <formula>0</formula>
    </cfRule>
    <cfRule type="cellIs" dxfId="431" priority="169" operator="equal">
      <formula>1</formula>
    </cfRule>
  </conditionalFormatting>
  <conditionalFormatting sqref="AV150:AV165">
    <cfRule type="cellIs" dxfId="430" priority="100" operator="equal">
      <formula>"✓."</formula>
    </cfRule>
    <cfRule type="cellIs" dxfId="429" priority="101" operator="equal">
      <formula>#REF!</formula>
    </cfRule>
    <cfRule type="cellIs" dxfId="428" priority="102" operator="between">
      <formula>0.01</formula>
      <formula>0.99</formula>
    </cfRule>
    <cfRule type="cellIs" dxfId="427" priority="103" operator="equal">
      <formula>0</formula>
    </cfRule>
    <cfRule type="cellIs" dxfId="426" priority="104" operator="equal">
      <formula>1</formula>
    </cfRule>
    <cfRule type="cellIs" dxfId="425" priority="105" stopIfTrue="1" operator="equal">
      <formula>"✓"</formula>
    </cfRule>
    <cfRule type="cellIs" dxfId="424" priority="106" operator="equal">
      <formula>#REF!</formula>
    </cfRule>
    <cfRule type="cellIs" dxfId="423" priority="107" stopIfTrue="1" operator="equal">
      <formula>"✓"</formula>
    </cfRule>
    <cfRule type="cellIs" dxfId="422" priority="108" operator="between">
      <formula>0.01</formula>
      <formula>0.99</formula>
    </cfRule>
    <cfRule type="cellIs" dxfId="421" priority="109" operator="equal">
      <formula>0</formula>
    </cfRule>
    <cfRule type="cellIs" dxfId="420" priority="110" operator="equal">
      <formula>1</formula>
    </cfRule>
  </conditionalFormatting>
  <conditionalFormatting sqref="AV167:AV182">
    <cfRule type="cellIs" dxfId="419" priority="41" operator="equal">
      <formula>"✓."</formula>
    </cfRule>
    <cfRule type="cellIs" dxfId="418" priority="42" operator="equal">
      <formula>#REF!</formula>
    </cfRule>
    <cfRule type="cellIs" dxfId="417" priority="43" operator="between">
      <formula>0.01</formula>
      <formula>0.99</formula>
    </cfRule>
    <cfRule type="cellIs" dxfId="416" priority="44" operator="equal">
      <formula>0</formula>
    </cfRule>
    <cfRule type="cellIs" dxfId="415" priority="45" operator="equal">
      <formula>1</formula>
    </cfRule>
    <cfRule type="cellIs" dxfId="414" priority="46" stopIfTrue="1" operator="equal">
      <formula>"✓"</formula>
    </cfRule>
    <cfRule type="cellIs" dxfId="413" priority="47" operator="equal">
      <formula>#REF!</formula>
    </cfRule>
    <cfRule type="cellIs" dxfId="412" priority="48" stopIfTrue="1" operator="equal">
      <formula>"✓"</formula>
    </cfRule>
    <cfRule type="cellIs" dxfId="411" priority="49" operator="between">
      <formula>0.01</formula>
      <formula>0.99</formula>
    </cfRule>
    <cfRule type="cellIs" dxfId="410" priority="50" operator="equal">
      <formula>0</formula>
    </cfRule>
    <cfRule type="cellIs" dxfId="409" priority="51" operator="equal">
      <formula>1</formula>
    </cfRule>
  </conditionalFormatting>
  <conditionalFormatting sqref="AZ14:AZ29">
    <cfRule type="cellIs" dxfId="408" priority="489" operator="between">
      <formula>0.01</formula>
      <formula>0.99</formula>
    </cfRule>
    <cfRule type="cellIs" dxfId="407" priority="490" operator="equal">
      <formula>1</formula>
    </cfRule>
    <cfRule type="cellIs" dxfId="406" priority="491" operator="equal">
      <formula>"✓."</formula>
    </cfRule>
    <cfRule type="cellIs" dxfId="405" priority="492" operator="equal">
      <formula>#REF!</formula>
    </cfRule>
    <cfRule type="cellIs" dxfId="404" priority="493" operator="equal">
      <formula>0</formula>
    </cfRule>
    <cfRule type="cellIs" dxfId="403" priority="494" stopIfTrue="1" operator="equal">
      <formula>"✓"</formula>
    </cfRule>
    <cfRule type="cellIs" dxfId="402" priority="495" operator="equal">
      <formula>#REF!</formula>
    </cfRule>
    <cfRule type="cellIs" dxfId="401" priority="496" stopIfTrue="1" operator="equal">
      <formula>"✓"</formula>
    </cfRule>
    <cfRule type="cellIs" dxfId="400" priority="497" operator="between">
      <formula>0.01</formula>
      <formula>0.99</formula>
    </cfRule>
    <cfRule type="cellIs" dxfId="399" priority="498" operator="equal">
      <formula>0</formula>
    </cfRule>
    <cfRule type="cellIs" dxfId="398" priority="499" operator="equal">
      <formula>1</formula>
    </cfRule>
    <cfRule type="cellIs" dxfId="397" priority="500" stopIfTrue="1" operator="equal">
      <formula>"✓"</formula>
    </cfRule>
    <cfRule type="cellIs" dxfId="396" priority="501" operator="equal">
      <formula>#REF!</formula>
    </cfRule>
    <cfRule type="cellIs" dxfId="395" priority="502" stopIfTrue="1" operator="equal">
      <formula>"✓"</formula>
    </cfRule>
    <cfRule type="cellIs" dxfId="394" priority="503" operator="between">
      <formula>0.01</formula>
      <formula>0.99</formula>
    </cfRule>
    <cfRule type="cellIs" dxfId="393" priority="504" operator="equal">
      <formula>0</formula>
    </cfRule>
    <cfRule type="cellIs" dxfId="392" priority="505" operator="equal">
      <formula>1</formula>
    </cfRule>
    <cfRule type="cellIs" dxfId="391" priority="506" operator="equal">
      <formula>"✓."</formula>
    </cfRule>
    <cfRule type="cellIs" dxfId="390" priority="507" operator="equal">
      <formula>#REF!</formula>
    </cfRule>
    <cfRule type="cellIs" dxfId="389" priority="508" stopIfTrue="1" operator="equal">
      <formula>"✓"</formula>
    </cfRule>
  </conditionalFormatting>
  <conditionalFormatting sqref="AZ31:AZ46">
    <cfRule type="cellIs" dxfId="388" priority="469" operator="between">
      <formula>0.01</formula>
      <formula>0.99</formula>
    </cfRule>
    <cfRule type="cellIs" dxfId="387" priority="470" operator="equal">
      <formula>1</formula>
    </cfRule>
    <cfRule type="cellIs" dxfId="386" priority="471" operator="equal">
      <formula>"✓."</formula>
    </cfRule>
    <cfRule type="cellIs" dxfId="385" priority="472" operator="equal">
      <formula>#REF!</formula>
    </cfRule>
    <cfRule type="cellIs" dxfId="384" priority="473" operator="equal">
      <formula>0</formula>
    </cfRule>
    <cfRule type="cellIs" dxfId="383" priority="474" stopIfTrue="1" operator="equal">
      <formula>"✓"</formula>
    </cfRule>
    <cfRule type="cellIs" dxfId="382" priority="475" operator="equal">
      <formula>#REF!</formula>
    </cfRule>
    <cfRule type="cellIs" dxfId="381" priority="476" stopIfTrue="1" operator="equal">
      <formula>"✓"</formula>
    </cfRule>
    <cfRule type="cellIs" dxfId="380" priority="477" operator="between">
      <formula>0.01</formula>
      <formula>0.99</formula>
    </cfRule>
    <cfRule type="cellIs" dxfId="379" priority="478" operator="equal">
      <formula>0</formula>
    </cfRule>
    <cfRule type="cellIs" dxfId="378" priority="479" operator="equal">
      <formula>1</formula>
    </cfRule>
    <cfRule type="cellIs" dxfId="377" priority="480" stopIfTrue="1" operator="equal">
      <formula>"✓"</formula>
    </cfRule>
    <cfRule type="cellIs" dxfId="376" priority="481" operator="equal">
      <formula>#REF!</formula>
    </cfRule>
    <cfRule type="cellIs" dxfId="375" priority="482" stopIfTrue="1" operator="equal">
      <formula>"✓"</formula>
    </cfRule>
    <cfRule type="cellIs" dxfId="374" priority="483" operator="between">
      <formula>0.01</formula>
      <formula>0.99</formula>
    </cfRule>
    <cfRule type="cellIs" dxfId="373" priority="484" operator="equal">
      <formula>0</formula>
    </cfRule>
    <cfRule type="cellIs" dxfId="372" priority="485" operator="equal">
      <formula>1</formula>
    </cfRule>
    <cfRule type="cellIs" dxfId="371" priority="486" operator="equal">
      <formula>"✓."</formula>
    </cfRule>
    <cfRule type="cellIs" dxfId="370" priority="487" operator="equal">
      <formula>#REF!</formula>
    </cfRule>
    <cfRule type="cellIs" dxfId="369" priority="488" stopIfTrue="1" operator="equal">
      <formula>"✓"</formula>
    </cfRule>
  </conditionalFormatting>
  <conditionalFormatting sqref="AZ48:AZ63">
    <cfRule type="cellIs" dxfId="368" priority="410" operator="between">
      <formula>0.01</formula>
      <formula>0.99</formula>
    </cfRule>
    <cfRule type="cellIs" dxfId="367" priority="411" operator="equal">
      <formula>1</formula>
    </cfRule>
    <cfRule type="cellIs" dxfId="366" priority="412" operator="equal">
      <formula>"✓."</formula>
    </cfRule>
    <cfRule type="cellIs" dxfId="365" priority="413" operator="equal">
      <formula>#REF!</formula>
    </cfRule>
    <cfRule type="cellIs" dxfId="364" priority="414" operator="equal">
      <formula>0</formula>
    </cfRule>
    <cfRule type="cellIs" dxfId="363" priority="415" stopIfTrue="1" operator="equal">
      <formula>"✓"</formula>
    </cfRule>
    <cfRule type="cellIs" dxfId="362" priority="416" operator="equal">
      <formula>#REF!</formula>
    </cfRule>
    <cfRule type="cellIs" dxfId="361" priority="417" stopIfTrue="1" operator="equal">
      <formula>"✓"</formula>
    </cfRule>
    <cfRule type="cellIs" dxfId="360" priority="418" operator="between">
      <formula>0.01</formula>
      <formula>0.99</formula>
    </cfRule>
    <cfRule type="cellIs" dxfId="359" priority="419" operator="equal">
      <formula>0</formula>
    </cfRule>
    <cfRule type="cellIs" dxfId="358" priority="420" operator="equal">
      <formula>1</formula>
    </cfRule>
    <cfRule type="cellIs" dxfId="357" priority="421" stopIfTrue="1" operator="equal">
      <formula>"✓"</formula>
    </cfRule>
    <cfRule type="cellIs" dxfId="356" priority="422" operator="equal">
      <formula>#REF!</formula>
    </cfRule>
    <cfRule type="cellIs" dxfId="355" priority="423" stopIfTrue="1" operator="equal">
      <formula>"✓"</formula>
    </cfRule>
    <cfRule type="cellIs" dxfId="354" priority="424" operator="between">
      <formula>0.01</formula>
      <formula>0.99</formula>
    </cfRule>
    <cfRule type="cellIs" dxfId="353" priority="425" operator="equal">
      <formula>0</formula>
    </cfRule>
    <cfRule type="cellIs" dxfId="352" priority="426" operator="equal">
      <formula>1</formula>
    </cfRule>
    <cfRule type="cellIs" dxfId="351" priority="427" operator="equal">
      <formula>"✓."</formula>
    </cfRule>
    <cfRule type="cellIs" dxfId="350" priority="428" operator="equal">
      <formula>#REF!</formula>
    </cfRule>
    <cfRule type="cellIs" dxfId="349" priority="429" stopIfTrue="1" operator="equal">
      <formula>"✓"</formula>
    </cfRule>
  </conditionalFormatting>
  <conditionalFormatting sqref="AZ65:AZ80">
    <cfRule type="cellIs" dxfId="348" priority="355" operator="between">
      <formula>0.01</formula>
      <formula>0.99</formula>
    </cfRule>
    <cfRule type="cellIs" dxfId="347" priority="356" operator="equal">
      <formula>1</formula>
    </cfRule>
    <cfRule type="cellIs" dxfId="346" priority="357" operator="equal">
      <formula>"✓."</formula>
    </cfRule>
    <cfRule type="cellIs" dxfId="345" priority="358" operator="equal">
      <formula>#REF!</formula>
    </cfRule>
    <cfRule type="cellIs" dxfId="344" priority="359" operator="equal">
      <formula>0</formula>
    </cfRule>
    <cfRule type="cellIs" dxfId="343" priority="360" stopIfTrue="1" operator="equal">
      <formula>"✓"</formula>
    </cfRule>
    <cfRule type="cellIs" dxfId="342" priority="361" operator="equal">
      <formula>#REF!</formula>
    </cfRule>
    <cfRule type="cellIs" dxfId="341" priority="362" stopIfTrue="1" operator="equal">
      <formula>"✓"</formula>
    </cfRule>
    <cfRule type="cellIs" dxfId="340" priority="363" operator="between">
      <formula>0.01</formula>
      <formula>0.99</formula>
    </cfRule>
    <cfRule type="cellIs" dxfId="339" priority="364" operator="equal">
      <formula>0</formula>
    </cfRule>
    <cfRule type="cellIs" dxfId="338" priority="365" operator="equal">
      <formula>1</formula>
    </cfRule>
    <cfRule type="cellIs" dxfId="337" priority="366" stopIfTrue="1" operator="equal">
      <formula>"✓"</formula>
    </cfRule>
    <cfRule type="cellIs" dxfId="336" priority="367" operator="equal">
      <formula>#REF!</formula>
    </cfRule>
    <cfRule type="cellIs" dxfId="335" priority="368" stopIfTrue="1" operator="equal">
      <formula>"✓"</formula>
    </cfRule>
    <cfRule type="cellIs" dxfId="334" priority="369" operator="between">
      <formula>0.01</formula>
      <formula>0.99</formula>
    </cfRule>
    <cfRule type="cellIs" dxfId="333" priority="370" operator="equal">
      <formula>0</formula>
    </cfRule>
    <cfRule type="cellIs" dxfId="332" priority="371" operator="equal">
      <formula>1</formula>
    </cfRule>
    <cfRule type="cellIs" dxfId="331" priority="372" operator="equal">
      <formula>"✓."</formula>
    </cfRule>
    <cfRule type="cellIs" dxfId="330" priority="373" operator="equal">
      <formula>#REF!</formula>
    </cfRule>
    <cfRule type="cellIs" dxfId="329" priority="374" stopIfTrue="1" operator="equal">
      <formula>"✓"</formula>
    </cfRule>
  </conditionalFormatting>
  <conditionalFormatting sqref="AZ82:AZ97">
    <cfRule type="cellIs" dxfId="328" priority="296" operator="between">
      <formula>0.01</formula>
      <formula>0.99</formula>
    </cfRule>
    <cfRule type="cellIs" dxfId="327" priority="297" operator="equal">
      <formula>1</formula>
    </cfRule>
    <cfRule type="cellIs" dxfId="326" priority="298" operator="equal">
      <formula>"✓."</formula>
    </cfRule>
    <cfRule type="cellIs" dxfId="325" priority="299" operator="equal">
      <formula>#REF!</formula>
    </cfRule>
    <cfRule type="cellIs" dxfId="324" priority="300" operator="equal">
      <formula>0</formula>
    </cfRule>
    <cfRule type="cellIs" dxfId="323" priority="301" stopIfTrue="1" operator="equal">
      <formula>"✓"</formula>
    </cfRule>
    <cfRule type="cellIs" dxfId="322" priority="302" operator="equal">
      <formula>#REF!</formula>
    </cfRule>
    <cfRule type="cellIs" dxfId="321" priority="303" stopIfTrue="1" operator="equal">
      <formula>"✓"</formula>
    </cfRule>
    <cfRule type="cellIs" dxfId="320" priority="304" operator="between">
      <formula>0.01</formula>
      <formula>0.99</formula>
    </cfRule>
    <cfRule type="cellIs" dxfId="319" priority="305" operator="equal">
      <formula>0</formula>
    </cfRule>
    <cfRule type="cellIs" dxfId="318" priority="306" operator="equal">
      <formula>1</formula>
    </cfRule>
    <cfRule type="cellIs" dxfId="317" priority="307" stopIfTrue="1" operator="equal">
      <formula>"✓"</formula>
    </cfRule>
    <cfRule type="cellIs" dxfId="316" priority="308" operator="equal">
      <formula>#REF!</formula>
    </cfRule>
    <cfRule type="cellIs" dxfId="315" priority="309" stopIfTrue="1" operator="equal">
      <formula>"✓"</formula>
    </cfRule>
    <cfRule type="cellIs" dxfId="314" priority="310" operator="between">
      <formula>0.01</formula>
      <formula>0.99</formula>
    </cfRule>
    <cfRule type="cellIs" dxfId="313" priority="311" operator="equal">
      <formula>0</formula>
    </cfRule>
    <cfRule type="cellIs" dxfId="312" priority="312" operator="equal">
      <formula>1</formula>
    </cfRule>
    <cfRule type="cellIs" dxfId="311" priority="313" operator="equal">
      <formula>"✓."</formula>
    </cfRule>
    <cfRule type="cellIs" dxfId="310" priority="314" operator="equal">
      <formula>#REF!</formula>
    </cfRule>
    <cfRule type="cellIs" dxfId="309" priority="315" stopIfTrue="1" operator="equal">
      <formula>"✓"</formula>
    </cfRule>
  </conditionalFormatting>
  <conditionalFormatting sqref="AZ99:AZ114">
    <cfRule type="cellIs" dxfId="308" priority="237" operator="between">
      <formula>0.01</formula>
      <formula>0.99</formula>
    </cfRule>
    <cfRule type="cellIs" dxfId="307" priority="238" operator="equal">
      <formula>1</formula>
    </cfRule>
    <cfRule type="cellIs" dxfId="306" priority="239" operator="equal">
      <formula>"✓."</formula>
    </cfRule>
    <cfRule type="cellIs" dxfId="305" priority="240" operator="equal">
      <formula>#REF!</formula>
    </cfRule>
    <cfRule type="cellIs" dxfId="304" priority="241" operator="equal">
      <formula>0</formula>
    </cfRule>
    <cfRule type="cellIs" dxfId="303" priority="242" stopIfTrue="1" operator="equal">
      <formula>"✓"</formula>
    </cfRule>
    <cfRule type="cellIs" dxfId="302" priority="243" operator="equal">
      <formula>#REF!</formula>
    </cfRule>
    <cfRule type="cellIs" dxfId="301" priority="244" stopIfTrue="1" operator="equal">
      <formula>"✓"</formula>
    </cfRule>
    <cfRule type="cellIs" dxfId="300" priority="245" operator="between">
      <formula>0.01</formula>
      <formula>0.99</formula>
    </cfRule>
    <cfRule type="cellIs" dxfId="299" priority="246" operator="equal">
      <formula>0</formula>
    </cfRule>
    <cfRule type="cellIs" dxfId="298" priority="247" operator="equal">
      <formula>1</formula>
    </cfRule>
    <cfRule type="cellIs" dxfId="297" priority="248" stopIfTrue="1" operator="equal">
      <formula>"✓"</formula>
    </cfRule>
    <cfRule type="cellIs" dxfId="296" priority="249" operator="equal">
      <formula>#REF!</formula>
    </cfRule>
    <cfRule type="cellIs" dxfId="295" priority="250" stopIfTrue="1" operator="equal">
      <formula>"✓"</formula>
    </cfRule>
    <cfRule type="cellIs" dxfId="294" priority="251" operator="between">
      <formula>0.01</formula>
      <formula>0.99</formula>
    </cfRule>
    <cfRule type="cellIs" dxfId="293" priority="252" operator="equal">
      <formula>0</formula>
    </cfRule>
    <cfRule type="cellIs" dxfId="292" priority="253" operator="equal">
      <formula>1</formula>
    </cfRule>
    <cfRule type="cellIs" dxfId="291" priority="254" operator="equal">
      <formula>"✓."</formula>
    </cfRule>
    <cfRule type="cellIs" dxfId="290" priority="255" operator="equal">
      <formula>#REF!</formula>
    </cfRule>
    <cfRule type="cellIs" dxfId="289" priority="256" stopIfTrue="1" operator="equal">
      <formula>"✓"</formula>
    </cfRule>
  </conditionalFormatting>
  <conditionalFormatting sqref="AZ116:AZ131">
    <cfRule type="cellIs" dxfId="288" priority="178" operator="between">
      <formula>0.01</formula>
      <formula>0.99</formula>
    </cfRule>
    <cfRule type="cellIs" dxfId="287" priority="179" operator="equal">
      <formula>1</formula>
    </cfRule>
    <cfRule type="cellIs" dxfId="286" priority="180" operator="equal">
      <formula>"✓."</formula>
    </cfRule>
    <cfRule type="cellIs" dxfId="285" priority="181" operator="equal">
      <formula>#REF!</formula>
    </cfRule>
    <cfRule type="cellIs" dxfId="284" priority="182" operator="equal">
      <formula>0</formula>
    </cfRule>
    <cfRule type="cellIs" dxfId="283" priority="183" stopIfTrue="1" operator="equal">
      <formula>"✓"</formula>
    </cfRule>
    <cfRule type="cellIs" dxfId="282" priority="184" operator="equal">
      <formula>#REF!</formula>
    </cfRule>
    <cfRule type="cellIs" dxfId="281" priority="185" stopIfTrue="1" operator="equal">
      <formula>"✓"</formula>
    </cfRule>
    <cfRule type="cellIs" dxfId="280" priority="186" operator="between">
      <formula>0.01</formula>
      <formula>0.99</formula>
    </cfRule>
    <cfRule type="cellIs" dxfId="279" priority="187" operator="equal">
      <formula>0</formula>
    </cfRule>
    <cfRule type="cellIs" dxfId="278" priority="188" operator="equal">
      <formula>1</formula>
    </cfRule>
    <cfRule type="cellIs" dxfId="277" priority="189" stopIfTrue="1" operator="equal">
      <formula>"✓"</formula>
    </cfRule>
    <cfRule type="cellIs" dxfId="276" priority="190" operator="equal">
      <formula>#REF!</formula>
    </cfRule>
    <cfRule type="cellIs" dxfId="275" priority="191" stopIfTrue="1" operator="equal">
      <formula>"✓"</formula>
    </cfRule>
    <cfRule type="cellIs" dxfId="274" priority="192" operator="between">
      <formula>0.01</formula>
      <formula>0.99</formula>
    </cfRule>
    <cfRule type="cellIs" dxfId="273" priority="193" operator="equal">
      <formula>0</formula>
    </cfRule>
    <cfRule type="cellIs" dxfId="272" priority="194" operator="equal">
      <formula>1</formula>
    </cfRule>
    <cfRule type="cellIs" dxfId="271" priority="195" operator="equal">
      <formula>"✓."</formula>
    </cfRule>
    <cfRule type="cellIs" dxfId="270" priority="196" operator="equal">
      <formula>#REF!</formula>
    </cfRule>
    <cfRule type="cellIs" dxfId="269" priority="197" stopIfTrue="1" operator="equal">
      <formula>"✓"</formula>
    </cfRule>
  </conditionalFormatting>
  <conditionalFormatting sqref="AZ133:AZ148">
    <cfRule type="cellIs" dxfId="268" priority="119" operator="between">
      <formula>0.01</formula>
      <formula>0.99</formula>
    </cfRule>
    <cfRule type="cellIs" dxfId="267" priority="120" operator="equal">
      <formula>1</formula>
    </cfRule>
    <cfRule type="cellIs" dxfId="266" priority="121" operator="equal">
      <formula>"✓."</formula>
    </cfRule>
    <cfRule type="cellIs" dxfId="265" priority="122" operator="equal">
      <formula>#REF!</formula>
    </cfRule>
    <cfRule type="cellIs" dxfId="264" priority="123" operator="equal">
      <formula>0</formula>
    </cfRule>
    <cfRule type="cellIs" dxfId="263" priority="124" stopIfTrue="1" operator="equal">
      <formula>"✓"</formula>
    </cfRule>
    <cfRule type="cellIs" dxfId="262" priority="125" operator="equal">
      <formula>#REF!</formula>
    </cfRule>
    <cfRule type="cellIs" dxfId="261" priority="126" stopIfTrue="1" operator="equal">
      <formula>"✓"</formula>
    </cfRule>
    <cfRule type="cellIs" dxfId="260" priority="127" operator="between">
      <formula>0.01</formula>
      <formula>0.99</formula>
    </cfRule>
    <cfRule type="cellIs" dxfId="259" priority="128" operator="equal">
      <formula>0</formula>
    </cfRule>
    <cfRule type="cellIs" dxfId="258" priority="129" operator="equal">
      <formula>1</formula>
    </cfRule>
    <cfRule type="cellIs" dxfId="257" priority="130" stopIfTrue="1" operator="equal">
      <formula>"✓"</formula>
    </cfRule>
    <cfRule type="cellIs" dxfId="256" priority="131" operator="equal">
      <formula>#REF!</formula>
    </cfRule>
    <cfRule type="cellIs" dxfId="255" priority="132" stopIfTrue="1" operator="equal">
      <formula>"✓"</formula>
    </cfRule>
    <cfRule type="cellIs" dxfId="254" priority="133" operator="between">
      <formula>0.01</formula>
      <formula>0.99</formula>
    </cfRule>
    <cfRule type="cellIs" dxfId="253" priority="134" operator="equal">
      <formula>0</formula>
    </cfRule>
    <cfRule type="cellIs" dxfId="252" priority="135" operator="equal">
      <formula>1</formula>
    </cfRule>
    <cfRule type="cellIs" dxfId="251" priority="136" operator="equal">
      <formula>"✓."</formula>
    </cfRule>
    <cfRule type="cellIs" dxfId="250" priority="137" operator="equal">
      <formula>#REF!</formula>
    </cfRule>
    <cfRule type="cellIs" dxfId="249" priority="138" stopIfTrue="1" operator="equal">
      <formula>"✓"</formula>
    </cfRule>
  </conditionalFormatting>
  <conditionalFormatting sqref="AZ150:AZ165">
    <cfRule type="cellIs" dxfId="248" priority="60" operator="between">
      <formula>0.01</formula>
      <formula>0.99</formula>
    </cfRule>
    <cfRule type="cellIs" dxfId="247" priority="61" operator="equal">
      <formula>1</formula>
    </cfRule>
    <cfRule type="cellIs" dxfId="246" priority="62" operator="equal">
      <formula>"✓."</formula>
    </cfRule>
    <cfRule type="cellIs" dxfId="245" priority="63" operator="equal">
      <formula>#REF!</formula>
    </cfRule>
    <cfRule type="cellIs" dxfId="244" priority="64" operator="equal">
      <formula>0</formula>
    </cfRule>
    <cfRule type="cellIs" dxfId="243" priority="65" stopIfTrue="1" operator="equal">
      <formula>"✓"</formula>
    </cfRule>
    <cfRule type="cellIs" dxfId="242" priority="66" operator="equal">
      <formula>#REF!</formula>
    </cfRule>
    <cfRule type="cellIs" dxfId="241" priority="67" stopIfTrue="1" operator="equal">
      <formula>"✓"</formula>
    </cfRule>
    <cfRule type="cellIs" dxfId="240" priority="68" operator="between">
      <formula>0.01</formula>
      <formula>0.99</formula>
    </cfRule>
    <cfRule type="cellIs" dxfId="239" priority="69" operator="equal">
      <formula>0</formula>
    </cfRule>
    <cfRule type="cellIs" dxfId="238" priority="70" operator="equal">
      <formula>1</formula>
    </cfRule>
    <cfRule type="cellIs" dxfId="237" priority="71" stopIfTrue="1" operator="equal">
      <formula>"✓"</formula>
    </cfRule>
    <cfRule type="cellIs" dxfId="236" priority="72" operator="equal">
      <formula>#REF!</formula>
    </cfRule>
    <cfRule type="cellIs" dxfId="235" priority="73" stopIfTrue="1" operator="equal">
      <formula>"✓"</formula>
    </cfRule>
    <cfRule type="cellIs" dxfId="234" priority="74" operator="between">
      <formula>0.01</formula>
      <formula>0.99</formula>
    </cfRule>
    <cfRule type="cellIs" dxfId="233" priority="75" operator="equal">
      <formula>0</formula>
    </cfRule>
    <cfRule type="cellIs" dxfId="232" priority="76" operator="equal">
      <formula>1</formula>
    </cfRule>
    <cfRule type="cellIs" dxfId="231" priority="77" operator="equal">
      <formula>"✓."</formula>
    </cfRule>
    <cfRule type="cellIs" dxfId="230" priority="78" operator="equal">
      <formula>#REF!</formula>
    </cfRule>
    <cfRule type="cellIs" dxfId="229" priority="79" stopIfTrue="1" operator="equal">
      <formula>"✓"</formula>
    </cfRule>
  </conditionalFormatting>
  <conditionalFormatting sqref="AZ167:AZ182">
    <cfRule type="cellIs" dxfId="228" priority="1" operator="between">
      <formula>0.01</formula>
      <formula>0.99</formula>
    </cfRule>
    <cfRule type="cellIs" dxfId="227" priority="2" operator="equal">
      <formula>1</formula>
    </cfRule>
    <cfRule type="cellIs" dxfId="226" priority="3" operator="equal">
      <formula>"✓."</formula>
    </cfRule>
    <cfRule type="cellIs" dxfId="225" priority="4" operator="equal">
      <formula>#REF!</formula>
    </cfRule>
    <cfRule type="cellIs" dxfId="224" priority="5" operator="equal">
      <formula>0</formula>
    </cfRule>
    <cfRule type="cellIs" dxfId="223" priority="6" stopIfTrue="1" operator="equal">
      <formula>"✓"</formula>
    </cfRule>
    <cfRule type="cellIs" dxfId="222" priority="7" operator="equal">
      <formula>#REF!</formula>
    </cfRule>
    <cfRule type="cellIs" dxfId="221" priority="8" stopIfTrue="1" operator="equal">
      <formula>"✓"</formula>
    </cfRule>
    <cfRule type="cellIs" dxfId="220" priority="9" operator="between">
      <formula>0.01</formula>
      <formula>0.99</formula>
    </cfRule>
    <cfRule type="cellIs" dxfId="219" priority="10" operator="equal">
      <formula>0</formula>
    </cfRule>
    <cfRule type="cellIs" dxfId="218" priority="11" operator="equal">
      <formula>1</formula>
    </cfRule>
    <cfRule type="cellIs" dxfId="217" priority="12" stopIfTrue="1" operator="equal">
      <formula>"✓"</formula>
    </cfRule>
    <cfRule type="cellIs" dxfId="216" priority="13" operator="equal">
      <formula>#REF!</formula>
    </cfRule>
    <cfRule type="cellIs" dxfId="215" priority="14" stopIfTrue="1" operator="equal">
      <formula>"✓"</formula>
    </cfRule>
    <cfRule type="cellIs" dxfId="214" priority="15" operator="between">
      <formula>0.01</formula>
      <formula>0.99</formula>
    </cfRule>
    <cfRule type="cellIs" dxfId="213" priority="16" operator="equal">
      <formula>0</formula>
    </cfRule>
    <cfRule type="cellIs" dxfId="212" priority="17" operator="equal">
      <formula>1</formula>
    </cfRule>
    <cfRule type="cellIs" dxfId="211" priority="18" operator="equal">
      <formula>"✓."</formula>
    </cfRule>
    <cfRule type="cellIs" dxfId="210" priority="19" operator="equal">
      <formula>#REF!</formula>
    </cfRule>
    <cfRule type="cellIs" dxfId="209" priority="20" stopIfTrue="1" operator="equal">
      <formula>"✓"</formula>
    </cfRule>
  </conditionalFormatting>
  <conditionalFormatting sqref="BA14:BF29">
    <cfRule type="cellIs" dxfId="208" priority="548" stopIfTrue="1" operator="equal">
      <formula>"✓"</formula>
    </cfRule>
  </conditionalFormatting>
  <conditionalFormatting sqref="BA31:BF46">
    <cfRule type="cellIs" dxfId="207" priority="527" operator="equal">
      <formula>#REF!</formula>
    </cfRule>
    <cfRule type="cellIs" dxfId="206" priority="528" stopIfTrue="1" operator="equal">
      <formula>"✓"</formula>
    </cfRule>
  </conditionalFormatting>
  <conditionalFormatting sqref="BA48:BF63">
    <cfRule type="cellIs" dxfId="205" priority="449" stopIfTrue="1" operator="equal">
      <formula>"✓"</formula>
    </cfRule>
  </conditionalFormatting>
  <conditionalFormatting sqref="BA65:BF80">
    <cfRule type="cellIs" dxfId="204" priority="394" stopIfTrue="1" operator="equal">
      <formula>"✓"</formula>
    </cfRule>
  </conditionalFormatting>
  <conditionalFormatting sqref="BA82:BF97">
    <cfRule type="cellIs" dxfId="203" priority="335" stopIfTrue="1" operator="equal">
      <formula>"✓"</formula>
    </cfRule>
  </conditionalFormatting>
  <conditionalFormatting sqref="BA99:BF114">
    <cfRule type="cellIs" dxfId="202" priority="276" stopIfTrue="1" operator="equal">
      <formula>"✓"</formula>
    </cfRule>
  </conditionalFormatting>
  <conditionalFormatting sqref="BA116:BF131">
    <cfRule type="cellIs" dxfId="201" priority="217" stopIfTrue="1" operator="equal">
      <formula>"✓"</formula>
    </cfRule>
  </conditionalFormatting>
  <conditionalFormatting sqref="BA133:BF148">
    <cfRule type="cellIs" dxfId="200" priority="158" stopIfTrue="1" operator="equal">
      <formula>"✓"</formula>
    </cfRule>
  </conditionalFormatting>
  <conditionalFormatting sqref="BA150:BF165">
    <cfRule type="cellIs" dxfId="199" priority="99" stopIfTrue="1" operator="equal">
      <formula>"✓"</formula>
    </cfRule>
  </conditionalFormatting>
  <conditionalFormatting sqref="BA167:BF182">
    <cfRule type="cellIs" dxfId="198" priority="40" stopIfTrue="1" operator="equal">
      <formula>"✓"</formula>
    </cfRule>
  </conditionalFormatting>
  <conditionalFormatting sqref="BD14:BD29">
    <cfRule type="cellIs" dxfId="197" priority="529" operator="between">
      <formula>0.01</formula>
      <formula>0.99</formula>
    </cfRule>
    <cfRule type="cellIs" dxfId="196" priority="530" operator="equal">
      <formula>1</formula>
    </cfRule>
    <cfRule type="cellIs" dxfId="195" priority="531" operator="equal">
      <formula>"✓."</formula>
    </cfRule>
    <cfRule type="cellIs" dxfId="194" priority="532" operator="equal">
      <formula>#REF!</formula>
    </cfRule>
    <cfRule type="cellIs" dxfId="193" priority="533" operator="equal">
      <formula>0</formula>
    </cfRule>
    <cfRule type="cellIs" dxfId="192" priority="534" stopIfTrue="1" operator="equal">
      <formula>"✓"</formula>
    </cfRule>
    <cfRule type="cellIs" dxfId="191" priority="535" operator="equal">
      <formula>#REF!</formula>
    </cfRule>
    <cfRule type="cellIs" dxfId="190" priority="536" stopIfTrue="1" operator="equal">
      <formula>"✓"</formula>
    </cfRule>
    <cfRule type="cellIs" dxfId="189" priority="537" operator="between">
      <formula>0.01</formula>
      <formula>0.99</formula>
    </cfRule>
    <cfRule type="cellIs" dxfId="188" priority="538" operator="equal">
      <formula>0</formula>
    </cfRule>
    <cfRule type="cellIs" dxfId="187" priority="539" operator="equal">
      <formula>1</formula>
    </cfRule>
    <cfRule type="cellIs" dxfId="186" priority="540" stopIfTrue="1" operator="equal">
      <formula>"✓"</formula>
    </cfRule>
    <cfRule type="cellIs" dxfId="185" priority="541" operator="equal">
      <formula>#REF!</formula>
    </cfRule>
    <cfRule type="cellIs" dxfId="184" priority="542" stopIfTrue="1" operator="equal">
      <formula>"✓"</formula>
    </cfRule>
    <cfRule type="cellIs" dxfId="183" priority="543" operator="between">
      <formula>0.01</formula>
      <formula>0.99</formula>
    </cfRule>
    <cfRule type="cellIs" dxfId="182" priority="544" operator="equal">
      <formula>0</formula>
    </cfRule>
    <cfRule type="cellIs" dxfId="181" priority="545" operator="equal">
      <formula>1</formula>
    </cfRule>
    <cfRule type="cellIs" dxfId="180" priority="546" operator="equal">
      <formula>"✓."</formula>
    </cfRule>
  </conditionalFormatting>
  <conditionalFormatting sqref="BD31:BD46">
    <cfRule type="cellIs" dxfId="179" priority="509" operator="between">
      <formula>0.01</formula>
      <formula>0.99</formula>
    </cfRule>
    <cfRule type="cellIs" dxfId="178" priority="510" operator="equal">
      <formula>1</formula>
    </cfRule>
    <cfRule type="cellIs" dxfId="177" priority="511" operator="equal">
      <formula>"✓."</formula>
    </cfRule>
    <cfRule type="cellIs" dxfId="176" priority="512" operator="equal">
      <formula>#REF!</formula>
    </cfRule>
    <cfRule type="cellIs" dxfId="175" priority="513" operator="equal">
      <formula>0</formula>
    </cfRule>
    <cfRule type="cellIs" dxfId="174" priority="514" stopIfTrue="1" operator="equal">
      <formula>"✓"</formula>
    </cfRule>
    <cfRule type="cellIs" dxfId="173" priority="515" operator="equal">
      <formula>#REF!</formula>
    </cfRule>
    <cfRule type="cellIs" dxfId="172" priority="516" stopIfTrue="1" operator="equal">
      <formula>"✓"</formula>
    </cfRule>
    <cfRule type="cellIs" dxfId="171" priority="517" operator="between">
      <formula>0.01</formula>
      <formula>0.99</formula>
    </cfRule>
    <cfRule type="cellIs" dxfId="170" priority="518" operator="equal">
      <formula>0</formula>
    </cfRule>
    <cfRule type="cellIs" dxfId="169" priority="519" operator="equal">
      <formula>1</formula>
    </cfRule>
    <cfRule type="cellIs" dxfId="168" priority="520" stopIfTrue="1" operator="equal">
      <formula>"✓"</formula>
    </cfRule>
    <cfRule type="cellIs" dxfId="167" priority="521" operator="equal">
      <formula>#REF!</formula>
    </cfRule>
    <cfRule type="cellIs" dxfId="166" priority="522" stopIfTrue="1" operator="equal">
      <formula>"✓"</formula>
    </cfRule>
    <cfRule type="cellIs" dxfId="165" priority="523" operator="between">
      <formula>0.01</formula>
      <formula>0.99</formula>
    </cfRule>
    <cfRule type="cellIs" dxfId="164" priority="524" operator="equal">
      <formula>0</formula>
    </cfRule>
    <cfRule type="cellIs" dxfId="163" priority="525" operator="equal">
      <formula>1</formula>
    </cfRule>
    <cfRule type="cellIs" dxfId="162" priority="526" operator="equal">
      <formula>"✓."</formula>
    </cfRule>
  </conditionalFormatting>
  <conditionalFormatting sqref="BD48:BD63">
    <cfRule type="cellIs" dxfId="161" priority="430" operator="between">
      <formula>0.01</formula>
      <formula>0.99</formula>
    </cfRule>
    <cfRule type="cellIs" dxfId="160" priority="431" operator="equal">
      <formula>1</formula>
    </cfRule>
    <cfRule type="cellIs" dxfId="159" priority="432" operator="equal">
      <formula>"✓."</formula>
    </cfRule>
    <cfRule type="cellIs" dxfId="158" priority="433" operator="equal">
      <formula>#REF!</formula>
    </cfRule>
    <cfRule type="cellIs" dxfId="157" priority="434" operator="equal">
      <formula>0</formula>
    </cfRule>
    <cfRule type="cellIs" dxfId="156" priority="435" stopIfTrue="1" operator="equal">
      <formula>"✓"</formula>
    </cfRule>
    <cfRule type="cellIs" dxfId="155" priority="436" operator="equal">
      <formula>#REF!</formula>
    </cfRule>
    <cfRule type="cellIs" dxfId="154" priority="437" stopIfTrue="1" operator="equal">
      <formula>"✓"</formula>
    </cfRule>
    <cfRule type="cellIs" dxfId="153" priority="438" operator="between">
      <formula>0.01</formula>
      <formula>0.99</formula>
    </cfRule>
    <cfRule type="cellIs" dxfId="152" priority="439" operator="equal">
      <formula>0</formula>
    </cfRule>
    <cfRule type="cellIs" dxfId="151" priority="440" operator="equal">
      <formula>1</formula>
    </cfRule>
    <cfRule type="cellIs" dxfId="150" priority="441" stopIfTrue="1" operator="equal">
      <formula>"✓"</formula>
    </cfRule>
    <cfRule type="cellIs" dxfId="149" priority="442" operator="equal">
      <formula>#REF!</formula>
    </cfRule>
    <cfRule type="cellIs" dxfId="148" priority="443" stopIfTrue="1" operator="equal">
      <formula>"✓"</formula>
    </cfRule>
    <cfRule type="cellIs" dxfId="147" priority="444" operator="between">
      <formula>0.01</formula>
      <formula>0.99</formula>
    </cfRule>
    <cfRule type="cellIs" dxfId="146" priority="445" operator="equal">
      <formula>0</formula>
    </cfRule>
    <cfRule type="cellIs" dxfId="145" priority="446" operator="equal">
      <formula>1</formula>
    </cfRule>
    <cfRule type="cellIs" dxfId="144" priority="447" operator="equal">
      <formula>"✓."</formula>
    </cfRule>
  </conditionalFormatting>
  <conditionalFormatting sqref="BD65:BD80">
    <cfRule type="cellIs" dxfId="143" priority="375" operator="between">
      <formula>0.01</formula>
      <formula>0.99</formula>
    </cfRule>
    <cfRule type="cellIs" dxfId="142" priority="376" operator="equal">
      <formula>1</formula>
    </cfRule>
    <cfRule type="cellIs" dxfId="141" priority="377" operator="equal">
      <formula>"✓."</formula>
    </cfRule>
    <cfRule type="cellIs" dxfId="140" priority="378" operator="equal">
      <formula>#REF!</formula>
    </cfRule>
    <cfRule type="cellIs" dxfId="139" priority="379" operator="equal">
      <formula>0</formula>
    </cfRule>
    <cfRule type="cellIs" dxfId="138" priority="380" stopIfTrue="1" operator="equal">
      <formula>"✓"</formula>
    </cfRule>
    <cfRule type="cellIs" dxfId="137" priority="381" operator="equal">
      <formula>#REF!</formula>
    </cfRule>
    <cfRule type="cellIs" dxfId="136" priority="382" stopIfTrue="1" operator="equal">
      <formula>"✓"</formula>
    </cfRule>
    <cfRule type="cellIs" dxfId="135" priority="383" operator="between">
      <formula>0.01</formula>
      <formula>0.99</formula>
    </cfRule>
    <cfRule type="cellIs" dxfId="134" priority="384" operator="equal">
      <formula>0</formula>
    </cfRule>
    <cfRule type="cellIs" dxfId="133" priority="385" operator="equal">
      <formula>1</formula>
    </cfRule>
    <cfRule type="cellIs" dxfId="132" priority="386" stopIfTrue="1" operator="equal">
      <formula>"✓"</formula>
    </cfRule>
    <cfRule type="cellIs" dxfId="131" priority="387" operator="equal">
      <formula>#REF!</formula>
    </cfRule>
    <cfRule type="cellIs" dxfId="130" priority="388" stopIfTrue="1" operator="equal">
      <formula>"✓"</formula>
    </cfRule>
    <cfRule type="cellIs" dxfId="129" priority="389" operator="between">
      <formula>0.01</formula>
      <formula>0.99</formula>
    </cfRule>
    <cfRule type="cellIs" dxfId="128" priority="390" operator="equal">
      <formula>0</formula>
    </cfRule>
    <cfRule type="cellIs" dxfId="127" priority="391" operator="equal">
      <formula>1</formula>
    </cfRule>
    <cfRule type="cellIs" dxfId="126" priority="392" operator="equal">
      <formula>"✓."</formula>
    </cfRule>
  </conditionalFormatting>
  <conditionalFormatting sqref="BD82:BD97">
    <cfRule type="cellIs" dxfId="125" priority="316" operator="between">
      <formula>0.01</formula>
      <formula>0.99</formula>
    </cfRule>
    <cfRule type="cellIs" dxfId="124" priority="317" operator="equal">
      <formula>1</formula>
    </cfRule>
    <cfRule type="cellIs" dxfId="123" priority="318" operator="equal">
      <formula>"✓."</formula>
    </cfRule>
    <cfRule type="cellIs" dxfId="122" priority="319" operator="equal">
      <formula>#REF!</formula>
    </cfRule>
    <cfRule type="cellIs" dxfId="121" priority="320" operator="equal">
      <formula>0</formula>
    </cfRule>
    <cfRule type="cellIs" dxfId="120" priority="321" stopIfTrue="1" operator="equal">
      <formula>"✓"</formula>
    </cfRule>
    <cfRule type="cellIs" dxfId="119" priority="322" operator="equal">
      <formula>#REF!</formula>
    </cfRule>
    <cfRule type="cellIs" dxfId="118" priority="323" stopIfTrue="1" operator="equal">
      <formula>"✓"</formula>
    </cfRule>
    <cfRule type="cellIs" dxfId="117" priority="324" operator="between">
      <formula>0.01</formula>
      <formula>0.99</formula>
    </cfRule>
    <cfRule type="cellIs" dxfId="116" priority="325" operator="equal">
      <formula>0</formula>
    </cfRule>
    <cfRule type="cellIs" dxfId="115" priority="326" operator="equal">
      <formula>1</formula>
    </cfRule>
    <cfRule type="cellIs" dxfId="114" priority="327" stopIfTrue="1" operator="equal">
      <formula>"✓"</formula>
    </cfRule>
    <cfRule type="cellIs" dxfId="113" priority="328" operator="equal">
      <formula>#REF!</formula>
    </cfRule>
    <cfRule type="cellIs" dxfId="112" priority="329" stopIfTrue="1" operator="equal">
      <formula>"✓"</formula>
    </cfRule>
    <cfRule type="cellIs" dxfId="111" priority="330" operator="between">
      <formula>0.01</formula>
      <formula>0.99</formula>
    </cfRule>
    <cfRule type="cellIs" dxfId="110" priority="331" operator="equal">
      <formula>0</formula>
    </cfRule>
    <cfRule type="cellIs" dxfId="109" priority="332" operator="equal">
      <formula>1</formula>
    </cfRule>
    <cfRule type="cellIs" dxfId="108" priority="333" operator="equal">
      <formula>"✓."</formula>
    </cfRule>
  </conditionalFormatting>
  <conditionalFormatting sqref="BD99:BD114">
    <cfRule type="cellIs" dxfId="107" priority="257" operator="between">
      <formula>0.01</formula>
      <formula>0.99</formula>
    </cfRule>
    <cfRule type="cellIs" dxfId="106" priority="258" operator="equal">
      <formula>1</formula>
    </cfRule>
    <cfRule type="cellIs" dxfId="105" priority="259" operator="equal">
      <formula>"✓."</formula>
    </cfRule>
    <cfRule type="cellIs" dxfId="104" priority="260" operator="equal">
      <formula>#REF!</formula>
    </cfRule>
    <cfRule type="cellIs" dxfId="103" priority="261" operator="equal">
      <formula>0</formula>
    </cfRule>
    <cfRule type="cellIs" dxfId="102" priority="262" stopIfTrue="1" operator="equal">
      <formula>"✓"</formula>
    </cfRule>
    <cfRule type="cellIs" dxfId="101" priority="263" operator="equal">
      <formula>#REF!</formula>
    </cfRule>
    <cfRule type="cellIs" dxfId="100" priority="264" stopIfTrue="1" operator="equal">
      <formula>"✓"</formula>
    </cfRule>
    <cfRule type="cellIs" dxfId="99" priority="265" operator="between">
      <formula>0.01</formula>
      <formula>0.99</formula>
    </cfRule>
    <cfRule type="cellIs" dxfId="98" priority="266" operator="equal">
      <formula>0</formula>
    </cfRule>
    <cfRule type="cellIs" dxfId="97" priority="267" operator="equal">
      <formula>1</formula>
    </cfRule>
    <cfRule type="cellIs" dxfId="96" priority="268" stopIfTrue="1" operator="equal">
      <formula>"✓"</formula>
    </cfRule>
    <cfRule type="cellIs" dxfId="95" priority="269" operator="equal">
      <formula>#REF!</formula>
    </cfRule>
    <cfRule type="cellIs" dxfId="94" priority="270" stopIfTrue="1" operator="equal">
      <formula>"✓"</formula>
    </cfRule>
    <cfRule type="cellIs" dxfId="93" priority="271" operator="between">
      <formula>0.01</formula>
      <formula>0.99</formula>
    </cfRule>
    <cfRule type="cellIs" dxfId="92" priority="272" operator="equal">
      <formula>0</formula>
    </cfRule>
    <cfRule type="cellIs" dxfId="91" priority="273" operator="equal">
      <formula>1</formula>
    </cfRule>
    <cfRule type="cellIs" dxfId="90" priority="274" operator="equal">
      <formula>"✓."</formula>
    </cfRule>
  </conditionalFormatting>
  <conditionalFormatting sqref="BD116:BD131">
    <cfRule type="cellIs" dxfId="89" priority="198" operator="between">
      <formula>0.01</formula>
      <formula>0.99</formula>
    </cfRule>
    <cfRule type="cellIs" dxfId="88" priority="199" operator="equal">
      <formula>1</formula>
    </cfRule>
    <cfRule type="cellIs" dxfId="87" priority="200" operator="equal">
      <formula>"✓."</formula>
    </cfRule>
    <cfRule type="cellIs" dxfId="86" priority="201" operator="equal">
      <formula>#REF!</formula>
    </cfRule>
    <cfRule type="cellIs" dxfId="85" priority="202" operator="equal">
      <formula>0</formula>
    </cfRule>
    <cfRule type="cellIs" dxfId="84" priority="203" stopIfTrue="1" operator="equal">
      <formula>"✓"</formula>
    </cfRule>
    <cfRule type="cellIs" dxfId="83" priority="204" operator="equal">
      <formula>#REF!</formula>
    </cfRule>
    <cfRule type="cellIs" dxfId="82" priority="205" stopIfTrue="1" operator="equal">
      <formula>"✓"</formula>
    </cfRule>
    <cfRule type="cellIs" dxfId="81" priority="206" operator="between">
      <formula>0.01</formula>
      <formula>0.99</formula>
    </cfRule>
    <cfRule type="cellIs" dxfId="80" priority="207" operator="equal">
      <formula>0</formula>
    </cfRule>
    <cfRule type="cellIs" dxfId="79" priority="208" operator="equal">
      <formula>1</formula>
    </cfRule>
    <cfRule type="cellIs" dxfId="78" priority="209" stopIfTrue="1" operator="equal">
      <formula>"✓"</formula>
    </cfRule>
    <cfRule type="cellIs" dxfId="77" priority="210" operator="equal">
      <formula>#REF!</formula>
    </cfRule>
    <cfRule type="cellIs" dxfId="76" priority="211" stopIfTrue="1" operator="equal">
      <formula>"✓"</formula>
    </cfRule>
    <cfRule type="cellIs" dxfId="75" priority="212" operator="between">
      <formula>0.01</formula>
      <formula>0.99</formula>
    </cfRule>
    <cfRule type="cellIs" dxfId="74" priority="213" operator="equal">
      <formula>0</formula>
    </cfRule>
    <cfRule type="cellIs" dxfId="73" priority="214" operator="equal">
      <formula>1</formula>
    </cfRule>
    <cfRule type="cellIs" dxfId="72" priority="215" operator="equal">
      <formula>"✓."</formula>
    </cfRule>
  </conditionalFormatting>
  <conditionalFormatting sqref="BD133:BD148">
    <cfRule type="cellIs" dxfId="71" priority="139" operator="between">
      <formula>0.01</formula>
      <formula>0.99</formula>
    </cfRule>
    <cfRule type="cellIs" dxfId="70" priority="140" operator="equal">
      <formula>1</formula>
    </cfRule>
    <cfRule type="cellIs" dxfId="69" priority="141" operator="equal">
      <formula>"✓."</formula>
    </cfRule>
    <cfRule type="cellIs" dxfId="68" priority="142" operator="equal">
      <formula>#REF!</formula>
    </cfRule>
    <cfRule type="cellIs" dxfId="67" priority="143" operator="equal">
      <formula>0</formula>
    </cfRule>
    <cfRule type="cellIs" dxfId="66" priority="144" stopIfTrue="1" operator="equal">
      <formula>"✓"</formula>
    </cfRule>
    <cfRule type="cellIs" dxfId="65" priority="145" operator="equal">
      <formula>#REF!</formula>
    </cfRule>
    <cfRule type="cellIs" dxfId="64" priority="146" stopIfTrue="1" operator="equal">
      <formula>"✓"</formula>
    </cfRule>
    <cfRule type="cellIs" dxfId="63" priority="147" operator="between">
      <formula>0.01</formula>
      <formula>0.99</formula>
    </cfRule>
    <cfRule type="cellIs" dxfId="62" priority="148" operator="equal">
      <formula>0</formula>
    </cfRule>
    <cfRule type="cellIs" dxfId="61" priority="149" operator="equal">
      <formula>1</formula>
    </cfRule>
    <cfRule type="cellIs" dxfId="60" priority="150" stopIfTrue="1" operator="equal">
      <formula>"✓"</formula>
    </cfRule>
    <cfRule type="cellIs" dxfId="59" priority="151" operator="equal">
      <formula>#REF!</formula>
    </cfRule>
    <cfRule type="cellIs" dxfId="58" priority="152" stopIfTrue="1" operator="equal">
      <formula>"✓"</formula>
    </cfRule>
    <cfRule type="cellIs" dxfId="57" priority="153" operator="between">
      <formula>0.01</formula>
      <formula>0.99</formula>
    </cfRule>
    <cfRule type="cellIs" dxfId="56" priority="154" operator="equal">
      <formula>0</formula>
    </cfRule>
    <cfRule type="cellIs" dxfId="55" priority="155" operator="equal">
      <formula>1</formula>
    </cfRule>
    <cfRule type="cellIs" dxfId="54" priority="156" operator="equal">
      <formula>"✓."</formula>
    </cfRule>
  </conditionalFormatting>
  <conditionalFormatting sqref="BD150:BD165">
    <cfRule type="cellIs" dxfId="53" priority="80" operator="between">
      <formula>0.01</formula>
      <formula>0.99</formula>
    </cfRule>
    <cfRule type="cellIs" dxfId="52" priority="81" operator="equal">
      <formula>1</formula>
    </cfRule>
    <cfRule type="cellIs" dxfId="51" priority="82" operator="equal">
      <formula>"✓."</formula>
    </cfRule>
    <cfRule type="cellIs" dxfId="50" priority="83" operator="equal">
      <formula>#REF!</formula>
    </cfRule>
    <cfRule type="cellIs" dxfId="49" priority="84" operator="equal">
      <formula>0</formula>
    </cfRule>
    <cfRule type="cellIs" dxfId="48" priority="85" stopIfTrue="1" operator="equal">
      <formula>"✓"</formula>
    </cfRule>
    <cfRule type="cellIs" dxfId="47" priority="86" operator="equal">
      <formula>#REF!</formula>
    </cfRule>
    <cfRule type="cellIs" dxfId="46" priority="87" stopIfTrue="1" operator="equal">
      <formula>"✓"</formula>
    </cfRule>
    <cfRule type="cellIs" dxfId="45" priority="88" operator="between">
      <formula>0.01</formula>
      <formula>0.99</formula>
    </cfRule>
    <cfRule type="cellIs" dxfId="44" priority="89" operator="equal">
      <formula>0</formula>
    </cfRule>
    <cfRule type="cellIs" dxfId="43" priority="90" operator="equal">
      <formula>1</formula>
    </cfRule>
    <cfRule type="cellIs" dxfId="42" priority="91" stopIfTrue="1" operator="equal">
      <formula>"✓"</formula>
    </cfRule>
    <cfRule type="cellIs" dxfId="41" priority="92" operator="equal">
      <formula>#REF!</formula>
    </cfRule>
    <cfRule type="cellIs" dxfId="40" priority="93" stopIfTrue="1" operator="equal">
      <formula>"✓"</formula>
    </cfRule>
    <cfRule type="cellIs" dxfId="39" priority="94" operator="between">
      <formula>0.01</formula>
      <formula>0.99</formula>
    </cfRule>
    <cfRule type="cellIs" dxfId="38" priority="95" operator="equal">
      <formula>0</formula>
    </cfRule>
    <cfRule type="cellIs" dxfId="37" priority="96" operator="equal">
      <formula>1</formula>
    </cfRule>
    <cfRule type="cellIs" dxfId="36" priority="97" operator="equal">
      <formula>"✓."</formula>
    </cfRule>
  </conditionalFormatting>
  <conditionalFormatting sqref="BD167:BD182">
    <cfRule type="cellIs" dxfId="35" priority="21" operator="between">
      <formula>0.01</formula>
      <formula>0.99</formula>
    </cfRule>
    <cfRule type="cellIs" dxfId="34" priority="22" operator="equal">
      <formula>1</formula>
    </cfRule>
    <cfRule type="cellIs" dxfId="33" priority="23" operator="equal">
      <formula>"✓."</formula>
    </cfRule>
    <cfRule type="cellIs" dxfId="32" priority="24" operator="equal">
      <formula>#REF!</formula>
    </cfRule>
    <cfRule type="cellIs" dxfId="31" priority="25" operator="equal">
      <formula>0</formula>
    </cfRule>
    <cfRule type="cellIs" dxfId="30" priority="26" stopIfTrue="1" operator="equal">
      <formula>"✓"</formula>
    </cfRule>
    <cfRule type="cellIs" dxfId="29" priority="27" operator="equal">
      <formula>#REF!</formula>
    </cfRule>
    <cfRule type="cellIs" dxfId="28" priority="28" stopIfTrue="1" operator="equal">
      <formula>"✓"</formula>
    </cfRule>
    <cfRule type="cellIs" dxfId="27" priority="29" operator="between">
      <formula>0.01</formula>
      <formula>0.99</formula>
    </cfRule>
    <cfRule type="cellIs" dxfId="26" priority="30" operator="equal">
      <formula>0</formula>
    </cfRule>
    <cfRule type="cellIs" dxfId="25" priority="31" operator="equal">
      <formula>1</formula>
    </cfRule>
    <cfRule type="cellIs" dxfId="24" priority="32" stopIfTrue="1" operator="equal">
      <formula>"✓"</formula>
    </cfRule>
    <cfRule type="cellIs" dxfId="23" priority="33" operator="equal">
      <formula>#REF!</formula>
    </cfRule>
    <cfRule type="cellIs" dxfId="22" priority="34" stopIfTrue="1" operator="equal">
      <formula>"✓"</formula>
    </cfRule>
    <cfRule type="cellIs" dxfId="21" priority="35" operator="between">
      <formula>0.01</formula>
      <formula>0.99</formula>
    </cfRule>
    <cfRule type="cellIs" dxfId="20" priority="36" operator="equal">
      <formula>0</formula>
    </cfRule>
    <cfRule type="cellIs" dxfId="19" priority="37" operator="equal">
      <formula>1</formula>
    </cfRule>
    <cfRule type="cellIs" dxfId="18" priority="38" operator="equal">
      <formula>"✓."</formula>
    </cfRule>
  </conditionalFormatting>
  <conditionalFormatting sqref="BD14:BF29">
    <cfRule type="cellIs" dxfId="17" priority="547" operator="equal">
      <formula>#REF!</formula>
    </cfRule>
  </conditionalFormatting>
  <conditionalFormatting sqref="BD48:BF63">
    <cfRule type="cellIs" dxfId="16" priority="448" operator="equal">
      <formula>#REF!</formula>
    </cfRule>
  </conditionalFormatting>
  <conditionalFormatting sqref="BD65:BF80">
    <cfRule type="cellIs" dxfId="15" priority="393" operator="equal">
      <formula>#REF!</formula>
    </cfRule>
  </conditionalFormatting>
  <conditionalFormatting sqref="BD82:BF97">
    <cfRule type="cellIs" dxfId="14" priority="334" operator="equal">
      <formula>#REF!</formula>
    </cfRule>
  </conditionalFormatting>
  <conditionalFormatting sqref="BD99:BF114">
    <cfRule type="cellIs" dxfId="13" priority="275" operator="equal">
      <formula>#REF!</formula>
    </cfRule>
  </conditionalFormatting>
  <conditionalFormatting sqref="BD116:BF131">
    <cfRule type="cellIs" dxfId="12" priority="216" operator="equal">
      <formula>#REF!</formula>
    </cfRule>
  </conditionalFormatting>
  <conditionalFormatting sqref="BD133:BF148">
    <cfRule type="cellIs" dxfId="11" priority="157" operator="equal">
      <formula>#REF!</formula>
    </cfRule>
  </conditionalFormatting>
  <conditionalFormatting sqref="BD150:BF165">
    <cfRule type="cellIs" dxfId="10" priority="98" operator="equal">
      <formula>#REF!</formula>
    </cfRule>
  </conditionalFormatting>
  <conditionalFormatting sqref="BD167:BF182">
    <cfRule type="cellIs" dxfId="9" priority="39" operator="equal">
      <formula>#REF!</formula>
    </cfRule>
  </conditionalFormatting>
  <pageMargins left="0.7" right="0.7" top="0.75" bottom="0.75" header="0.3" footer="0.3"/>
  <pageSetup paperSize="9" scale="10" fitToHeight="0" orientation="landscape" horizontalDpi="4294967295" verticalDpi="4294967295" r:id="rId1"/>
  <rowBreaks count="8" manualBreakCount="8">
    <brk id="29" max="49" man="1"/>
    <brk id="46" max="49" man="1"/>
    <brk id="63" max="49" man="1"/>
    <brk id="80" max="49" man="1"/>
    <brk id="97" max="49" man="1"/>
    <brk id="114" max="49" man="1"/>
    <brk id="131" max="49" man="1"/>
    <brk id="148" max="49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K8" sqref="K8"/>
    </sheetView>
  </sheetViews>
  <sheetFormatPr defaultRowHeight="15" x14ac:dyDescent="0.25"/>
  <cols>
    <col min="1" max="1" width="28" customWidth="1"/>
    <col min="2" max="2" width="22" customWidth="1"/>
    <col min="3" max="5" width="18" customWidth="1"/>
  </cols>
  <sheetData>
    <row r="1" spans="1:5" ht="18.75" customHeight="1" x14ac:dyDescent="0.3">
      <c r="A1" s="266" t="s">
        <v>0</v>
      </c>
      <c r="B1" s="267"/>
      <c r="C1" s="267"/>
      <c r="D1" s="267"/>
      <c r="E1" s="268"/>
    </row>
    <row r="2" spans="1:5" x14ac:dyDescent="0.25">
      <c r="A2" s="22"/>
      <c r="B2" s="22"/>
      <c r="C2" s="22"/>
      <c r="D2" s="22"/>
      <c r="E2" s="22"/>
    </row>
    <row r="3" spans="1:5" x14ac:dyDescent="0.25">
      <c r="A3" s="23" t="s">
        <v>1</v>
      </c>
      <c r="B3" s="24">
        <v>101</v>
      </c>
      <c r="C3" s="22"/>
      <c r="D3" s="269" t="s">
        <v>2</v>
      </c>
      <c r="E3" s="270"/>
    </row>
    <row r="4" spans="1:5" x14ac:dyDescent="0.25">
      <c r="A4" s="24"/>
      <c r="B4" s="24"/>
      <c r="C4" s="22"/>
      <c r="D4" s="271"/>
      <c r="E4" s="272"/>
    </row>
    <row r="5" spans="1:5" x14ac:dyDescent="0.25">
      <c r="A5" s="23" t="s">
        <v>3</v>
      </c>
      <c r="B5" s="24">
        <f>IFERROR(INDEX('Apartment Progress'!$D$4:$D$179, MATCH($B$3, 'Apartment Progress'!$D$4:$D$179, 0)), "")</f>
        <v>101</v>
      </c>
      <c r="C5" s="22"/>
      <c r="D5" s="22"/>
      <c r="E5" s="22"/>
    </row>
    <row r="6" spans="1:5" x14ac:dyDescent="0.25">
      <c r="A6" s="23" t="s">
        <v>4</v>
      </c>
      <c r="B6" s="24" t="str">
        <f>IFERROR(INDEX('Apartment Progress'!#REF!, MATCH($B$3, 'Apartment Progress'!$D$4:$D$179, 0)), "")</f>
        <v/>
      </c>
      <c r="C6" s="22"/>
      <c r="D6" s="22"/>
      <c r="E6" s="22"/>
    </row>
    <row r="7" spans="1:5" x14ac:dyDescent="0.25">
      <c r="A7" s="23" t="s">
        <v>5</v>
      </c>
      <c r="B7" s="25">
        <f>IFERROR(INDEX('Apartment Progress'!$Q$4:$Q$179, MATCH($B$3, 'Apartment Progress'!$D$4:$D$179, 0)), "")</f>
        <v>0.84450000000000014</v>
      </c>
      <c r="C7" s="30" t="s">
        <v>6</v>
      </c>
      <c r="D7" s="31">
        <f>'Apartment Progress'!Q3</f>
        <v>0.68548811974106072</v>
      </c>
      <c r="E7" s="22"/>
    </row>
    <row r="8" spans="1:5" x14ac:dyDescent="0.25">
      <c r="A8" s="24"/>
      <c r="B8" s="24"/>
      <c r="C8" s="22"/>
      <c r="D8" s="22"/>
      <c r="E8" s="22"/>
    </row>
    <row r="9" spans="1:5" x14ac:dyDescent="0.25">
      <c r="A9" s="23" t="s">
        <v>7</v>
      </c>
      <c r="B9" s="23" t="s">
        <v>8</v>
      </c>
      <c r="C9" s="30" t="s">
        <v>9</v>
      </c>
      <c r="D9" s="22"/>
      <c r="E9" s="22"/>
    </row>
    <row r="10" spans="1:5" x14ac:dyDescent="0.25">
      <c r="A10" s="24" t="s">
        <v>10</v>
      </c>
      <c r="B10" s="25">
        <f>IFERROR(INDEX('Apartment Progress'!$E$4:$E$179, MATCH($B$3, 'Apartment Progress'!$D$4:$D$179, 0)), "")</f>
        <v>1</v>
      </c>
      <c r="C10" s="31">
        <f>'Apartment Progress'!$E$3</f>
        <v>0.99090909090909096</v>
      </c>
      <c r="D10" s="22"/>
      <c r="E10" s="22"/>
    </row>
    <row r="11" spans="1:5" x14ac:dyDescent="0.25">
      <c r="A11" s="24" t="s">
        <v>11</v>
      </c>
      <c r="B11" s="25">
        <f>IFERROR(INDEX('Apartment Progress'!$F$4:$F$179, MATCH($B$3, 'Apartment Progress'!$D$4:$D$179, 0)), "")</f>
        <v>1</v>
      </c>
      <c r="C11" s="31">
        <f>'Apartment Progress'!$F$3</f>
        <v>0.83075575757575748</v>
      </c>
      <c r="D11" s="22"/>
      <c r="E11" s="22"/>
    </row>
    <row r="12" spans="1:5" x14ac:dyDescent="0.25">
      <c r="A12" s="24" t="s">
        <v>12</v>
      </c>
      <c r="B12" s="25">
        <f>IFERROR(INDEX('Apartment Progress'!$G$4:$G$179, MATCH($B$3, 'Apartment Progress'!$D$4:$D$179, 0)), "")</f>
        <v>1.0000000000000002</v>
      </c>
      <c r="C12" s="31">
        <f>'Apartment Progress'!$G$3</f>
        <v>0.89499772727272764</v>
      </c>
      <c r="D12" s="22"/>
      <c r="E12" s="22"/>
    </row>
    <row r="13" spans="1:5" x14ac:dyDescent="0.25">
      <c r="A13" s="24" t="s">
        <v>13</v>
      </c>
      <c r="B13" s="25">
        <f>IFERROR(INDEX('Apartment Progress'!$H$4:$H$179, MATCH($B$3, 'Apartment Progress'!$D$4:$D$179, 0)), "")</f>
        <v>0.70000000000000007</v>
      </c>
      <c r="C13" s="31">
        <f>'Apartment Progress'!$H$3</f>
        <v>0.33768181818181814</v>
      </c>
      <c r="D13" s="22"/>
      <c r="E13" s="22"/>
    </row>
    <row r="14" spans="1:5" x14ac:dyDescent="0.25">
      <c r="A14" s="24" t="s">
        <v>14</v>
      </c>
      <c r="B14" s="25">
        <f>IFERROR(INDEX('Apartment Progress'!$I$4:$I$179, MATCH($B$3, 'Apartment Progress'!$D$4:$D$179, 0)), "")</f>
        <v>0.55000000000000004</v>
      </c>
      <c r="C14" s="31">
        <f>'Apartment Progress'!$I$3</f>
        <v>0.63636666666666675</v>
      </c>
      <c r="D14" s="22"/>
      <c r="E14" s="22"/>
    </row>
    <row r="15" spans="1:5" x14ac:dyDescent="0.25">
      <c r="A15" s="24" t="s">
        <v>15</v>
      </c>
      <c r="B15" s="25">
        <f>IFERROR(INDEX('Apartment Progress'!$J$4:$J$179, MATCH($B$3, 'Apartment Progress'!$D$4:$D$179, 0)), "")</f>
        <v>0.83250000000000002</v>
      </c>
      <c r="C15" s="31">
        <f>'Apartment Progress'!$J$3</f>
        <v>0.41259999999999997</v>
      </c>
      <c r="D15" s="22"/>
      <c r="E15" s="22"/>
    </row>
    <row r="16" spans="1:5" x14ac:dyDescent="0.25">
      <c r="A16" s="24" t="s">
        <v>16</v>
      </c>
      <c r="B16" s="25">
        <f>IFERROR(INDEX('Apartment Progress'!$K$4:$K$179, MATCH($B$3, 'Apartment Progress'!$D$4:$D$179, 0)), "")</f>
        <v>0.7</v>
      </c>
      <c r="C16" s="31">
        <f>'Apartment Progress'!$K$3</f>
        <v>0.15347272727272723</v>
      </c>
      <c r="D16" s="22"/>
      <c r="E16" s="22"/>
    </row>
    <row r="17" spans="1:5" x14ac:dyDescent="0.25">
      <c r="A17" s="24" t="s">
        <v>17</v>
      </c>
      <c r="B17" s="25">
        <f>IFERROR(INDEX('Apartment Progress'!$L$4:$L$179, MATCH($B$3, 'Apartment Progress'!$D$4:$D$179, 0)), "")</f>
        <v>0</v>
      </c>
      <c r="C17" s="31">
        <f>'Apartment Progress'!$L$3</f>
        <v>7.2727272727272727E-3</v>
      </c>
      <c r="D17" s="22"/>
      <c r="E17" s="22"/>
    </row>
    <row r="18" spans="1:5" x14ac:dyDescent="0.25">
      <c r="A18" s="24" t="s">
        <v>18</v>
      </c>
      <c r="B18" s="25">
        <f>IFERROR(INDEX('Apartment Progress'!$M$4:$M$179, MATCH($B$3, 'Apartment Progress'!$D$4:$D$179, 0)), "")</f>
        <v>0.7</v>
      </c>
      <c r="C18" s="31">
        <f>'Apartment Progress'!$M$3</f>
        <v>0.70000000000000007</v>
      </c>
      <c r="D18" s="22"/>
      <c r="E18" s="22"/>
    </row>
    <row r="19" spans="1:5" x14ac:dyDescent="0.25">
      <c r="A19" s="24" t="s">
        <v>19</v>
      </c>
      <c r="B19" s="25">
        <f>IFERROR(INDEX('Apartment Progress'!$N$4:$N$179, MATCH($B$3, 'Apartment Progress'!$D$4:$D$179, 0)), "")</f>
        <v>1</v>
      </c>
      <c r="C19" s="31">
        <f>'Apartment Progress'!$N$3</f>
        <v>1</v>
      </c>
      <c r="D19" s="22"/>
      <c r="E19" s="22"/>
    </row>
    <row r="20" spans="1:5" x14ac:dyDescent="0.25">
      <c r="A20" s="22" t="s">
        <v>20</v>
      </c>
      <c r="B20" s="25">
        <f>IFERROR(INDEX('Apartment Progress'!$O$4:$O$179, MATCH($B$3, 'Apartment Progress'!$D$4:$D$179, 0)), "")</f>
        <v>0.2</v>
      </c>
      <c r="C20" s="31">
        <f>'Apartment Progress'!$O$3</f>
        <v>0.2</v>
      </c>
      <c r="D20" s="22"/>
      <c r="E20" s="22"/>
    </row>
    <row r="21" spans="1:5" x14ac:dyDescent="0.25">
      <c r="A21" s="22" t="s">
        <v>21</v>
      </c>
      <c r="B21" s="25">
        <f>IFERROR(INDEX('Apartment Progress'!$P$4:$P$179, MATCH($B$3, 'Apartment Progress'!$D$4:$D$179, 0)), "")</f>
        <v>0.9</v>
      </c>
      <c r="C21" s="31">
        <f>'Apartment Progress'!$P$3</f>
        <v>0.71818181818181825</v>
      </c>
      <c r="D21" s="22"/>
      <c r="E21" s="22"/>
    </row>
    <row r="23" spans="1:5" x14ac:dyDescent="0.25">
      <c r="A23" s="26"/>
      <c r="B23" s="27"/>
    </row>
    <row r="25" spans="1:5" x14ac:dyDescent="0.25">
      <c r="A25" s="26"/>
      <c r="B25" s="26"/>
    </row>
    <row r="26" spans="1:5" x14ac:dyDescent="0.25">
      <c r="A26" s="28"/>
      <c r="B26" s="29"/>
    </row>
    <row r="27" spans="1:5" x14ac:dyDescent="0.25">
      <c r="A27" s="28"/>
      <c r="B27" s="29"/>
    </row>
    <row r="28" spans="1:5" x14ac:dyDescent="0.25">
      <c r="A28" s="28"/>
      <c r="B28" s="29"/>
    </row>
    <row r="29" spans="1:5" x14ac:dyDescent="0.25">
      <c r="A29" s="28"/>
      <c r="B29" s="29"/>
    </row>
    <row r="30" spans="1:5" x14ac:dyDescent="0.25">
      <c r="A30" s="28"/>
      <c r="B30" s="29"/>
    </row>
    <row r="31" spans="1:5" x14ac:dyDescent="0.25">
      <c r="A31" s="28"/>
      <c r="B31" s="29"/>
    </row>
    <row r="32" spans="1:5" x14ac:dyDescent="0.25">
      <c r="A32" s="28"/>
      <c r="B32" s="29"/>
    </row>
    <row r="33" spans="1:2" x14ac:dyDescent="0.25">
      <c r="A33" s="28"/>
      <c r="B33" s="29"/>
    </row>
    <row r="34" spans="1:2" x14ac:dyDescent="0.25">
      <c r="A34" s="28"/>
      <c r="B34" s="29"/>
    </row>
    <row r="35" spans="1:2" x14ac:dyDescent="0.25">
      <c r="A35" s="28"/>
      <c r="B35" s="29"/>
    </row>
    <row r="36" spans="1:2" x14ac:dyDescent="0.25">
      <c r="A36" s="28"/>
      <c r="B36" s="29"/>
    </row>
    <row r="37" spans="1:2" x14ac:dyDescent="0.25">
      <c r="A37" s="28"/>
      <c r="B37" s="29"/>
    </row>
  </sheetData>
  <mergeCells count="2">
    <mergeCell ref="A1:E1"/>
    <mergeCell ref="D3:E4"/>
  </mergeCells>
  <conditionalFormatting sqref="B7">
    <cfRule type="cellIs" dxfId="8" priority="3" operator="lessThanOrEqual">
      <formula>0.4</formula>
    </cfRule>
    <cfRule type="cellIs" dxfId="7" priority="4" operator="between">
      <formula>0.4</formula>
      <formula>0.7</formula>
    </cfRule>
    <cfRule type="cellIs" dxfId="6" priority="5" operator="greaterThanOrEqual">
      <formula>0.7</formula>
    </cfRule>
  </conditionalFormatting>
  <conditionalFormatting sqref="B10:C21">
    <cfRule type="cellIs" dxfId="5" priority="9" operator="lessThanOrEqual">
      <formula>0.4</formula>
    </cfRule>
    <cfRule type="cellIs" dxfId="4" priority="9" operator="between">
      <formula>0.4</formula>
      <formula>0.7</formula>
    </cfRule>
    <cfRule type="cellIs" dxfId="3" priority="9" operator="greaterThanOrEqual">
      <formula>0.7</formula>
    </cfRule>
  </conditionalFormatting>
  <conditionalFormatting sqref="D7">
    <cfRule type="cellIs" dxfId="2" priority="6" operator="lessThanOrEqual">
      <formula>0.4</formula>
    </cfRule>
    <cfRule type="cellIs" dxfId="1" priority="7" operator="between">
      <formula>0.4</formula>
      <formula>0.7</formula>
    </cfRule>
    <cfRule type="cellIs" dxfId="0" priority="8" operator="greaterThanOrEqual">
      <formula>0.7</formula>
    </cfRule>
  </conditionalFormatting>
  <hyperlinks>
    <hyperlink ref="D3" location="'Progress App'!B3" display="▶ Select / Edit Apartment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LCRG Progress</vt:lpstr>
      <vt:lpstr>Apartment Progress</vt:lpstr>
      <vt:lpstr>Ground Floor</vt:lpstr>
      <vt:lpstr>External Development</vt:lpstr>
      <vt:lpstr>Roof top</vt:lpstr>
      <vt:lpstr>Common Area</vt:lpstr>
      <vt:lpstr>Work Progress (%)</vt:lpstr>
      <vt:lpstr>Progress App</vt:lpstr>
      <vt:lpstr>'Apartment Progress'!Print_Area</vt:lpstr>
      <vt:lpstr>'Common Area'!Print_Area</vt:lpstr>
      <vt:lpstr>'External Development'!Print_Area</vt:lpstr>
      <vt:lpstr>'Ground Floor'!Print_Area</vt:lpstr>
      <vt:lpstr>'LCRG Progress'!Print_Area</vt:lpstr>
      <vt:lpstr>'Roof top'!Print_Area</vt:lpstr>
      <vt:lpstr>'Work Progress (%)'!Print_Area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Muneeb Shehzad Butt</cp:lastModifiedBy>
  <dcterms:created xsi:type="dcterms:W3CDTF">2025-12-02T10:39:36Z</dcterms:created>
  <dcterms:modified xsi:type="dcterms:W3CDTF">2025-12-19T15:51:11Z</dcterms:modified>
</cp:coreProperties>
</file>