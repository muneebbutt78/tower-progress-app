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tower_app\"/>
    </mc:Choice>
  </mc:AlternateContent>
  <xr:revisionPtr revIDLastSave="0" documentId="13_ncr:1_{6643FD99-49E4-4550-9594-C46D4587269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gress App" sheetId="1" r:id="rId1"/>
    <sheet name="Apartment Progress" sheetId="2" r:id="rId2"/>
    <sheet name="Work Progress (%)" sheetId="3" r:id="rId3"/>
  </sheets>
  <definedNames>
    <definedName name="_xlnm.Print_Area" localSheetId="2">'Work Progress (%)'!$A$8:$BG$188</definedName>
  </definedNames>
  <calcPr calcId="181029"/>
</workbook>
</file>

<file path=xl/calcChain.xml><?xml version="1.0" encoding="utf-8"?>
<calcChain xmlns="http://schemas.openxmlformats.org/spreadsheetml/2006/main">
  <c r="N174" i="2" l="1"/>
  <c r="M174" i="2"/>
  <c r="L174" i="2"/>
  <c r="K174" i="2"/>
  <c r="J174" i="2"/>
  <c r="I174" i="2"/>
  <c r="H174" i="2"/>
  <c r="G174" i="2"/>
  <c r="F174" i="2"/>
  <c r="E174" i="2"/>
  <c r="D174" i="2"/>
  <c r="C174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N89" i="2"/>
  <c r="M89" i="2"/>
  <c r="L89" i="2"/>
  <c r="K89" i="2"/>
  <c r="J89" i="2"/>
  <c r="I89" i="2"/>
  <c r="H89" i="2"/>
  <c r="G89" i="2"/>
  <c r="F89" i="2"/>
  <c r="E89" i="2"/>
  <c r="D89" i="2"/>
  <c r="C89" i="2"/>
  <c r="N72" i="2"/>
  <c r="M72" i="2"/>
  <c r="L72" i="2"/>
  <c r="K72" i="2"/>
  <c r="J72" i="2"/>
  <c r="I72" i="2"/>
  <c r="H72" i="2"/>
  <c r="G72" i="2"/>
  <c r="F72" i="2"/>
  <c r="E72" i="2"/>
  <c r="D72" i="2"/>
  <c r="C72" i="2"/>
  <c r="N55" i="2"/>
  <c r="M55" i="2"/>
  <c r="L55" i="2"/>
  <c r="K55" i="2"/>
  <c r="J55" i="2"/>
  <c r="I55" i="2"/>
  <c r="H55" i="2"/>
  <c r="G55" i="2"/>
  <c r="F55" i="2"/>
  <c r="E55" i="2"/>
  <c r="D55" i="2"/>
  <c r="C55" i="2"/>
  <c r="N38" i="2"/>
  <c r="M38" i="2"/>
  <c r="L38" i="2"/>
  <c r="K38" i="2"/>
  <c r="J38" i="2"/>
  <c r="I38" i="2"/>
  <c r="H38" i="2"/>
  <c r="G38" i="2"/>
  <c r="F38" i="2"/>
  <c r="E38" i="2"/>
  <c r="D38" i="2"/>
  <c r="C38" i="2"/>
  <c r="N21" i="2"/>
  <c r="M21" i="2"/>
  <c r="L21" i="2"/>
  <c r="K21" i="2"/>
  <c r="J21" i="2"/>
  <c r="I21" i="2"/>
  <c r="H21" i="2"/>
  <c r="G21" i="2"/>
  <c r="F21" i="2"/>
  <c r="E21" i="2"/>
  <c r="D21" i="2"/>
  <c r="C21" i="2"/>
  <c r="D4" i="2"/>
  <c r="E4" i="2"/>
  <c r="F4" i="2"/>
  <c r="G4" i="2"/>
  <c r="H4" i="2"/>
  <c r="I4" i="2"/>
  <c r="J4" i="2"/>
  <c r="K4" i="2"/>
  <c r="L4" i="2"/>
  <c r="M4" i="2"/>
  <c r="N4" i="2"/>
  <c r="C4" i="2"/>
  <c r="J173" i="2"/>
  <c r="I173" i="2"/>
  <c r="H173" i="2"/>
  <c r="G173" i="2"/>
  <c r="F173" i="2"/>
  <c r="E173" i="2"/>
  <c r="D173" i="2"/>
  <c r="C173" i="2"/>
  <c r="J172" i="2"/>
  <c r="I172" i="2"/>
  <c r="H172" i="2"/>
  <c r="G172" i="2"/>
  <c r="F172" i="2"/>
  <c r="E172" i="2"/>
  <c r="D172" i="2"/>
  <c r="C172" i="2"/>
  <c r="O172" i="2" s="1"/>
  <c r="J171" i="2"/>
  <c r="I171" i="2"/>
  <c r="H171" i="2"/>
  <c r="G171" i="2"/>
  <c r="F171" i="2"/>
  <c r="E171" i="2"/>
  <c r="D171" i="2"/>
  <c r="C171" i="2"/>
  <c r="O171" i="2" s="1"/>
  <c r="J170" i="2"/>
  <c r="I170" i="2"/>
  <c r="H170" i="2"/>
  <c r="G170" i="2"/>
  <c r="F170" i="2"/>
  <c r="E170" i="2"/>
  <c r="D170" i="2"/>
  <c r="C170" i="2"/>
  <c r="O170" i="2" s="1"/>
  <c r="J169" i="2"/>
  <c r="I169" i="2"/>
  <c r="H169" i="2"/>
  <c r="G169" i="2"/>
  <c r="F169" i="2"/>
  <c r="O169" i="2" s="1"/>
  <c r="E169" i="2"/>
  <c r="D169" i="2"/>
  <c r="C169" i="2"/>
  <c r="J168" i="2"/>
  <c r="I168" i="2"/>
  <c r="H168" i="2"/>
  <c r="G168" i="2"/>
  <c r="F168" i="2"/>
  <c r="E168" i="2"/>
  <c r="D168" i="2"/>
  <c r="C168" i="2"/>
  <c r="J167" i="2"/>
  <c r="I167" i="2"/>
  <c r="H167" i="2"/>
  <c r="G167" i="2"/>
  <c r="F167" i="2"/>
  <c r="E167" i="2"/>
  <c r="D167" i="2"/>
  <c r="C167" i="2"/>
  <c r="O167" i="2" s="1"/>
  <c r="J166" i="2"/>
  <c r="I166" i="2"/>
  <c r="H166" i="2"/>
  <c r="G166" i="2"/>
  <c r="F166" i="2"/>
  <c r="E166" i="2"/>
  <c r="D166" i="2"/>
  <c r="C166" i="2"/>
  <c r="O166" i="2" s="1"/>
  <c r="J165" i="2"/>
  <c r="I165" i="2"/>
  <c r="H165" i="2"/>
  <c r="G165" i="2"/>
  <c r="F165" i="2"/>
  <c r="E165" i="2"/>
  <c r="D165" i="2"/>
  <c r="C165" i="2"/>
  <c r="J164" i="2"/>
  <c r="I164" i="2"/>
  <c r="H164" i="2"/>
  <c r="G164" i="2"/>
  <c r="F164" i="2"/>
  <c r="E164" i="2"/>
  <c r="D164" i="2"/>
  <c r="C164" i="2"/>
  <c r="O164" i="2" s="1"/>
  <c r="J163" i="2"/>
  <c r="I163" i="2"/>
  <c r="H163" i="2"/>
  <c r="G163" i="2"/>
  <c r="F163" i="2"/>
  <c r="E163" i="2"/>
  <c r="D163" i="2"/>
  <c r="C163" i="2"/>
  <c r="O163" i="2" s="1"/>
  <c r="J162" i="2"/>
  <c r="I162" i="2"/>
  <c r="H162" i="2"/>
  <c r="G162" i="2"/>
  <c r="F162" i="2"/>
  <c r="E162" i="2"/>
  <c r="D162" i="2"/>
  <c r="C162" i="2"/>
  <c r="O162" i="2" s="1"/>
  <c r="J161" i="2"/>
  <c r="I161" i="2"/>
  <c r="H161" i="2"/>
  <c r="G161" i="2"/>
  <c r="F161" i="2"/>
  <c r="O161" i="2" s="1"/>
  <c r="E161" i="2"/>
  <c r="D161" i="2"/>
  <c r="C161" i="2"/>
  <c r="J160" i="2"/>
  <c r="I160" i="2"/>
  <c r="H160" i="2"/>
  <c r="G160" i="2"/>
  <c r="F160" i="2"/>
  <c r="E160" i="2"/>
  <c r="D160" i="2"/>
  <c r="C160" i="2"/>
  <c r="J159" i="2"/>
  <c r="I159" i="2"/>
  <c r="H159" i="2"/>
  <c r="G159" i="2"/>
  <c r="F159" i="2"/>
  <c r="E159" i="2"/>
  <c r="D159" i="2"/>
  <c r="C159" i="2"/>
  <c r="O159" i="2" s="1"/>
  <c r="J158" i="2"/>
  <c r="I158" i="2"/>
  <c r="H158" i="2"/>
  <c r="G158" i="2"/>
  <c r="F158" i="2"/>
  <c r="E158" i="2"/>
  <c r="D158" i="2"/>
  <c r="C158" i="2"/>
  <c r="O158" i="2" s="1"/>
  <c r="J156" i="2"/>
  <c r="I156" i="2"/>
  <c r="H156" i="2"/>
  <c r="G156" i="2"/>
  <c r="F156" i="2"/>
  <c r="E156" i="2"/>
  <c r="D156" i="2"/>
  <c r="C156" i="2"/>
  <c r="J155" i="2"/>
  <c r="I155" i="2"/>
  <c r="H155" i="2"/>
  <c r="G155" i="2"/>
  <c r="F155" i="2"/>
  <c r="E155" i="2"/>
  <c r="D155" i="2"/>
  <c r="C155" i="2"/>
  <c r="O155" i="2" s="1"/>
  <c r="J154" i="2"/>
  <c r="I154" i="2"/>
  <c r="H154" i="2"/>
  <c r="G154" i="2"/>
  <c r="F154" i="2"/>
  <c r="E154" i="2"/>
  <c r="D154" i="2"/>
  <c r="C154" i="2"/>
  <c r="O154" i="2" s="1"/>
  <c r="J153" i="2"/>
  <c r="I153" i="2"/>
  <c r="H153" i="2"/>
  <c r="G153" i="2"/>
  <c r="F153" i="2"/>
  <c r="E153" i="2"/>
  <c r="D153" i="2"/>
  <c r="C153" i="2"/>
  <c r="O153" i="2" s="1"/>
  <c r="J152" i="2"/>
  <c r="I152" i="2"/>
  <c r="H152" i="2"/>
  <c r="G152" i="2"/>
  <c r="F152" i="2"/>
  <c r="E152" i="2"/>
  <c r="D152" i="2"/>
  <c r="C152" i="2"/>
  <c r="O152" i="2" s="1"/>
  <c r="J151" i="2"/>
  <c r="I151" i="2"/>
  <c r="H151" i="2"/>
  <c r="G151" i="2"/>
  <c r="F151" i="2"/>
  <c r="E151" i="2"/>
  <c r="D151" i="2"/>
  <c r="C151" i="2"/>
  <c r="O151" i="2" s="1"/>
  <c r="J150" i="2"/>
  <c r="I150" i="2"/>
  <c r="H150" i="2"/>
  <c r="G150" i="2"/>
  <c r="F150" i="2"/>
  <c r="E150" i="2"/>
  <c r="D150" i="2"/>
  <c r="C150" i="2"/>
  <c r="O150" i="2" s="1"/>
  <c r="J149" i="2"/>
  <c r="I149" i="2"/>
  <c r="H149" i="2"/>
  <c r="G149" i="2"/>
  <c r="F149" i="2"/>
  <c r="E149" i="2"/>
  <c r="D149" i="2"/>
  <c r="C149" i="2"/>
  <c r="J148" i="2"/>
  <c r="I148" i="2"/>
  <c r="H148" i="2"/>
  <c r="G148" i="2"/>
  <c r="F148" i="2"/>
  <c r="E148" i="2"/>
  <c r="D148" i="2"/>
  <c r="C148" i="2"/>
  <c r="J147" i="2"/>
  <c r="I147" i="2"/>
  <c r="H147" i="2"/>
  <c r="G147" i="2"/>
  <c r="F147" i="2"/>
  <c r="E147" i="2"/>
  <c r="D147" i="2"/>
  <c r="C147" i="2"/>
  <c r="O147" i="2" s="1"/>
  <c r="J146" i="2"/>
  <c r="I146" i="2"/>
  <c r="H146" i="2"/>
  <c r="G146" i="2"/>
  <c r="F146" i="2"/>
  <c r="E146" i="2"/>
  <c r="D146" i="2"/>
  <c r="C146" i="2"/>
  <c r="O146" i="2" s="1"/>
  <c r="J145" i="2"/>
  <c r="I145" i="2"/>
  <c r="H145" i="2"/>
  <c r="G145" i="2"/>
  <c r="F145" i="2"/>
  <c r="E145" i="2"/>
  <c r="D145" i="2"/>
  <c r="C145" i="2"/>
  <c r="O145" i="2" s="1"/>
  <c r="J144" i="2"/>
  <c r="I144" i="2"/>
  <c r="H144" i="2"/>
  <c r="G144" i="2"/>
  <c r="F144" i="2"/>
  <c r="E144" i="2"/>
  <c r="D144" i="2"/>
  <c r="C144" i="2"/>
  <c r="O144" i="2" s="1"/>
  <c r="J143" i="2"/>
  <c r="I143" i="2"/>
  <c r="H143" i="2"/>
  <c r="G143" i="2"/>
  <c r="F143" i="2"/>
  <c r="E143" i="2"/>
  <c r="D143" i="2"/>
  <c r="C143" i="2"/>
  <c r="O143" i="2" s="1"/>
  <c r="J142" i="2"/>
  <c r="I142" i="2"/>
  <c r="H142" i="2"/>
  <c r="G142" i="2"/>
  <c r="F142" i="2"/>
  <c r="E142" i="2"/>
  <c r="D142" i="2"/>
  <c r="C142" i="2"/>
  <c r="O142" i="2" s="1"/>
  <c r="J141" i="2"/>
  <c r="I141" i="2"/>
  <c r="H141" i="2"/>
  <c r="G141" i="2"/>
  <c r="F141" i="2"/>
  <c r="E141" i="2"/>
  <c r="D141" i="2"/>
  <c r="C141" i="2"/>
  <c r="J139" i="2"/>
  <c r="I139" i="2"/>
  <c r="H139" i="2"/>
  <c r="G139" i="2"/>
  <c r="F139" i="2"/>
  <c r="E139" i="2"/>
  <c r="D139" i="2"/>
  <c r="O139" i="2" s="1"/>
  <c r="C139" i="2"/>
  <c r="J138" i="2"/>
  <c r="I138" i="2"/>
  <c r="H138" i="2"/>
  <c r="G138" i="2"/>
  <c r="F138" i="2"/>
  <c r="E138" i="2"/>
  <c r="D138" i="2"/>
  <c r="O138" i="2" s="1"/>
  <c r="C138" i="2"/>
  <c r="J137" i="2"/>
  <c r="I137" i="2"/>
  <c r="H137" i="2"/>
  <c r="G137" i="2"/>
  <c r="F137" i="2"/>
  <c r="E137" i="2"/>
  <c r="D137" i="2"/>
  <c r="O137" i="2" s="1"/>
  <c r="C137" i="2"/>
  <c r="J136" i="2"/>
  <c r="I136" i="2"/>
  <c r="H136" i="2"/>
  <c r="G136" i="2"/>
  <c r="F136" i="2"/>
  <c r="E136" i="2"/>
  <c r="D136" i="2"/>
  <c r="O136" i="2" s="1"/>
  <c r="C136" i="2"/>
  <c r="J135" i="2"/>
  <c r="I135" i="2"/>
  <c r="H135" i="2"/>
  <c r="G135" i="2"/>
  <c r="F135" i="2"/>
  <c r="E135" i="2"/>
  <c r="D135" i="2"/>
  <c r="O135" i="2" s="1"/>
  <c r="C135" i="2"/>
  <c r="J134" i="2"/>
  <c r="I134" i="2"/>
  <c r="H134" i="2"/>
  <c r="G134" i="2"/>
  <c r="F134" i="2"/>
  <c r="E134" i="2"/>
  <c r="D134" i="2"/>
  <c r="O134" i="2" s="1"/>
  <c r="C134" i="2"/>
  <c r="J133" i="2"/>
  <c r="I133" i="2"/>
  <c r="H133" i="2"/>
  <c r="G133" i="2"/>
  <c r="F133" i="2"/>
  <c r="E133" i="2"/>
  <c r="D133" i="2"/>
  <c r="O133" i="2" s="1"/>
  <c r="C133" i="2"/>
  <c r="J132" i="2"/>
  <c r="I132" i="2"/>
  <c r="H132" i="2"/>
  <c r="G132" i="2"/>
  <c r="F132" i="2"/>
  <c r="E132" i="2"/>
  <c r="D132" i="2"/>
  <c r="C132" i="2"/>
  <c r="J131" i="2"/>
  <c r="I131" i="2"/>
  <c r="H131" i="2"/>
  <c r="G131" i="2"/>
  <c r="F131" i="2"/>
  <c r="E131" i="2"/>
  <c r="D131" i="2"/>
  <c r="O131" i="2" s="1"/>
  <c r="C131" i="2"/>
  <c r="J130" i="2"/>
  <c r="I130" i="2"/>
  <c r="H130" i="2"/>
  <c r="G130" i="2"/>
  <c r="F130" i="2"/>
  <c r="E130" i="2"/>
  <c r="D130" i="2"/>
  <c r="O130" i="2" s="1"/>
  <c r="C130" i="2"/>
  <c r="J129" i="2"/>
  <c r="I129" i="2"/>
  <c r="H129" i="2"/>
  <c r="G129" i="2"/>
  <c r="F129" i="2"/>
  <c r="E129" i="2"/>
  <c r="D129" i="2"/>
  <c r="O129" i="2" s="1"/>
  <c r="C129" i="2"/>
  <c r="J128" i="2"/>
  <c r="I128" i="2"/>
  <c r="H128" i="2"/>
  <c r="G128" i="2"/>
  <c r="F128" i="2"/>
  <c r="E128" i="2"/>
  <c r="D128" i="2"/>
  <c r="O128" i="2" s="1"/>
  <c r="C128" i="2"/>
  <c r="J127" i="2"/>
  <c r="I127" i="2"/>
  <c r="H127" i="2"/>
  <c r="G127" i="2"/>
  <c r="F127" i="2"/>
  <c r="E127" i="2"/>
  <c r="D127" i="2"/>
  <c r="O127" i="2" s="1"/>
  <c r="C127" i="2"/>
  <c r="J126" i="2"/>
  <c r="I126" i="2"/>
  <c r="H126" i="2"/>
  <c r="G126" i="2"/>
  <c r="F126" i="2"/>
  <c r="E126" i="2"/>
  <c r="D126" i="2"/>
  <c r="O126" i="2" s="1"/>
  <c r="C126" i="2"/>
  <c r="J125" i="2"/>
  <c r="I125" i="2"/>
  <c r="H125" i="2"/>
  <c r="G125" i="2"/>
  <c r="F125" i="2"/>
  <c r="E125" i="2"/>
  <c r="D125" i="2"/>
  <c r="O125" i="2" s="1"/>
  <c r="C125" i="2"/>
  <c r="J124" i="2"/>
  <c r="I124" i="2"/>
  <c r="H124" i="2"/>
  <c r="G124" i="2"/>
  <c r="F124" i="2"/>
  <c r="E124" i="2"/>
  <c r="D124" i="2"/>
  <c r="C124" i="2"/>
  <c r="BD182" i="3"/>
  <c r="AZ182" i="3"/>
  <c r="AV182" i="3"/>
  <c r="AQ182" i="3"/>
  <c r="AI182" i="3"/>
  <c r="AD182" i="3"/>
  <c r="Y182" i="3"/>
  <c r="L182" i="3"/>
  <c r="G182" i="3"/>
  <c r="BD181" i="3"/>
  <c r="AZ181" i="3"/>
  <c r="AV181" i="3"/>
  <c r="AQ181" i="3"/>
  <c r="AI181" i="3"/>
  <c r="AD181" i="3"/>
  <c r="Y181" i="3"/>
  <c r="L181" i="3"/>
  <c r="G181" i="3"/>
  <c r="BD180" i="3"/>
  <c r="AZ180" i="3"/>
  <c r="AV180" i="3"/>
  <c r="AQ180" i="3"/>
  <c r="AI180" i="3"/>
  <c r="AD180" i="3"/>
  <c r="Y180" i="3"/>
  <c r="L180" i="3"/>
  <c r="G180" i="3"/>
  <c r="BD179" i="3"/>
  <c r="AZ179" i="3"/>
  <c r="AV179" i="3"/>
  <c r="AQ179" i="3"/>
  <c r="AI179" i="3"/>
  <c r="AD179" i="3"/>
  <c r="Y179" i="3"/>
  <c r="L179" i="3"/>
  <c r="G179" i="3"/>
  <c r="BD178" i="3"/>
  <c r="AZ178" i="3"/>
  <c r="AV178" i="3"/>
  <c r="AQ178" i="3"/>
  <c r="AI178" i="3"/>
  <c r="AD178" i="3"/>
  <c r="Y178" i="3"/>
  <c r="L178" i="3"/>
  <c r="G178" i="3"/>
  <c r="BD177" i="3"/>
  <c r="AZ177" i="3"/>
  <c r="AV177" i="3"/>
  <c r="AQ177" i="3"/>
  <c r="AI177" i="3"/>
  <c r="AD177" i="3"/>
  <c r="Y177" i="3"/>
  <c r="L177" i="3"/>
  <c r="G177" i="3"/>
  <c r="BD176" i="3"/>
  <c r="AZ176" i="3"/>
  <c r="AV176" i="3"/>
  <c r="AQ176" i="3"/>
  <c r="AI176" i="3"/>
  <c r="AD176" i="3"/>
  <c r="Y176" i="3"/>
  <c r="L176" i="3"/>
  <c r="G176" i="3"/>
  <c r="BD175" i="3"/>
  <c r="AZ175" i="3"/>
  <c r="AV175" i="3"/>
  <c r="AQ175" i="3"/>
  <c r="AI175" i="3"/>
  <c r="AD175" i="3"/>
  <c r="Y175" i="3"/>
  <c r="L175" i="3"/>
  <c r="G175" i="3"/>
  <c r="BD174" i="3"/>
  <c r="AZ174" i="3"/>
  <c r="AV174" i="3"/>
  <c r="AQ174" i="3"/>
  <c r="AI174" i="3"/>
  <c r="AD174" i="3"/>
  <c r="Y174" i="3"/>
  <c r="L174" i="3"/>
  <c r="G174" i="3"/>
  <c r="BD173" i="3"/>
  <c r="AZ173" i="3"/>
  <c r="AV173" i="3"/>
  <c r="AQ173" i="3"/>
  <c r="AI173" i="3"/>
  <c r="AD173" i="3"/>
  <c r="Y173" i="3"/>
  <c r="L173" i="3"/>
  <c r="G173" i="3"/>
  <c r="BD172" i="3"/>
  <c r="AZ172" i="3"/>
  <c r="AV172" i="3"/>
  <c r="AQ172" i="3"/>
  <c r="AI172" i="3"/>
  <c r="AD172" i="3"/>
  <c r="Y172" i="3"/>
  <c r="L172" i="3"/>
  <c r="G172" i="3"/>
  <c r="BD171" i="3"/>
  <c r="AZ171" i="3"/>
  <c r="AV171" i="3"/>
  <c r="AQ171" i="3"/>
  <c r="AI171" i="3"/>
  <c r="AD171" i="3"/>
  <c r="Y171" i="3"/>
  <c r="L171" i="3"/>
  <c r="G171" i="3"/>
  <c r="BD170" i="3"/>
  <c r="AZ170" i="3"/>
  <c r="AV170" i="3"/>
  <c r="AQ170" i="3"/>
  <c r="AI170" i="3"/>
  <c r="AD170" i="3"/>
  <c r="Y170" i="3"/>
  <c r="L170" i="3"/>
  <c r="G170" i="3"/>
  <c r="BD169" i="3"/>
  <c r="AZ169" i="3"/>
  <c r="AV169" i="3"/>
  <c r="AQ169" i="3"/>
  <c r="AI169" i="3"/>
  <c r="AD169" i="3"/>
  <c r="Y169" i="3"/>
  <c r="L169" i="3"/>
  <c r="G169" i="3"/>
  <c r="BD168" i="3"/>
  <c r="AZ168" i="3"/>
  <c r="AV168" i="3"/>
  <c r="AQ168" i="3"/>
  <c r="AI168" i="3"/>
  <c r="AD168" i="3"/>
  <c r="Y168" i="3"/>
  <c r="L168" i="3"/>
  <c r="G168" i="3"/>
  <c r="BD167" i="3"/>
  <c r="AZ167" i="3"/>
  <c r="AV167" i="3"/>
  <c r="AQ167" i="3"/>
  <c r="AI167" i="3"/>
  <c r="AD167" i="3"/>
  <c r="Y167" i="3"/>
  <c r="L167" i="3"/>
  <c r="G167" i="3"/>
  <c r="BD165" i="3"/>
  <c r="AZ165" i="3"/>
  <c r="AV165" i="3"/>
  <c r="AQ165" i="3"/>
  <c r="AI165" i="3"/>
  <c r="AD165" i="3"/>
  <c r="Y165" i="3"/>
  <c r="L165" i="3"/>
  <c r="G165" i="3"/>
  <c r="BD164" i="3"/>
  <c r="AZ164" i="3"/>
  <c r="AV164" i="3"/>
  <c r="AQ164" i="3"/>
  <c r="AI164" i="3"/>
  <c r="AD164" i="3"/>
  <c r="Y164" i="3"/>
  <c r="L164" i="3"/>
  <c r="G164" i="3"/>
  <c r="BD163" i="3"/>
  <c r="AZ163" i="3"/>
  <c r="AV163" i="3"/>
  <c r="AQ163" i="3"/>
  <c r="AI163" i="3"/>
  <c r="AD163" i="3"/>
  <c r="Y163" i="3"/>
  <c r="L163" i="3"/>
  <c r="G163" i="3"/>
  <c r="BD162" i="3"/>
  <c r="AZ162" i="3"/>
  <c r="AV162" i="3"/>
  <c r="AQ162" i="3"/>
  <c r="AI162" i="3"/>
  <c r="AD162" i="3"/>
  <c r="Y162" i="3"/>
  <c r="L162" i="3"/>
  <c r="G162" i="3"/>
  <c r="BD161" i="3"/>
  <c r="AZ161" i="3"/>
  <c r="AV161" i="3"/>
  <c r="AQ161" i="3"/>
  <c r="AI161" i="3"/>
  <c r="AD161" i="3"/>
  <c r="Y161" i="3"/>
  <c r="L161" i="3"/>
  <c r="G161" i="3"/>
  <c r="BD160" i="3"/>
  <c r="AZ160" i="3"/>
  <c r="AV160" i="3"/>
  <c r="AQ160" i="3"/>
  <c r="AI160" i="3"/>
  <c r="AD160" i="3"/>
  <c r="Y160" i="3"/>
  <c r="L160" i="3"/>
  <c r="G160" i="3"/>
  <c r="BD159" i="3"/>
  <c r="AZ159" i="3"/>
  <c r="AV159" i="3"/>
  <c r="AQ159" i="3"/>
  <c r="AI159" i="3"/>
  <c r="AD159" i="3"/>
  <c r="Y159" i="3"/>
  <c r="L159" i="3"/>
  <c r="G159" i="3"/>
  <c r="BD158" i="3"/>
  <c r="AZ158" i="3"/>
  <c r="AV158" i="3"/>
  <c r="AQ158" i="3"/>
  <c r="AI158" i="3"/>
  <c r="AD158" i="3"/>
  <c r="Y158" i="3"/>
  <c r="L158" i="3"/>
  <c r="G158" i="3"/>
  <c r="BD157" i="3"/>
  <c r="AZ157" i="3"/>
  <c r="AV157" i="3"/>
  <c r="AQ157" i="3"/>
  <c r="AI157" i="3"/>
  <c r="AD157" i="3"/>
  <c r="Y157" i="3"/>
  <c r="L157" i="3"/>
  <c r="G157" i="3"/>
  <c r="BD156" i="3"/>
  <c r="AZ156" i="3"/>
  <c r="AV156" i="3"/>
  <c r="AQ156" i="3"/>
  <c r="AI156" i="3"/>
  <c r="AD156" i="3"/>
  <c r="Y156" i="3"/>
  <c r="L156" i="3"/>
  <c r="G156" i="3"/>
  <c r="BD155" i="3"/>
  <c r="AZ155" i="3"/>
  <c r="AV155" i="3"/>
  <c r="AQ155" i="3"/>
  <c r="AI155" i="3"/>
  <c r="AD155" i="3"/>
  <c r="Y155" i="3"/>
  <c r="L155" i="3"/>
  <c r="G155" i="3"/>
  <c r="BD154" i="3"/>
  <c r="AZ154" i="3"/>
  <c r="AV154" i="3"/>
  <c r="AQ154" i="3"/>
  <c r="AI154" i="3"/>
  <c r="AD154" i="3"/>
  <c r="Y154" i="3"/>
  <c r="L154" i="3"/>
  <c r="G154" i="3"/>
  <c r="BD153" i="3"/>
  <c r="AZ153" i="3"/>
  <c r="AV153" i="3"/>
  <c r="AQ153" i="3"/>
  <c r="AI153" i="3"/>
  <c r="AD153" i="3"/>
  <c r="Y153" i="3"/>
  <c r="L153" i="3"/>
  <c r="G153" i="3"/>
  <c r="BD152" i="3"/>
  <c r="AZ152" i="3"/>
  <c r="AV152" i="3"/>
  <c r="AQ152" i="3"/>
  <c r="AI152" i="3"/>
  <c r="AD152" i="3"/>
  <c r="Y152" i="3"/>
  <c r="L152" i="3"/>
  <c r="G152" i="3"/>
  <c r="BD151" i="3"/>
  <c r="AZ151" i="3"/>
  <c r="AV151" i="3"/>
  <c r="AQ151" i="3"/>
  <c r="AI151" i="3"/>
  <c r="AD151" i="3"/>
  <c r="Y151" i="3"/>
  <c r="L151" i="3"/>
  <c r="G151" i="3"/>
  <c r="BD150" i="3"/>
  <c r="AZ150" i="3"/>
  <c r="AV150" i="3"/>
  <c r="AQ150" i="3"/>
  <c r="AI150" i="3"/>
  <c r="AD150" i="3"/>
  <c r="Y150" i="3"/>
  <c r="L150" i="3"/>
  <c r="G150" i="3"/>
  <c r="BD148" i="3"/>
  <c r="AZ148" i="3"/>
  <c r="AV148" i="3"/>
  <c r="AQ148" i="3"/>
  <c r="AI148" i="3"/>
  <c r="AD148" i="3"/>
  <c r="Y148" i="3"/>
  <c r="L148" i="3"/>
  <c r="G148" i="3"/>
  <c r="BD147" i="3"/>
  <c r="AZ147" i="3"/>
  <c r="AV147" i="3"/>
  <c r="AQ147" i="3"/>
  <c r="AI147" i="3"/>
  <c r="AD147" i="3"/>
  <c r="Y147" i="3"/>
  <c r="L147" i="3"/>
  <c r="G147" i="3"/>
  <c r="BD146" i="3"/>
  <c r="AZ146" i="3"/>
  <c r="AV146" i="3"/>
  <c r="AQ146" i="3"/>
  <c r="AI146" i="3"/>
  <c r="AD146" i="3"/>
  <c r="Y146" i="3"/>
  <c r="L146" i="3"/>
  <c r="G146" i="3"/>
  <c r="BD145" i="3"/>
  <c r="AZ145" i="3"/>
  <c r="AV145" i="3"/>
  <c r="AQ145" i="3"/>
  <c r="AI145" i="3"/>
  <c r="AD145" i="3"/>
  <c r="Y145" i="3"/>
  <c r="L145" i="3"/>
  <c r="G145" i="3"/>
  <c r="BD144" i="3"/>
  <c r="AZ144" i="3"/>
  <c r="AV144" i="3"/>
  <c r="AQ144" i="3"/>
  <c r="AI144" i="3"/>
  <c r="AD144" i="3"/>
  <c r="Y144" i="3"/>
  <c r="L144" i="3"/>
  <c r="G144" i="3"/>
  <c r="BD143" i="3"/>
  <c r="AZ143" i="3"/>
  <c r="AV143" i="3"/>
  <c r="AQ143" i="3"/>
  <c r="AI143" i="3"/>
  <c r="AD143" i="3"/>
  <c r="Y143" i="3"/>
  <c r="L143" i="3"/>
  <c r="G143" i="3"/>
  <c r="BD142" i="3"/>
  <c r="AZ142" i="3"/>
  <c r="AV142" i="3"/>
  <c r="AQ142" i="3"/>
  <c r="AI142" i="3"/>
  <c r="AD142" i="3"/>
  <c r="Y142" i="3"/>
  <c r="L142" i="3"/>
  <c r="G142" i="3"/>
  <c r="BD141" i="3"/>
  <c r="AZ141" i="3"/>
  <c r="AV141" i="3"/>
  <c r="AQ141" i="3"/>
  <c r="AI141" i="3"/>
  <c r="AD141" i="3"/>
  <c r="Y141" i="3"/>
  <c r="L141" i="3"/>
  <c r="G141" i="3"/>
  <c r="BD140" i="3"/>
  <c r="AZ140" i="3"/>
  <c r="AV140" i="3"/>
  <c r="AQ140" i="3"/>
  <c r="AI140" i="3"/>
  <c r="AD140" i="3"/>
  <c r="Y140" i="3"/>
  <c r="L140" i="3"/>
  <c r="G140" i="3"/>
  <c r="BD139" i="3"/>
  <c r="AZ139" i="3"/>
  <c r="AV139" i="3"/>
  <c r="AQ139" i="3"/>
  <c r="AI139" i="3"/>
  <c r="AD139" i="3"/>
  <c r="Y139" i="3"/>
  <c r="L139" i="3"/>
  <c r="G139" i="3"/>
  <c r="BD138" i="3"/>
  <c r="AZ138" i="3"/>
  <c r="AV138" i="3"/>
  <c r="AQ138" i="3"/>
  <c r="AI138" i="3"/>
  <c r="AD138" i="3"/>
  <c r="Y138" i="3"/>
  <c r="L138" i="3"/>
  <c r="G138" i="3"/>
  <c r="BD137" i="3"/>
  <c r="AZ137" i="3"/>
  <c r="AV137" i="3"/>
  <c r="AQ137" i="3"/>
  <c r="AI137" i="3"/>
  <c r="AD137" i="3"/>
  <c r="Y137" i="3"/>
  <c r="L137" i="3"/>
  <c r="G137" i="3"/>
  <c r="BD136" i="3"/>
  <c r="AZ136" i="3"/>
  <c r="AV136" i="3"/>
  <c r="AQ136" i="3"/>
  <c r="AI136" i="3"/>
  <c r="AD136" i="3"/>
  <c r="Y136" i="3"/>
  <c r="L136" i="3"/>
  <c r="G136" i="3"/>
  <c r="BD135" i="3"/>
  <c r="AZ135" i="3"/>
  <c r="AV135" i="3"/>
  <c r="AQ135" i="3"/>
  <c r="AI135" i="3"/>
  <c r="AD135" i="3"/>
  <c r="Y135" i="3"/>
  <c r="L135" i="3"/>
  <c r="G135" i="3"/>
  <c r="BD134" i="3"/>
  <c r="AZ134" i="3"/>
  <c r="AV134" i="3"/>
  <c r="AQ134" i="3"/>
  <c r="AI134" i="3"/>
  <c r="AD134" i="3"/>
  <c r="Y134" i="3"/>
  <c r="L134" i="3"/>
  <c r="G134" i="3"/>
  <c r="BD133" i="3"/>
  <c r="AZ133" i="3"/>
  <c r="AV133" i="3"/>
  <c r="AQ133" i="3"/>
  <c r="AI133" i="3"/>
  <c r="AD133" i="3"/>
  <c r="Y133" i="3"/>
  <c r="L133" i="3"/>
  <c r="G133" i="3"/>
  <c r="BD131" i="3"/>
  <c r="J122" i="2" s="1"/>
  <c r="AZ131" i="3"/>
  <c r="AV131" i="3"/>
  <c r="I122" i="2" s="1"/>
  <c r="AQ131" i="3"/>
  <c r="H122" i="2" s="1"/>
  <c r="AI131" i="3"/>
  <c r="G122" i="2" s="1"/>
  <c r="AD131" i="3"/>
  <c r="F122" i="2" s="1"/>
  <c r="Y131" i="3"/>
  <c r="E122" i="2" s="1"/>
  <c r="L131" i="3"/>
  <c r="D122" i="2" s="1"/>
  <c r="G131" i="3"/>
  <c r="C122" i="2" s="1"/>
  <c r="BD130" i="3"/>
  <c r="J121" i="2" s="1"/>
  <c r="AZ130" i="3"/>
  <c r="AV130" i="3"/>
  <c r="I121" i="2" s="1"/>
  <c r="AQ130" i="3"/>
  <c r="H121" i="2" s="1"/>
  <c r="AI130" i="3"/>
  <c r="G121" i="2" s="1"/>
  <c r="AD130" i="3"/>
  <c r="F121" i="2" s="1"/>
  <c r="Y130" i="3"/>
  <c r="E121" i="2" s="1"/>
  <c r="L130" i="3"/>
  <c r="D121" i="2" s="1"/>
  <c r="G130" i="3"/>
  <c r="C121" i="2" s="1"/>
  <c r="BD129" i="3"/>
  <c r="J120" i="2" s="1"/>
  <c r="AZ129" i="3"/>
  <c r="AV129" i="3"/>
  <c r="I120" i="2" s="1"/>
  <c r="AQ129" i="3"/>
  <c r="H120" i="2" s="1"/>
  <c r="AI129" i="3"/>
  <c r="G120" i="2" s="1"/>
  <c r="AD129" i="3"/>
  <c r="F120" i="2" s="1"/>
  <c r="Y129" i="3"/>
  <c r="E120" i="2" s="1"/>
  <c r="L129" i="3"/>
  <c r="D120" i="2" s="1"/>
  <c r="G129" i="3"/>
  <c r="C120" i="2" s="1"/>
  <c r="BD128" i="3"/>
  <c r="J119" i="2" s="1"/>
  <c r="AZ128" i="3"/>
  <c r="AV128" i="3"/>
  <c r="I119" i="2" s="1"/>
  <c r="AQ128" i="3"/>
  <c r="H119" i="2" s="1"/>
  <c r="AI128" i="3"/>
  <c r="G119" i="2" s="1"/>
  <c r="AD128" i="3"/>
  <c r="F119" i="2" s="1"/>
  <c r="Y128" i="3"/>
  <c r="E119" i="2" s="1"/>
  <c r="L128" i="3"/>
  <c r="D119" i="2" s="1"/>
  <c r="G128" i="3"/>
  <c r="C119" i="2" s="1"/>
  <c r="BD127" i="3"/>
  <c r="J118" i="2" s="1"/>
  <c r="AZ127" i="3"/>
  <c r="AV127" i="3"/>
  <c r="I118" i="2" s="1"/>
  <c r="AQ127" i="3"/>
  <c r="H118" i="2" s="1"/>
  <c r="AI127" i="3"/>
  <c r="G118" i="2" s="1"/>
  <c r="AD127" i="3"/>
  <c r="F118" i="2" s="1"/>
  <c r="Y127" i="3"/>
  <c r="E118" i="2" s="1"/>
  <c r="L127" i="3"/>
  <c r="D118" i="2" s="1"/>
  <c r="G127" i="3"/>
  <c r="C118" i="2" s="1"/>
  <c r="BD126" i="3"/>
  <c r="J117" i="2" s="1"/>
  <c r="AZ126" i="3"/>
  <c r="AV126" i="3"/>
  <c r="I117" i="2" s="1"/>
  <c r="AQ126" i="3"/>
  <c r="H117" i="2" s="1"/>
  <c r="AI126" i="3"/>
  <c r="G117" i="2" s="1"/>
  <c r="AD126" i="3"/>
  <c r="F117" i="2" s="1"/>
  <c r="Y126" i="3"/>
  <c r="E117" i="2" s="1"/>
  <c r="L126" i="3"/>
  <c r="D117" i="2" s="1"/>
  <c r="G126" i="3"/>
  <c r="C117" i="2" s="1"/>
  <c r="BD125" i="3"/>
  <c r="J116" i="2" s="1"/>
  <c r="AZ125" i="3"/>
  <c r="AV125" i="3"/>
  <c r="I116" i="2" s="1"/>
  <c r="AQ125" i="3"/>
  <c r="H116" i="2" s="1"/>
  <c r="AI125" i="3"/>
  <c r="G116" i="2" s="1"/>
  <c r="AD125" i="3"/>
  <c r="F116" i="2" s="1"/>
  <c r="Y125" i="3"/>
  <c r="E116" i="2" s="1"/>
  <c r="L125" i="3"/>
  <c r="D116" i="2" s="1"/>
  <c r="G125" i="3"/>
  <c r="C116" i="2" s="1"/>
  <c r="BD124" i="3"/>
  <c r="J115" i="2" s="1"/>
  <c r="AZ124" i="3"/>
  <c r="AV124" i="3"/>
  <c r="I115" i="2" s="1"/>
  <c r="AQ124" i="3"/>
  <c r="H115" i="2" s="1"/>
  <c r="AI124" i="3"/>
  <c r="G115" i="2" s="1"/>
  <c r="AD124" i="3"/>
  <c r="F115" i="2" s="1"/>
  <c r="Y124" i="3"/>
  <c r="E115" i="2" s="1"/>
  <c r="L124" i="3"/>
  <c r="D115" i="2" s="1"/>
  <c r="G124" i="3"/>
  <c r="C115" i="2" s="1"/>
  <c r="BD123" i="3"/>
  <c r="J114" i="2" s="1"/>
  <c r="AZ123" i="3"/>
  <c r="AV123" i="3"/>
  <c r="I114" i="2" s="1"/>
  <c r="AQ123" i="3"/>
  <c r="H114" i="2" s="1"/>
  <c r="AI123" i="3"/>
  <c r="G114" i="2" s="1"/>
  <c r="AD123" i="3"/>
  <c r="F114" i="2" s="1"/>
  <c r="Y123" i="3"/>
  <c r="E114" i="2" s="1"/>
  <c r="L123" i="3"/>
  <c r="D114" i="2" s="1"/>
  <c r="G123" i="3"/>
  <c r="C114" i="2" s="1"/>
  <c r="BD122" i="3"/>
  <c r="J113" i="2" s="1"/>
  <c r="AZ122" i="3"/>
  <c r="AV122" i="3"/>
  <c r="I113" i="2" s="1"/>
  <c r="AQ122" i="3"/>
  <c r="H113" i="2" s="1"/>
  <c r="AI122" i="3"/>
  <c r="G113" i="2" s="1"/>
  <c r="AD122" i="3"/>
  <c r="F113" i="2" s="1"/>
  <c r="Y122" i="3"/>
  <c r="E113" i="2" s="1"/>
  <c r="L122" i="3"/>
  <c r="D113" i="2" s="1"/>
  <c r="G122" i="3"/>
  <c r="C113" i="2" s="1"/>
  <c r="BD121" i="3"/>
  <c r="J112" i="2" s="1"/>
  <c r="AZ121" i="3"/>
  <c r="AV121" i="3"/>
  <c r="I112" i="2" s="1"/>
  <c r="AQ121" i="3"/>
  <c r="H112" i="2" s="1"/>
  <c r="AI121" i="3"/>
  <c r="G112" i="2" s="1"/>
  <c r="AD121" i="3"/>
  <c r="F112" i="2" s="1"/>
  <c r="Y121" i="3"/>
  <c r="E112" i="2" s="1"/>
  <c r="L121" i="3"/>
  <c r="D112" i="2" s="1"/>
  <c r="G121" i="3"/>
  <c r="C112" i="2" s="1"/>
  <c r="BD120" i="3"/>
  <c r="J111" i="2" s="1"/>
  <c r="AZ120" i="3"/>
  <c r="AV120" i="3"/>
  <c r="I111" i="2" s="1"/>
  <c r="AQ120" i="3"/>
  <c r="H111" i="2" s="1"/>
  <c r="AI120" i="3"/>
  <c r="G111" i="2" s="1"/>
  <c r="AD120" i="3"/>
  <c r="F111" i="2" s="1"/>
  <c r="Y120" i="3"/>
  <c r="E111" i="2" s="1"/>
  <c r="L120" i="3"/>
  <c r="D111" i="2" s="1"/>
  <c r="G120" i="3"/>
  <c r="C111" i="2" s="1"/>
  <c r="BD119" i="3"/>
  <c r="J110" i="2" s="1"/>
  <c r="AZ119" i="3"/>
  <c r="AV119" i="3"/>
  <c r="I110" i="2" s="1"/>
  <c r="AQ119" i="3"/>
  <c r="H110" i="2" s="1"/>
  <c r="AI119" i="3"/>
  <c r="G110" i="2" s="1"/>
  <c r="AD119" i="3"/>
  <c r="F110" i="2" s="1"/>
  <c r="Y119" i="3"/>
  <c r="E110" i="2" s="1"/>
  <c r="L119" i="3"/>
  <c r="D110" i="2" s="1"/>
  <c r="G119" i="3"/>
  <c r="C110" i="2" s="1"/>
  <c r="BD118" i="3"/>
  <c r="J109" i="2" s="1"/>
  <c r="AZ118" i="3"/>
  <c r="AV118" i="3"/>
  <c r="I109" i="2" s="1"/>
  <c r="AQ118" i="3"/>
  <c r="H109" i="2" s="1"/>
  <c r="AI118" i="3"/>
  <c r="G109" i="2" s="1"/>
  <c r="AD118" i="3"/>
  <c r="F109" i="2" s="1"/>
  <c r="Y118" i="3"/>
  <c r="E109" i="2" s="1"/>
  <c r="L118" i="3"/>
  <c r="D109" i="2" s="1"/>
  <c r="G118" i="3"/>
  <c r="C109" i="2" s="1"/>
  <c r="BD117" i="3"/>
  <c r="J108" i="2" s="1"/>
  <c r="AZ117" i="3"/>
  <c r="AV117" i="3"/>
  <c r="I108" i="2" s="1"/>
  <c r="AQ117" i="3"/>
  <c r="H108" i="2" s="1"/>
  <c r="AI117" i="3"/>
  <c r="G108" i="2" s="1"/>
  <c r="AD117" i="3"/>
  <c r="F108" i="2" s="1"/>
  <c r="Y117" i="3"/>
  <c r="E108" i="2" s="1"/>
  <c r="L117" i="3"/>
  <c r="D108" i="2" s="1"/>
  <c r="G117" i="3"/>
  <c r="C108" i="2" s="1"/>
  <c r="BD116" i="3"/>
  <c r="J107" i="2" s="1"/>
  <c r="AZ116" i="3"/>
  <c r="AV116" i="3"/>
  <c r="I107" i="2" s="1"/>
  <c r="AQ116" i="3"/>
  <c r="H107" i="2" s="1"/>
  <c r="AI116" i="3"/>
  <c r="G107" i="2" s="1"/>
  <c r="AD116" i="3"/>
  <c r="F107" i="2" s="1"/>
  <c r="Y116" i="3"/>
  <c r="E107" i="2" s="1"/>
  <c r="L116" i="3"/>
  <c r="D107" i="2" s="1"/>
  <c r="G116" i="3"/>
  <c r="C107" i="2" s="1"/>
  <c r="BD114" i="3"/>
  <c r="J105" i="2" s="1"/>
  <c r="AZ114" i="3"/>
  <c r="AV114" i="3"/>
  <c r="I105" i="2" s="1"/>
  <c r="AQ114" i="3"/>
  <c r="H105" i="2" s="1"/>
  <c r="AI114" i="3"/>
  <c r="G105" i="2" s="1"/>
  <c r="AD114" i="3"/>
  <c r="F105" i="2" s="1"/>
  <c r="Y114" i="3"/>
  <c r="E105" i="2" s="1"/>
  <c r="L114" i="3"/>
  <c r="D105" i="2" s="1"/>
  <c r="G114" i="3"/>
  <c r="C105" i="2" s="1"/>
  <c r="BD113" i="3"/>
  <c r="J104" i="2" s="1"/>
  <c r="AZ113" i="3"/>
  <c r="AV113" i="3"/>
  <c r="I104" i="2" s="1"/>
  <c r="AQ113" i="3"/>
  <c r="H104" i="2" s="1"/>
  <c r="AI113" i="3"/>
  <c r="G104" i="2" s="1"/>
  <c r="AD113" i="3"/>
  <c r="F104" i="2" s="1"/>
  <c r="Y113" i="3"/>
  <c r="E104" i="2" s="1"/>
  <c r="L113" i="3"/>
  <c r="D104" i="2" s="1"/>
  <c r="G113" i="3"/>
  <c r="C104" i="2" s="1"/>
  <c r="BD112" i="3"/>
  <c r="J103" i="2" s="1"/>
  <c r="AZ112" i="3"/>
  <c r="AV112" i="3"/>
  <c r="I103" i="2" s="1"/>
  <c r="AQ112" i="3"/>
  <c r="H103" i="2" s="1"/>
  <c r="AI112" i="3"/>
  <c r="G103" i="2" s="1"/>
  <c r="AD112" i="3"/>
  <c r="F103" i="2" s="1"/>
  <c r="Y112" i="3"/>
  <c r="E103" i="2" s="1"/>
  <c r="L112" i="3"/>
  <c r="D103" i="2" s="1"/>
  <c r="G112" i="3"/>
  <c r="C103" i="2" s="1"/>
  <c r="BD111" i="3"/>
  <c r="J102" i="2" s="1"/>
  <c r="AZ111" i="3"/>
  <c r="AV111" i="3"/>
  <c r="I102" i="2" s="1"/>
  <c r="AQ111" i="3"/>
  <c r="H102" i="2" s="1"/>
  <c r="AI111" i="3"/>
  <c r="G102" i="2" s="1"/>
  <c r="AD111" i="3"/>
  <c r="F102" i="2" s="1"/>
  <c r="Y111" i="3"/>
  <c r="E102" i="2" s="1"/>
  <c r="L111" i="3"/>
  <c r="D102" i="2" s="1"/>
  <c r="G111" i="3"/>
  <c r="C102" i="2" s="1"/>
  <c r="BD110" i="3"/>
  <c r="J101" i="2" s="1"/>
  <c r="AZ110" i="3"/>
  <c r="AV110" i="3"/>
  <c r="I101" i="2" s="1"/>
  <c r="AQ110" i="3"/>
  <c r="H101" i="2" s="1"/>
  <c r="AI110" i="3"/>
  <c r="G101" i="2" s="1"/>
  <c r="AD110" i="3"/>
  <c r="F101" i="2" s="1"/>
  <c r="Y110" i="3"/>
  <c r="E101" i="2" s="1"/>
  <c r="L110" i="3"/>
  <c r="D101" i="2" s="1"/>
  <c r="G110" i="3"/>
  <c r="C101" i="2" s="1"/>
  <c r="BD109" i="3"/>
  <c r="J100" i="2" s="1"/>
  <c r="AZ109" i="3"/>
  <c r="AV109" i="3"/>
  <c r="I100" i="2" s="1"/>
  <c r="AQ109" i="3"/>
  <c r="H100" i="2" s="1"/>
  <c r="AI109" i="3"/>
  <c r="G100" i="2" s="1"/>
  <c r="AD109" i="3"/>
  <c r="F100" i="2" s="1"/>
  <c r="Y109" i="3"/>
  <c r="E100" i="2" s="1"/>
  <c r="L109" i="3"/>
  <c r="D100" i="2" s="1"/>
  <c r="G109" i="3"/>
  <c r="C100" i="2" s="1"/>
  <c r="BD108" i="3"/>
  <c r="J99" i="2" s="1"/>
  <c r="AZ108" i="3"/>
  <c r="AV108" i="3"/>
  <c r="I99" i="2" s="1"/>
  <c r="AQ108" i="3"/>
  <c r="H99" i="2" s="1"/>
  <c r="AI108" i="3"/>
  <c r="G99" i="2" s="1"/>
  <c r="AD108" i="3"/>
  <c r="F99" i="2" s="1"/>
  <c r="Y108" i="3"/>
  <c r="E99" i="2" s="1"/>
  <c r="L108" i="3"/>
  <c r="D99" i="2" s="1"/>
  <c r="G108" i="3"/>
  <c r="C99" i="2" s="1"/>
  <c r="BD107" i="3"/>
  <c r="J98" i="2" s="1"/>
  <c r="AZ107" i="3"/>
  <c r="AV107" i="3"/>
  <c r="I98" i="2" s="1"/>
  <c r="AQ107" i="3"/>
  <c r="H98" i="2" s="1"/>
  <c r="AI107" i="3"/>
  <c r="G98" i="2" s="1"/>
  <c r="AD107" i="3"/>
  <c r="F98" i="2" s="1"/>
  <c r="Y107" i="3"/>
  <c r="E98" i="2" s="1"/>
  <c r="L107" i="3"/>
  <c r="D98" i="2" s="1"/>
  <c r="G107" i="3"/>
  <c r="C98" i="2" s="1"/>
  <c r="BD106" i="3"/>
  <c r="J97" i="2" s="1"/>
  <c r="AZ106" i="3"/>
  <c r="AV106" i="3"/>
  <c r="I97" i="2" s="1"/>
  <c r="AQ106" i="3"/>
  <c r="H97" i="2" s="1"/>
  <c r="AI106" i="3"/>
  <c r="G97" i="2" s="1"/>
  <c r="AD106" i="3"/>
  <c r="F97" i="2" s="1"/>
  <c r="Y106" i="3"/>
  <c r="E97" i="2" s="1"/>
  <c r="L106" i="3"/>
  <c r="D97" i="2" s="1"/>
  <c r="G106" i="3"/>
  <c r="C97" i="2" s="1"/>
  <c r="BD105" i="3"/>
  <c r="J96" i="2" s="1"/>
  <c r="AZ105" i="3"/>
  <c r="AV105" i="3"/>
  <c r="I96" i="2" s="1"/>
  <c r="AQ105" i="3"/>
  <c r="H96" i="2" s="1"/>
  <c r="AI105" i="3"/>
  <c r="G96" i="2" s="1"/>
  <c r="AD105" i="3"/>
  <c r="F96" i="2" s="1"/>
  <c r="Y105" i="3"/>
  <c r="E96" i="2" s="1"/>
  <c r="L105" i="3"/>
  <c r="D96" i="2" s="1"/>
  <c r="G105" i="3"/>
  <c r="C96" i="2" s="1"/>
  <c r="BD104" i="3"/>
  <c r="J95" i="2" s="1"/>
  <c r="AZ104" i="3"/>
  <c r="AV104" i="3"/>
  <c r="I95" i="2" s="1"/>
  <c r="AQ104" i="3"/>
  <c r="H95" i="2" s="1"/>
  <c r="AI104" i="3"/>
  <c r="G95" i="2" s="1"/>
  <c r="AD104" i="3"/>
  <c r="F95" i="2" s="1"/>
  <c r="Y104" i="3"/>
  <c r="E95" i="2" s="1"/>
  <c r="L104" i="3"/>
  <c r="D95" i="2" s="1"/>
  <c r="G104" i="3"/>
  <c r="C95" i="2" s="1"/>
  <c r="BD103" i="3"/>
  <c r="J94" i="2" s="1"/>
  <c r="AZ103" i="3"/>
  <c r="AV103" i="3"/>
  <c r="I94" i="2" s="1"/>
  <c r="AQ103" i="3"/>
  <c r="H94" i="2" s="1"/>
  <c r="AI103" i="3"/>
  <c r="G94" i="2" s="1"/>
  <c r="AD103" i="3"/>
  <c r="F94" i="2" s="1"/>
  <c r="Y103" i="3"/>
  <c r="E94" i="2" s="1"/>
  <c r="L103" i="3"/>
  <c r="D94" i="2" s="1"/>
  <c r="G103" i="3"/>
  <c r="C94" i="2" s="1"/>
  <c r="BD102" i="3"/>
  <c r="J93" i="2" s="1"/>
  <c r="AZ102" i="3"/>
  <c r="AV102" i="3"/>
  <c r="I93" i="2" s="1"/>
  <c r="AQ102" i="3"/>
  <c r="H93" i="2" s="1"/>
  <c r="AI102" i="3"/>
  <c r="G93" i="2" s="1"/>
  <c r="AD102" i="3"/>
  <c r="F93" i="2" s="1"/>
  <c r="Y102" i="3"/>
  <c r="E93" i="2" s="1"/>
  <c r="L102" i="3"/>
  <c r="D93" i="2" s="1"/>
  <c r="G102" i="3"/>
  <c r="C93" i="2" s="1"/>
  <c r="BD101" i="3"/>
  <c r="J92" i="2" s="1"/>
  <c r="AZ101" i="3"/>
  <c r="AV101" i="3"/>
  <c r="I92" i="2" s="1"/>
  <c r="AQ101" i="3"/>
  <c r="H92" i="2" s="1"/>
  <c r="AI101" i="3"/>
  <c r="G92" i="2" s="1"/>
  <c r="AD101" i="3"/>
  <c r="F92" i="2" s="1"/>
  <c r="Y101" i="3"/>
  <c r="E92" i="2" s="1"/>
  <c r="L101" i="3"/>
  <c r="D92" i="2" s="1"/>
  <c r="G101" i="3"/>
  <c r="C92" i="2" s="1"/>
  <c r="BD100" i="3"/>
  <c r="J91" i="2" s="1"/>
  <c r="AZ100" i="3"/>
  <c r="AV100" i="3"/>
  <c r="I91" i="2" s="1"/>
  <c r="AQ100" i="3"/>
  <c r="H91" i="2" s="1"/>
  <c r="AI100" i="3"/>
  <c r="G91" i="2" s="1"/>
  <c r="AD100" i="3"/>
  <c r="F91" i="2" s="1"/>
  <c r="Y100" i="3"/>
  <c r="E91" i="2" s="1"/>
  <c r="L100" i="3"/>
  <c r="D91" i="2" s="1"/>
  <c r="G100" i="3"/>
  <c r="C91" i="2" s="1"/>
  <c r="BD99" i="3"/>
  <c r="J90" i="2" s="1"/>
  <c r="AZ99" i="3"/>
  <c r="AV99" i="3"/>
  <c r="I90" i="2" s="1"/>
  <c r="AQ99" i="3"/>
  <c r="H90" i="2" s="1"/>
  <c r="AI99" i="3"/>
  <c r="G90" i="2" s="1"/>
  <c r="AD99" i="3"/>
  <c r="F90" i="2" s="1"/>
  <c r="Y99" i="3"/>
  <c r="E90" i="2" s="1"/>
  <c r="L99" i="3"/>
  <c r="D90" i="2" s="1"/>
  <c r="G99" i="3"/>
  <c r="C90" i="2" s="1"/>
  <c r="BD97" i="3"/>
  <c r="J88" i="2" s="1"/>
  <c r="AZ97" i="3"/>
  <c r="AV97" i="3"/>
  <c r="I88" i="2" s="1"/>
  <c r="AQ97" i="3"/>
  <c r="H88" i="2" s="1"/>
  <c r="AI97" i="3"/>
  <c r="G88" i="2" s="1"/>
  <c r="AD97" i="3"/>
  <c r="F88" i="2" s="1"/>
  <c r="Y97" i="3"/>
  <c r="E88" i="2" s="1"/>
  <c r="L97" i="3"/>
  <c r="D88" i="2" s="1"/>
  <c r="G97" i="3"/>
  <c r="C88" i="2" s="1"/>
  <c r="BD96" i="3"/>
  <c r="J87" i="2" s="1"/>
  <c r="AZ96" i="3"/>
  <c r="AV96" i="3"/>
  <c r="I87" i="2" s="1"/>
  <c r="AQ96" i="3"/>
  <c r="H87" i="2" s="1"/>
  <c r="AI96" i="3"/>
  <c r="G87" i="2" s="1"/>
  <c r="AD96" i="3"/>
  <c r="F87" i="2" s="1"/>
  <c r="Y96" i="3"/>
  <c r="E87" i="2" s="1"/>
  <c r="L96" i="3"/>
  <c r="D87" i="2" s="1"/>
  <c r="G96" i="3"/>
  <c r="C87" i="2" s="1"/>
  <c r="BD95" i="3"/>
  <c r="J86" i="2" s="1"/>
  <c r="AZ95" i="3"/>
  <c r="AV95" i="3"/>
  <c r="I86" i="2" s="1"/>
  <c r="AQ95" i="3"/>
  <c r="H86" i="2" s="1"/>
  <c r="AI95" i="3"/>
  <c r="G86" i="2" s="1"/>
  <c r="AD95" i="3"/>
  <c r="F86" i="2" s="1"/>
  <c r="Y95" i="3"/>
  <c r="E86" i="2" s="1"/>
  <c r="L95" i="3"/>
  <c r="D86" i="2" s="1"/>
  <c r="G95" i="3"/>
  <c r="C86" i="2" s="1"/>
  <c r="BD94" i="3"/>
  <c r="J85" i="2" s="1"/>
  <c r="AZ94" i="3"/>
  <c r="AV94" i="3"/>
  <c r="I85" i="2" s="1"/>
  <c r="AQ94" i="3"/>
  <c r="H85" i="2" s="1"/>
  <c r="AI94" i="3"/>
  <c r="G85" i="2" s="1"/>
  <c r="AD94" i="3"/>
  <c r="F85" i="2" s="1"/>
  <c r="Y94" i="3"/>
  <c r="E85" i="2" s="1"/>
  <c r="L94" i="3"/>
  <c r="D85" i="2" s="1"/>
  <c r="G94" i="3"/>
  <c r="C85" i="2" s="1"/>
  <c r="BD93" i="3"/>
  <c r="J84" i="2" s="1"/>
  <c r="AZ93" i="3"/>
  <c r="AV93" i="3"/>
  <c r="I84" i="2" s="1"/>
  <c r="AQ93" i="3"/>
  <c r="H84" i="2" s="1"/>
  <c r="AI93" i="3"/>
  <c r="G84" i="2" s="1"/>
  <c r="AD93" i="3"/>
  <c r="F84" i="2" s="1"/>
  <c r="Y93" i="3"/>
  <c r="E84" i="2" s="1"/>
  <c r="L93" i="3"/>
  <c r="D84" i="2" s="1"/>
  <c r="G93" i="3"/>
  <c r="C84" i="2" s="1"/>
  <c r="BD92" i="3"/>
  <c r="J83" i="2" s="1"/>
  <c r="AZ92" i="3"/>
  <c r="AV92" i="3"/>
  <c r="I83" i="2" s="1"/>
  <c r="AQ92" i="3"/>
  <c r="H83" i="2" s="1"/>
  <c r="AI92" i="3"/>
  <c r="G83" i="2" s="1"/>
  <c r="AD92" i="3"/>
  <c r="F83" i="2" s="1"/>
  <c r="Y92" i="3"/>
  <c r="E83" i="2" s="1"/>
  <c r="L92" i="3"/>
  <c r="D83" i="2" s="1"/>
  <c r="G92" i="3"/>
  <c r="C83" i="2" s="1"/>
  <c r="BD91" i="3"/>
  <c r="J82" i="2" s="1"/>
  <c r="AZ91" i="3"/>
  <c r="AV91" i="3"/>
  <c r="I82" i="2" s="1"/>
  <c r="AQ91" i="3"/>
  <c r="H82" i="2" s="1"/>
  <c r="AI91" i="3"/>
  <c r="G82" i="2" s="1"/>
  <c r="AD91" i="3"/>
  <c r="F82" i="2" s="1"/>
  <c r="Y91" i="3"/>
  <c r="E82" i="2" s="1"/>
  <c r="L91" i="3"/>
  <c r="D82" i="2" s="1"/>
  <c r="G91" i="3"/>
  <c r="C82" i="2" s="1"/>
  <c r="BD90" i="3"/>
  <c r="J81" i="2" s="1"/>
  <c r="AZ90" i="3"/>
  <c r="AV90" i="3"/>
  <c r="I81" i="2" s="1"/>
  <c r="AQ90" i="3"/>
  <c r="H81" i="2" s="1"/>
  <c r="AI90" i="3"/>
  <c r="G81" i="2" s="1"/>
  <c r="AD90" i="3"/>
  <c r="F81" i="2" s="1"/>
  <c r="Y90" i="3"/>
  <c r="E81" i="2" s="1"/>
  <c r="L90" i="3"/>
  <c r="D81" i="2" s="1"/>
  <c r="G90" i="3"/>
  <c r="C81" i="2" s="1"/>
  <c r="BD89" i="3"/>
  <c r="J80" i="2" s="1"/>
  <c r="AZ89" i="3"/>
  <c r="AV89" i="3"/>
  <c r="I80" i="2" s="1"/>
  <c r="AQ89" i="3"/>
  <c r="H80" i="2" s="1"/>
  <c r="AI89" i="3"/>
  <c r="G80" i="2" s="1"/>
  <c r="AD89" i="3"/>
  <c r="F80" i="2" s="1"/>
  <c r="Y89" i="3"/>
  <c r="E80" i="2" s="1"/>
  <c r="L89" i="3"/>
  <c r="D80" i="2" s="1"/>
  <c r="G89" i="3"/>
  <c r="C80" i="2" s="1"/>
  <c r="BD88" i="3"/>
  <c r="J79" i="2" s="1"/>
  <c r="AZ88" i="3"/>
  <c r="AV88" i="3"/>
  <c r="I79" i="2" s="1"/>
  <c r="AQ88" i="3"/>
  <c r="H79" i="2" s="1"/>
  <c r="AI88" i="3"/>
  <c r="G79" i="2" s="1"/>
  <c r="AD88" i="3"/>
  <c r="F79" i="2" s="1"/>
  <c r="Y88" i="3"/>
  <c r="E79" i="2" s="1"/>
  <c r="L88" i="3"/>
  <c r="D79" i="2" s="1"/>
  <c r="G88" i="3"/>
  <c r="C79" i="2" s="1"/>
  <c r="BD87" i="3"/>
  <c r="J78" i="2" s="1"/>
  <c r="AZ87" i="3"/>
  <c r="AV87" i="3"/>
  <c r="I78" i="2" s="1"/>
  <c r="AQ87" i="3"/>
  <c r="H78" i="2" s="1"/>
  <c r="AI87" i="3"/>
  <c r="G78" i="2" s="1"/>
  <c r="AD87" i="3"/>
  <c r="F78" i="2" s="1"/>
  <c r="Y87" i="3"/>
  <c r="E78" i="2" s="1"/>
  <c r="L87" i="3"/>
  <c r="D78" i="2" s="1"/>
  <c r="G87" i="3"/>
  <c r="C78" i="2" s="1"/>
  <c r="BD86" i="3"/>
  <c r="J77" i="2" s="1"/>
  <c r="AZ86" i="3"/>
  <c r="AV86" i="3"/>
  <c r="I77" i="2" s="1"/>
  <c r="AQ86" i="3"/>
  <c r="H77" i="2" s="1"/>
  <c r="AI86" i="3"/>
  <c r="G77" i="2" s="1"/>
  <c r="AD86" i="3"/>
  <c r="F77" i="2" s="1"/>
  <c r="Y86" i="3"/>
  <c r="E77" i="2" s="1"/>
  <c r="L86" i="3"/>
  <c r="D77" i="2" s="1"/>
  <c r="G86" i="3"/>
  <c r="C77" i="2" s="1"/>
  <c r="BD85" i="3"/>
  <c r="J76" i="2" s="1"/>
  <c r="AZ85" i="3"/>
  <c r="AV85" i="3"/>
  <c r="I76" i="2" s="1"/>
  <c r="AQ85" i="3"/>
  <c r="H76" i="2" s="1"/>
  <c r="AI85" i="3"/>
  <c r="G76" i="2" s="1"/>
  <c r="AD85" i="3"/>
  <c r="F76" i="2" s="1"/>
  <c r="Y85" i="3"/>
  <c r="E76" i="2" s="1"/>
  <c r="L85" i="3"/>
  <c r="D76" i="2" s="1"/>
  <c r="G85" i="3"/>
  <c r="C76" i="2" s="1"/>
  <c r="BD84" i="3"/>
  <c r="J75" i="2" s="1"/>
  <c r="AZ84" i="3"/>
  <c r="AV84" i="3"/>
  <c r="I75" i="2" s="1"/>
  <c r="AQ84" i="3"/>
  <c r="H75" i="2" s="1"/>
  <c r="AI84" i="3"/>
  <c r="G75" i="2" s="1"/>
  <c r="AD84" i="3"/>
  <c r="F75" i="2" s="1"/>
  <c r="Y84" i="3"/>
  <c r="E75" i="2" s="1"/>
  <c r="L84" i="3"/>
  <c r="D75" i="2" s="1"/>
  <c r="G84" i="3"/>
  <c r="C75" i="2" s="1"/>
  <c r="BD83" i="3"/>
  <c r="J74" i="2" s="1"/>
  <c r="AZ83" i="3"/>
  <c r="AV83" i="3"/>
  <c r="I74" i="2" s="1"/>
  <c r="AQ83" i="3"/>
  <c r="H74" i="2" s="1"/>
  <c r="AI83" i="3"/>
  <c r="G74" i="2" s="1"/>
  <c r="AD83" i="3"/>
  <c r="F74" i="2" s="1"/>
  <c r="Y83" i="3"/>
  <c r="E74" i="2" s="1"/>
  <c r="L83" i="3"/>
  <c r="D74" i="2" s="1"/>
  <c r="G83" i="3"/>
  <c r="C74" i="2" s="1"/>
  <c r="BD82" i="3"/>
  <c r="J73" i="2" s="1"/>
  <c r="AZ82" i="3"/>
  <c r="AV82" i="3"/>
  <c r="I73" i="2" s="1"/>
  <c r="AQ82" i="3"/>
  <c r="H73" i="2" s="1"/>
  <c r="AI82" i="3"/>
  <c r="G73" i="2" s="1"/>
  <c r="AD82" i="3"/>
  <c r="F73" i="2" s="1"/>
  <c r="Y82" i="3"/>
  <c r="E73" i="2" s="1"/>
  <c r="L82" i="3"/>
  <c r="D73" i="2" s="1"/>
  <c r="G82" i="3"/>
  <c r="C73" i="2" s="1"/>
  <c r="BD80" i="3"/>
  <c r="J71" i="2" s="1"/>
  <c r="AZ80" i="3"/>
  <c r="AV80" i="3"/>
  <c r="I71" i="2" s="1"/>
  <c r="AQ80" i="3"/>
  <c r="H71" i="2" s="1"/>
  <c r="AI80" i="3"/>
  <c r="G71" i="2" s="1"/>
  <c r="AD80" i="3"/>
  <c r="F71" i="2" s="1"/>
  <c r="Y80" i="3"/>
  <c r="E71" i="2" s="1"/>
  <c r="L80" i="3"/>
  <c r="D71" i="2" s="1"/>
  <c r="G80" i="3"/>
  <c r="C71" i="2" s="1"/>
  <c r="BD79" i="3"/>
  <c r="J70" i="2" s="1"/>
  <c r="AZ79" i="3"/>
  <c r="AV79" i="3"/>
  <c r="I70" i="2" s="1"/>
  <c r="AQ79" i="3"/>
  <c r="H70" i="2" s="1"/>
  <c r="AI79" i="3"/>
  <c r="G70" i="2" s="1"/>
  <c r="AD79" i="3"/>
  <c r="F70" i="2" s="1"/>
  <c r="Y79" i="3"/>
  <c r="E70" i="2" s="1"/>
  <c r="L79" i="3"/>
  <c r="D70" i="2" s="1"/>
  <c r="G79" i="3"/>
  <c r="C70" i="2" s="1"/>
  <c r="BD78" i="3"/>
  <c r="J69" i="2" s="1"/>
  <c r="AZ78" i="3"/>
  <c r="AV78" i="3"/>
  <c r="I69" i="2" s="1"/>
  <c r="AQ78" i="3"/>
  <c r="H69" i="2" s="1"/>
  <c r="AI78" i="3"/>
  <c r="G69" i="2" s="1"/>
  <c r="AD78" i="3"/>
  <c r="F69" i="2" s="1"/>
  <c r="Y78" i="3"/>
  <c r="E69" i="2" s="1"/>
  <c r="L78" i="3"/>
  <c r="D69" i="2" s="1"/>
  <c r="G78" i="3"/>
  <c r="C69" i="2" s="1"/>
  <c r="BD77" i="3"/>
  <c r="J68" i="2" s="1"/>
  <c r="AZ77" i="3"/>
  <c r="AV77" i="3"/>
  <c r="I68" i="2" s="1"/>
  <c r="AQ77" i="3"/>
  <c r="H68" i="2" s="1"/>
  <c r="AI77" i="3"/>
  <c r="G68" i="2" s="1"/>
  <c r="AD77" i="3"/>
  <c r="F68" i="2" s="1"/>
  <c r="Y77" i="3"/>
  <c r="E68" i="2" s="1"/>
  <c r="L77" i="3"/>
  <c r="D68" i="2" s="1"/>
  <c r="G77" i="3"/>
  <c r="C68" i="2" s="1"/>
  <c r="BD76" i="3"/>
  <c r="J67" i="2" s="1"/>
  <c r="AZ76" i="3"/>
  <c r="AV76" i="3"/>
  <c r="I67" i="2" s="1"/>
  <c r="AQ76" i="3"/>
  <c r="H67" i="2" s="1"/>
  <c r="AI76" i="3"/>
  <c r="G67" i="2" s="1"/>
  <c r="AD76" i="3"/>
  <c r="F67" i="2" s="1"/>
  <c r="Y76" i="3"/>
  <c r="E67" i="2" s="1"/>
  <c r="L76" i="3"/>
  <c r="D67" i="2" s="1"/>
  <c r="G76" i="3"/>
  <c r="C67" i="2" s="1"/>
  <c r="BD75" i="3"/>
  <c r="J66" i="2" s="1"/>
  <c r="AZ75" i="3"/>
  <c r="AV75" i="3"/>
  <c r="I66" i="2" s="1"/>
  <c r="AQ75" i="3"/>
  <c r="H66" i="2" s="1"/>
  <c r="AI75" i="3"/>
  <c r="G66" i="2" s="1"/>
  <c r="AD75" i="3"/>
  <c r="F66" i="2" s="1"/>
  <c r="Y75" i="3"/>
  <c r="E66" i="2" s="1"/>
  <c r="L75" i="3"/>
  <c r="D66" i="2" s="1"/>
  <c r="G75" i="3"/>
  <c r="C66" i="2" s="1"/>
  <c r="BD74" i="3"/>
  <c r="J65" i="2" s="1"/>
  <c r="AZ74" i="3"/>
  <c r="AV74" i="3"/>
  <c r="I65" i="2" s="1"/>
  <c r="AQ74" i="3"/>
  <c r="H65" i="2" s="1"/>
  <c r="AI74" i="3"/>
  <c r="G65" i="2" s="1"/>
  <c r="AD74" i="3"/>
  <c r="F65" i="2" s="1"/>
  <c r="Y74" i="3"/>
  <c r="E65" i="2" s="1"/>
  <c r="L74" i="3"/>
  <c r="D65" i="2" s="1"/>
  <c r="G74" i="3"/>
  <c r="C65" i="2" s="1"/>
  <c r="BD73" i="3"/>
  <c r="J64" i="2" s="1"/>
  <c r="AZ73" i="3"/>
  <c r="AV73" i="3"/>
  <c r="I64" i="2" s="1"/>
  <c r="AQ73" i="3"/>
  <c r="H64" i="2" s="1"/>
  <c r="AI73" i="3"/>
  <c r="G64" i="2" s="1"/>
  <c r="AD73" i="3"/>
  <c r="F64" i="2" s="1"/>
  <c r="Y73" i="3"/>
  <c r="E64" i="2" s="1"/>
  <c r="L73" i="3"/>
  <c r="D64" i="2" s="1"/>
  <c r="G73" i="3"/>
  <c r="C64" i="2" s="1"/>
  <c r="BD72" i="3"/>
  <c r="J63" i="2" s="1"/>
  <c r="AZ72" i="3"/>
  <c r="AV72" i="3"/>
  <c r="I63" i="2" s="1"/>
  <c r="AQ72" i="3"/>
  <c r="H63" i="2" s="1"/>
  <c r="AI72" i="3"/>
  <c r="G63" i="2" s="1"/>
  <c r="AD72" i="3"/>
  <c r="F63" i="2" s="1"/>
  <c r="Y72" i="3"/>
  <c r="E63" i="2" s="1"/>
  <c r="L72" i="3"/>
  <c r="D63" i="2" s="1"/>
  <c r="G72" i="3"/>
  <c r="C63" i="2" s="1"/>
  <c r="BD71" i="3"/>
  <c r="J62" i="2" s="1"/>
  <c r="AZ71" i="3"/>
  <c r="AV71" i="3"/>
  <c r="I62" i="2" s="1"/>
  <c r="AQ71" i="3"/>
  <c r="H62" i="2" s="1"/>
  <c r="AI71" i="3"/>
  <c r="G62" i="2" s="1"/>
  <c r="AD71" i="3"/>
  <c r="F62" i="2" s="1"/>
  <c r="Y71" i="3"/>
  <c r="E62" i="2" s="1"/>
  <c r="L71" i="3"/>
  <c r="D62" i="2" s="1"/>
  <c r="G71" i="3"/>
  <c r="C62" i="2" s="1"/>
  <c r="BD70" i="3"/>
  <c r="J61" i="2" s="1"/>
  <c r="AZ70" i="3"/>
  <c r="AV70" i="3"/>
  <c r="I61" i="2" s="1"/>
  <c r="AQ70" i="3"/>
  <c r="H61" i="2" s="1"/>
  <c r="AI70" i="3"/>
  <c r="G61" i="2" s="1"/>
  <c r="AD70" i="3"/>
  <c r="F61" i="2" s="1"/>
  <c r="Y70" i="3"/>
  <c r="E61" i="2" s="1"/>
  <c r="L70" i="3"/>
  <c r="D61" i="2" s="1"/>
  <c r="G70" i="3"/>
  <c r="C61" i="2" s="1"/>
  <c r="BD69" i="3"/>
  <c r="J60" i="2" s="1"/>
  <c r="AZ69" i="3"/>
  <c r="AV69" i="3"/>
  <c r="I60" i="2" s="1"/>
  <c r="AQ69" i="3"/>
  <c r="H60" i="2" s="1"/>
  <c r="AI69" i="3"/>
  <c r="G60" i="2" s="1"/>
  <c r="AD69" i="3"/>
  <c r="F60" i="2" s="1"/>
  <c r="Y69" i="3"/>
  <c r="E60" i="2" s="1"/>
  <c r="L69" i="3"/>
  <c r="D60" i="2" s="1"/>
  <c r="G69" i="3"/>
  <c r="C60" i="2" s="1"/>
  <c r="BD68" i="3"/>
  <c r="J59" i="2" s="1"/>
  <c r="AZ68" i="3"/>
  <c r="AV68" i="3"/>
  <c r="I59" i="2" s="1"/>
  <c r="AQ68" i="3"/>
  <c r="H59" i="2" s="1"/>
  <c r="AI68" i="3"/>
  <c r="G59" i="2" s="1"/>
  <c r="AD68" i="3"/>
  <c r="F59" i="2" s="1"/>
  <c r="Y68" i="3"/>
  <c r="E59" i="2" s="1"/>
  <c r="L68" i="3"/>
  <c r="D59" i="2" s="1"/>
  <c r="G68" i="3"/>
  <c r="C59" i="2" s="1"/>
  <c r="BD67" i="3"/>
  <c r="J58" i="2" s="1"/>
  <c r="AZ67" i="3"/>
  <c r="AV67" i="3"/>
  <c r="I58" i="2" s="1"/>
  <c r="AQ67" i="3"/>
  <c r="H58" i="2" s="1"/>
  <c r="AI67" i="3"/>
  <c r="G58" i="2" s="1"/>
  <c r="AD67" i="3"/>
  <c r="F58" i="2" s="1"/>
  <c r="Y67" i="3"/>
  <c r="E58" i="2" s="1"/>
  <c r="L67" i="3"/>
  <c r="D58" i="2" s="1"/>
  <c r="G67" i="3"/>
  <c r="C58" i="2" s="1"/>
  <c r="BD66" i="3"/>
  <c r="J57" i="2" s="1"/>
  <c r="AZ66" i="3"/>
  <c r="AV66" i="3"/>
  <c r="I57" i="2" s="1"/>
  <c r="AQ66" i="3"/>
  <c r="H57" i="2" s="1"/>
  <c r="AI66" i="3"/>
  <c r="G57" i="2" s="1"/>
  <c r="AD66" i="3"/>
  <c r="F57" i="2" s="1"/>
  <c r="Y66" i="3"/>
  <c r="E57" i="2" s="1"/>
  <c r="L66" i="3"/>
  <c r="D57" i="2" s="1"/>
  <c r="G66" i="3"/>
  <c r="C57" i="2" s="1"/>
  <c r="BD65" i="3"/>
  <c r="J56" i="2" s="1"/>
  <c r="AZ65" i="3"/>
  <c r="AV65" i="3"/>
  <c r="I56" i="2" s="1"/>
  <c r="AQ65" i="3"/>
  <c r="H56" i="2" s="1"/>
  <c r="AI65" i="3"/>
  <c r="G56" i="2" s="1"/>
  <c r="AD65" i="3"/>
  <c r="F56" i="2" s="1"/>
  <c r="Y65" i="3"/>
  <c r="E56" i="2" s="1"/>
  <c r="L65" i="3"/>
  <c r="D56" i="2" s="1"/>
  <c r="G65" i="3"/>
  <c r="C56" i="2" s="1"/>
  <c r="BD63" i="3"/>
  <c r="J54" i="2" s="1"/>
  <c r="AZ63" i="3"/>
  <c r="AV63" i="3"/>
  <c r="I54" i="2" s="1"/>
  <c r="AQ63" i="3"/>
  <c r="H54" i="2" s="1"/>
  <c r="AI63" i="3"/>
  <c r="G54" i="2" s="1"/>
  <c r="AD63" i="3"/>
  <c r="F54" i="2" s="1"/>
  <c r="Y63" i="3"/>
  <c r="E54" i="2" s="1"/>
  <c r="L63" i="3"/>
  <c r="D54" i="2" s="1"/>
  <c r="G63" i="3"/>
  <c r="C54" i="2" s="1"/>
  <c r="BD62" i="3"/>
  <c r="J53" i="2" s="1"/>
  <c r="AZ62" i="3"/>
  <c r="AV62" i="3"/>
  <c r="I53" i="2" s="1"/>
  <c r="AQ62" i="3"/>
  <c r="H53" i="2" s="1"/>
  <c r="AI62" i="3"/>
  <c r="G53" i="2" s="1"/>
  <c r="AD62" i="3"/>
  <c r="F53" i="2" s="1"/>
  <c r="Y62" i="3"/>
  <c r="E53" i="2" s="1"/>
  <c r="L62" i="3"/>
  <c r="D53" i="2" s="1"/>
  <c r="G62" i="3"/>
  <c r="C53" i="2" s="1"/>
  <c r="BD61" i="3"/>
  <c r="J52" i="2" s="1"/>
  <c r="AZ61" i="3"/>
  <c r="AV61" i="3"/>
  <c r="I52" i="2" s="1"/>
  <c r="AQ61" i="3"/>
  <c r="H52" i="2" s="1"/>
  <c r="AI61" i="3"/>
  <c r="G52" i="2" s="1"/>
  <c r="AD61" i="3"/>
  <c r="F52" i="2" s="1"/>
  <c r="Y61" i="3"/>
  <c r="E52" i="2" s="1"/>
  <c r="L61" i="3"/>
  <c r="D52" i="2" s="1"/>
  <c r="G61" i="3"/>
  <c r="C52" i="2" s="1"/>
  <c r="BD60" i="3"/>
  <c r="J51" i="2" s="1"/>
  <c r="AZ60" i="3"/>
  <c r="AV60" i="3"/>
  <c r="I51" i="2" s="1"/>
  <c r="AQ60" i="3"/>
  <c r="H51" i="2" s="1"/>
  <c r="AI60" i="3"/>
  <c r="G51" i="2" s="1"/>
  <c r="AD60" i="3"/>
  <c r="F51" i="2" s="1"/>
  <c r="Y60" i="3"/>
  <c r="E51" i="2" s="1"/>
  <c r="L60" i="3"/>
  <c r="D51" i="2" s="1"/>
  <c r="G60" i="3"/>
  <c r="C51" i="2" s="1"/>
  <c r="BD59" i="3"/>
  <c r="J50" i="2" s="1"/>
  <c r="AZ59" i="3"/>
  <c r="AV59" i="3"/>
  <c r="I50" i="2" s="1"/>
  <c r="AQ59" i="3"/>
  <c r="H50" i="2" s="1"/>
  <c r="AI59" i="3"/>
  <c r="G50" i="2" s="1"/>
  <c r="AD59" i="3"/>
  <c r="F50" i="2" s="1"/>
  <c r="Y59" i="3"/>
  <c r="E50" i="2" s="1"/>
  <c r="L59" i="3"/>
  <c r="D50" i="2" s="1"/>
  <c r="G59" i="3"/>
  <c r="C50" i="2" s="1"/>
  <c r="BD58" i="3"/>
  <c r="J49" i="2" s="1"/>
  <c r="AZ58" i="3"/>
  <c r="AV58" i="3"/>
  <c r="I49" i="2" s="1"/>
  <c r="AQ58" i="3"/>
  <c r="H49" i="2" s="1"/>
  <c r="AI58" i="3"/>
  <c r="G49" i="2" s="1"/>
  <c r="AD58" i="3"/>
  <c r="F49" i="2" s="1"/>
  <c r="Y58" i="3"/>
  <c r="E49" i="2" s="1"/>
  <c r="L58" i="3"/>
  <c r="D49" i="2" s="1"/>
  <c r="G58" i="3"/>
  <c r="C49" i="2" s="1"/>
  <c r="BD57" i="3"/>
  <c r="J48" i="2" s="1"/>
  <c r="AZ57" i="3"/>
  <c r="AV57" i="3"/>
  <c r="I48" i="2" s="1"/>
  <c r="AQ57" i="3"/>
  <c r="H48" i="2" s="1"/>
  <c r="AI57" i="3"/>
  <c r="G48" i="2" s="1"/>
  <c r="AD57" i="3"/>
  <c r="F48" i="2" s="1"/>
  <c r="Y57" i="3"/>
  <c r="E48" i="2" s="1"/>
  <c r="L57" i="3"/>
  <c r="D48" i="2" s="1"/>
  <c r="G57" i="3"/>
  <c r="C48" i="2" s="1"/>
  <c r="BD56" i="3"/>
  <c r="J47" i="2" s="1"/>
  <c r="AZ56" i="3"/>
  <c r="AV56" i="3"/>
  <c r="I47" i="2" s="1"/>
  <c r="AQ56" i="3"/>
  <c r="H47" i="2" s="1"/>
  <c r="AI56" i="3"/>
  <c r="G47" i="2" s="1"/>
  <c r="AD56" i="3"/>
  <c r="F47" i="2" s="1"/>
  <c r="Y56" i="3"/>
  <c r="E47" i="2" s="1"/>
  <c r="L56" i="3"/>
  <c r="D47" i="2" s="1"/>
  <c r="G56" i="3"/>
  <c r="C47" i="2" s="1"/>
  <c r="BD55" i="3"/>
  <c r="J46" i="2" s="1"/>
  <c r="AZ55" i="3"/>
  <c r="AV55" i="3"/>
  <c r="I46" i="2" s="1"/>
  <c r="AQ55" i="3"/>
  <c r="H46" i="2" s="1"/>
  <c r="AI55" i="3"/>
  <c r="G46" i="2" s="1"/>
  <c r="AD55" i="3"/>
  <c r="F46" i="2" s="1"/>
  <c r="Y55" i="3"/>
  <c r="E46" i="2" s="1"/>
  <c r="L55" i="3"/>
  <c r="D46" i="2" s="1"/>
  <c r="G55" i="3"/>
  <c r="C46" i="2" s="1"/>
  <c r="BD54" i="3"/>
  <c r="J45" i="2" s="1"/>
  <c r="AZ54" i="3"/>
  <c r="AV54" i="3"/>
  <c r="I45" i="2" s="1"/>
  <c r="AQ54" i="3"/>
  <c r="H45" i="2" s="1"/>
  <c r="AI54" i="3"/>
  <c r="G45" i="2" s="1"/>
  <c r="AD54" i="3"/>
  <c r="F45" i="2" s="1"/>
  <c r="Y54" i="3"/>
  <c r="E45" i="2" s="1"/>
  <c r="L54" i="3"/>
  <c r="D45" i="2" s="1"/>
  <c r="G54" i="3"/>
  <c r="C45" i="2" s="1"/>
  <c r="BD53" i="3"/>
  <c r="J44" i="2" s="1"/>
  <c r="AZ53" i="3"/>
  <c r="AV53" i="3"/>
  <c r="I44" i="2" s="1"/>
  <c r="AQ53" i="3"/>
  <c r="H44" i="2" s="1"/>
  <c r="AI53" i="3"/>
  <c r="G44" i="2" s="1"/>
  <c r="AD53" i="3"/>
  <c r="F44" i="2" s="1"/>
  <c r="Y53" i="3"/>
  <c r="E44" i="2" s="1"/>
  <c r="L53" i="3"/>
  <c r="D44" i="2" s="1"/>
  <c r="G53" i="3"/>
  <c r="C44" i="2" s="1"/>
  <c r="BD52" i="3"/>
  <c r="J43" i="2" s="1"/>
  <c r="AZ52" i="3"/>
  <c r="AV52" i="3"/>
  <c r="I43" i="2" s="1"/>
  <c r="AQ52" i="3"/>
  <c r="H43" i="2" s="1"/>
  <c r="AI52" i="3"/>
  <c r="G43" i="2" s="1"/>
  <c r="AD52" i="3"/>
  <c r="F43" i="2" s="1"/>
  <c r="Y52" i="3"/>
  <c r="E43" i="2" s="1"/>
  <c r="L52" i="3"/>
  <c r="D43" i="2" s="1"/>
  <c r="G52" i="3"/>
  <c r="C43" i="2" s="1"/>
  <c r="BD51" i="3"/>
  <c r="J42" i="2" s="1"/>
  <c r="AZ51" i="3"/>
  <c r="AV51" i="3"/>
  <c r="I42" i="2" s="1"/>
  <c r="AQ51" i="3"/>
  <c r="H42" i="2" s="1"/>
  <c r="AI51" i="3"/>
  <c r="G42" i="2" s="1"/>
  <c r="AD51" i="3"/>
  <c r="F42" i="2" s="1"/>
  <c r="Y51" i="3"/>
  <c r="E42" i="2" s="1"/>
  <c r="L51" i="3"/>
  <c r="D42" i="2" s="1"/>
  <c r="G51" i="3"/>
  <c r="C42" i="2" s="1"/>
  <c r="BD50" i="3"/>
  <c r="J41" i="2" s="1"/>
  <c r="AZ50" i="3"/>
  <c r="AV50" i="3"/>
  <c r="I41" i="2" s="1"/>
  <c r="AQ50" i="3"/>
  <c r="H41" i="2" s="1"/>
  <c r="AI50" i="3"/>
  <c r="G41" i="2" s="1"/>
  <c r="AD50" i="3"/>
  <c r="F41" i="2" s="1"/>
  <c r="Y50" i="3"/>
  <c r="E41" i="2" s="1"/>
  <c r="L50" i="3"/>
  <c r="D41" i="2" s="1"/>
  <c r="G50" i="3"/>
  <c r="C41" i="2" s="1"/>
  <c r="BD49" i="3"/>
  <c r="J40" i="2" s="1"/>
  <c r="AZ49" i="3"/>
  <c r="AV49" i="3"/>
  <c r="I40" i="2" s="1"/>
  <c r="AQ49" i="3"/>
  <c r="H40" i="2" s="1"/>
  <c r="AI49" i="3"/>
  <c r="G40" i="2" s="1"/>
  <c r="AD49" i="3"/>
  <c r="F40" i="2" s="1"/>
  <c r="Y49" i="3"/>
  <c r="E40" i="2" s="1"/>
  <c r="L49" i="3"/>
  <c r="D40" i="2" s="1"/>
  <c r="G49" i="3"/>
  <c r="C40" i="2" s="1"/>
  <c r="BD48" i="3"/>
  <c r="J39" i="2" s="1"/>
  <c r="AZ48" i="3"/>
  <c r="AV48" i="3"/>
  <c r="I39" i="2" s="1"/>
  <c r="AQ48" i="3"/>
  <c r="H39" i="2" s="1"/>
  <c r="AI48" i="3"/>
  <c r="G39" i="2" s="1"/>
  <c r="AD48" i="3"/>
  <c r="F39" i="2" s="1"/>
  <c r="Y48" i="3"/>
  <c r="E39" i="2" s="1"/>
  <c r="L48" i="3"/>
  <c r="D39" i="2" s="1"/>
  <c r="G48" i="3"/>
  <c r="C39" i="2" s="1"/>
  <c r="BD46" i="3"/>
  <c r="J37" i="2" s="1"/>
  <c r="AZ46" i="3"/>
  <c r="AV46" i="3"/>
  <c r="I37" i="2" s="1"/>
  <c r="AQ46" i="3"/>
  <c r="H37" i="2" s="1"/>
  <c r="AI46" i="3"/>
  <c r="G37" i="2" s="1"/>
  <c r="AD46" i="3"/>
  <c r="F37" i="2" s="1"/>
  <c r="Y46" i="3"/>
  <c r="E37" i="2" s="1"/>
  <c r="L46" i="3"/>
  <c r="D37" i="2" s="1"/>
  <c r="G46" i="3"/>
  <c r="C37" i="2" s="1"/>
  <c r="BD45" i="3"/>
  <c r="J36" i="2" s="1"/>
  <c r="AZ45" i="3"/>
  <c r="AV45" i="3"/>
  <c r="I36" i="2" s="1"/>
  <c r="AQ45" i="3"/>
  <c r="H36" i="2" s="1"/>
  <c r="AI45" i="3"/>
  <c r="G36" i="2" s="1"/>
  <c r="AD45" i="3"/>
  <c r="F36" i="2" s="1"/>
  <c r="Y45" i="3"/>
  <c r="E36" i="2" s="1"/>
  <c r="L45" i="3"/>
  <c r="D36" i="2" s="1"/>
  <c r="G45" i="3"/>
  <c r="C36" i="2" s="1"/>
  <c r="BD44" i="3"/>
  <c r="J35" i="2" s="1"/>
  <c r="AZ44" i="3"/>
  <c r="AV44" i="3"/>
  <c r="I35" i="2" s="1"/>
  <c r="AQ44" i="3"/>
  <c r="H35" i="2" s="1"/>
  <c r="AI44" i="3"/>
  <c r="G35" i="2" s="1"/>
  <c r="AD44" i="3"/>
  <c r="F35" i="2" s="1"/>
  <c r="Y44" i="3"/>
  <c r="E35" i="2" s="1"/>
  <c r="L44" i="3"/>
  <c r="D35" i="2" s="1"/>
  <c r="G44" i="3"/>
  <c r="C35" i="2" s="1"/>
  <c r="BD43" i="3"/>
  <c r="J34" i="2" s="1"/>
  <c r="AZ43" i="3"/>
  <c r="AV43" i="3"/>
  <c r="I34" i="2" s="1"/>
  <c r="AQ43" i="3"/>
  <c r="H34" i="2" s="1"/>
  <c r="AI43" i="3"/>
  <c r="G34" i="2" s="1"/>
  <c r="AD43" i="3"/>
  <c r="F34" i="2" s="1"/>
  <c r="Y43" i="3"/>
  <c r="E34" i="2" s="1"/>
  <c r="L43" i="3"/>
  <c r="D34" i="2" s="1"/>
  <c r="G43" i="3"/>
  <c r="C34" i="2" s="1"/>
  <c r="BD42" i="3"/>
  <c r="J33" i="2" s="1"/>
  <c r="AZ42" i="3"/>
  <c r="AV42" i="3"/>
  <c r="I33" i="2" s="1"/>
  <c r="AQ42" i="3"/>
  <c r="H33" i="2" s="1"/>
  <c r="AI42" i="3"/>
  <c r="G33" i="2" s="1"/>
  <c r="AD42" i="3"/>
  <c r="F33" i="2" s="1"/>
  <c r="Y42" i="3"/>
  <c r="E33" i="2" s="1"/>
  <c r="L42" i="3"/>
  <c r="D33" i="2" s="1"/>
  <c r="G42" i="3"/>
  <c r="C33" i="2" s="1"/>
  <c r="BD41" i="3"/>
  <c r="J32" i="2" s="1"/>
  <c r="AZ41" i="3"/>
  <c r="AV41" i="3"/>
  <c r="I32" i="2" s="1"/>
  <c r="AQ41" i="3"/>
  <c r="H32" i="2" s="1"/>
  <c r="AI41" i="3"/>
  <c r="G32" i="2" s="1"/>
  <c r="AD41" i="3"/>
  <c r="F32" i="2" s="1"/>
  <c r="Y41" i="3"/>
  <c r="E32" i="2" s="1"/>
  <c r="L41" i="3"/>
  <c r="D32" i="2" s="1"/>
  <c r="G41" i="3"/>
  <c r="C32" i="2" s="1"/>
  <c r="BD40" i="3"/>
  <c r="J31" i="2" s="1"/>
  <c r="AZ40" i="3"/>
  <c r="AV40" i="3"/>
  <c r="I31" i="2" s="1"/>
  <c r="AQ40" i="3"/>
  <c r="H31" i="2" s="1"/>
  <c r="AI40" i="3"/>
  <c r="G31" i="2" s="1"/>
  <c r="AD40" i="3"/>
  <c r="F31" i="2" s="1"/>
  <c r="Y40" i="3"/>
  <c r="E31" i="2" s="1"/>
  <c r="L40" i="3"/>
  <c r="D31" i="2" s="1"/>
  <c r="G40" i="3"/>
  <c r="C31" i="2" s="1"/>
  <c r="BD39" i="3"/>
  <c r="J30" i="2" s="1"/>
  <c r="AZ39" i="3"/>
  <c r="AV39" i="3"/>
  <c r="I30" i="2" s="1"/>
  <c r="AQ39" i="3"/>
  <c r="H30" i="2" s="1"/>
  <c r="AI39" i="3"/>
  <c r="G30" i="2" s="1"/>
  <c r="AD39" i="3"/>
  <c r="F30" i="2" s="1"/>
  <c r="Y39" i="3"/>
  <c r="E30" i="2" s="1"/>
  <c r="L39" i="3"/>
  <c r="D30" i="2" s="1"/>
  <c r="G39" i="3"/>
  <c r="C30" i="2" s="1"/>
  <c r="BD38" i="3"/>
  <c r="J29" i="2" s="1"/>
  <c r="AZ38" i="3"/>
  <c r="AV38" i="3"/>
  <c r="I29" i="2" s="1"/>
  <c r="AQ38" i="3"/>
  <c r="H29" i="2" s="1"/>
  <c r="AI38" i="3"/>
  <c r="G29" i="2" s="1"/>
  <c r="AD38" i="3"/>
  <c r="F29" i="2" s="1"/>
  <c r="Y38" i="3"/>
  <c r="E29" i="2" s="1"/>
  <c r="L38" i="3"/>
  <c r="D29" i="2" s="1"/>
  <c r="G38" i="3"/>
  <c r="C29" i="2" s="1"/>
  <c r="BD37" i="3"/>
  <c r="J28" i="2" s="1"/>
  <c r="AZ37" i="3"/>
  <c r="AV37" i="3"/>
  <c r="I28" i="2" s="1"/>
  <c r="AQ37" i="3"/>
  <c r="H28" i="2" s="1"/>
  <c r="AI37" i="3"/>
  <c r="G28" i="2" s="1"/>
  <c r="AD37" i="3"/>
  <c r="F28" i="2" s="1"/>
  <c r="Y37" i="3"/>
  <c r="E28" i="2" s="1"/>
  <c r="L37" i="3"/>
  <c r="D28" i="2" s="1"/>
  <c r="G37" i="3"/>
  <c r="C28" i="2" s="1"/>
  <c r="BD36" i="3"/>
  <c r="J27" i="2" s="1"/>
  <c r="AZ36" i="3"/>
  <c r="AV36" i="3"/>
  <c r="I27" i="2" s="1"/>
  <c r="AQ36" i="3"/>
  <c r="H27" i="2" s="1"/>
  <c r="AI36" i="3"/>
  <c r="G27" i="2" s="1"/>
  <c r="AD36" i="3"/>
  <c r="F27" i="2" s="1"/>
  <c r="Y36" i="3"/>
  <c r="E27" i="2" s="1"/>
  <c r="L36" i="3"/>
  <c r="D27" i="2" s="1"/>
  <c r="G36" i="3"/>
  <c r="C27" i="2" s="1"/>
  <c r="BD35" i="3"/>
  <c r="J26" i="2" s="1"/>
  <c r="AZ35" i="3"/>
  <c r="AV35" i="3"/>
  <c r="I26" i="2" s="1"/>
  <c r="AQ35" i="3"/>
  <c r="H26" i="2" s="1"/>
  <c r="AI35" i="3"/>
  <c r="G26" i="2" s="1"/>
  <c r="AD35" i="3"/>
  <c r="F26" i="2" s="1"/>
  <c r="Y35" i="3"/>
  <c r="E26" i="2" s="1"/>
  <c r="L35" i="3"/>
  <c r="D26" i="2" s="1"/>
  <c r="G35" i="3"/>
  <c r="C26" i="2" s="1"/>
  <c r="BD34" i="3"/>
  <c r="J25" i="2" s="1"/>
  <c r="AZ34" i="3"/>
  <c r="AV34" i="3"/>
  <c r="I25" i="2" s="1"/>
  <c r="AQ34" i="3"/>
  <c r="H25" i="2" s="1"/>
  <c r="AI34" i="3"/>
  <c r="G25" i="2" s="1"/>
  <c r="AD34" i="3"/>
  <c r="F25" i="2" s="1"/>
  <c r="Y34" i="3"/>
  <c r="E25" i="2" s="1"/>
  <c r="L34" i="3"/>
  <c r="D25" i="2" s="1"/>
  <c r="G34" i="3"/>
  <c r="C25" i="2" s="1"/>
  <c r="BD33" i="3"/>
  <c r="J24" i="2" s="1"/>
  <c r="AZ33" i="3"/>
  <c r="AV33" i="3"/>
  <c r="I24" i="2" s="1"/>
  <c r="AQ33" i="3"/>
  <c r="H24" i="2" s="1"/>
  <c r="AI33" i="3"/>
  <c r="G24" i="2" s="1"/>
  <c r="AD33" i="3"/>
  <c r="F24" i="2" s="1"/>
  <c r="Y33" i="3"/>
  <c r="E24" i="2" s="1"/>
  <c r="L33" i="3"/>
  <c r="D24" i="2" s="1"/>
  <c r="G33" i="3"/>
  <c r="C24" i="2" s="1"/>
  <c r="BD32" i="3"/>
  <c r="J23" i="2" s="1"/>
  <c r="AZ32" i="3"/>
  <c r="AV32" i="3"/>
  <c r="I23" i="2" s="1"/>
  <c r="AQ32" i="3"/>
  <c r="H23" i="2" s="1"/>
  <c r="AI32" i="3"/>
  <c r="G23" i="2" s="1"/>
  <c r="AD32" i="3"/>
  <c r="F23" i="2" s="1"/>
  <c r="Y32" i="3"/>
  <c r="E23" i="2" s="1"/>
  <c r="L32" i="3"/>
  <c r="D23" i="2" s="1"/>
  <c r="G32" i="3"/>
  <c r="C23" i="2" s="1"/>
  <c r="BD31" i="3"/>
  <c r="J22" i="2" s="1"/>
  <c r="AZ31" i="3"/>
  <c r="AV31" i="3"/>
  <c r="I22" i="2" s="1"/>
  <c r="AQ31" i="3"/>
  <c r="H22" i="2" s="1"/>
  <c r="AI31" i="3"/>
  <c r="G22" i="2" s="1"/>
  <c r="AD31" i="3"/>
  <c r="F22" i="2" s="1"/>
  <c r="Y31" i="3"/>
  <c r="E22" i="2" s="1"/>
  <c r="L31" i="3"/>
  <c r="D22" i="2" s="1"/>
  <c r="G31" i="3"/>
  <c r="C22" i="2" s="1"/>
  <c r="BD29" i="3"/>
  <c r="J20" i="2" s="1"/>
  <c r="AZ29" i="3"/>
  <c r="AV29" i="3"/>
  <c r="I20" i="2" s="1"/>
  <c r="AQ29" i="3"/>
  <c r="H20" i="2" s="1"/>
  <c r="AI29" i="3"/>
  <c r="G20" i="2" s="1"/>
  <c r="AD29" i="3"/>
  <c r="F20" i="2" s="1"/>
  <c r="Y29" i="3"/>
  <c r="E20" i="2" s="1"/>
  <c r="L29" i="3"/>
  <c r="G29" i="3"/>
  <c r="C20" i="2" s="1"/>
  <c r="BD28" i="3"/>
  <c r="J19" i="2" s="1"/>
  <c r="AZ28" i="3"/>
  <c r="AV28" i="3"/>
  <c r="I19" i="2" s="1"/>
  <c r="AQ28" i="3"/>
  <c r="H19" i="2" s="1"/>
  <c r="AI28" i="3"/>
  <c r="G19" i="2" s="1"/>
  <c r="AD28" i="3"/>
  <c r="F19" i="2" s="1"/>
  <c r="Y28" i="3"/>
  <c r="E19" i="2" s="1"/>
  <c r="L28" i="3"/>
  <c r="D19" i="2" s="1"/>
  <c r="G28" i="3"/>
  <c r="C19" i="2" s="1"/>
  <c r="BD27" i="3"/>
  <c r="J18" i="2" s="1"/>
  <c r="AZ27" i="3"/>
  <c r="AV27" i="3"/>
  <c r="I18" i="2" s="1"/>
  <c r="AQ27" i="3"/>
  <c r="H18" i="2" s="1"/>
  <c r="AI27" i="3"/>
  <c r="G18" i="2" s="1"/>
  <c r="AD27" i="3"/>
  <c r="F18" i="2" s="1"/>
  <c r="Y27" i="3"/>
  <c r="E18" i="2" s="1"/>
  <c r="L27" i="3"/>
  <c r="D18" i="2" s="1"/>
  <c r="G27" i="3"/>
  <c r="C18" i="2" s="1"/>
  <c r="BD26" i="3"/>
  <c r="J17" i="2" s="1"/>
  <c r="AZ26" i="3"/>
  <c r="AV26" i="3"/>
  <c r="I17" i="2" s="1"/>
  <c r="AQ26" i="3"/>
  <c r="H17" i="2" s="1"/>
  <c r="AI26" i="3"/>
  <c r="AD26" i="3"/>
  <c r="F17" i="2" s="1"/>
  <c r="Y26" i="3"/>
  <c r="E17" i="2" s="1"/>
  <c r="L26" i="3"/>
  <c r="D17" i="2" s="1"/>
  <c r="G26" i="3"/>
  <c r="C17" i="2" s="1"/>
  <c r="BD25" i="3"/>
  <c r="J16" i="2" s="1"/>
  <c r="AZ25" i="3"/>
  <c r="AV25" i="3"/>
  <c r="I16" i="2" s="1"/>
  <c r="AQ25" i="3"/>
  <c r="H16" i="2" s="1"/>
  <c r="AI25" i="3"/>
  <c r="G16" i="2" s="1"/>
  <c r="AD25" i="3"/>
  <c r="F16" i="2" s="1"/>
  <c r="Y25" i="3"/>
  <c r="E16" i="2" s="1"/>
  <c r="L25" i="3"/>
  <c r="D16" i="2" s="1"/>
  <c r="G25" i="3"/>
  <c r="C16" i="2" s="1"/>
  <c r="BD24" i="3"/>
  <c r="J15" i="2" s="1"/>
  <c r="AZ24" i="3"/>
  <c r="AV24" i="3"/>
  <c r="I15" i="2" s="1"/>
  <c r="AQ24" i="3"/>
  <c r="H15" i="2" s="1"/>
  <c r="AI24" i="3"/>
  <c r="G15" i="2" s="1"/>
  <c r="AD24" i="3"/>
  <c r="F15" i="2" s="1"/>
  <c r="Y24" i="3"/>
  <c r="E15" i="2" s="1"/>
  <c r="L24" i="3"/>
  <c r="D15" i="2" s="1"/>
  <c r="G24" i="3"/>
  <c r="C15" i="2" s="1"/>
  <c r="BD23" i="3"/>
  <c r="J14" i="2" s="1"/>
  <c r="AZ23" i="3"/>
  <c r="AV23" i="3"/>
  <c r="I14" i="2" s="1"/>
  <c r="AQ23" i="3"/>
  <c r="H14" i="2" s="1"/>
  <c r="AI23" i="3"/>
  <c r="G14" i="2" s="1"/>
  <c r="AD23" i="3"/>
  <c r="F14" i="2" s="1"/>
  <c r="Y23" i="3"/>
  <c r="E14" i="2" s="1"/>
  <c r="L23" i="3"/>
  <c r="G23" i="3"/>
  <c r="C14" i="2" s="1"/>
  <c r="BD22" i="3"/>
  <c r="J13" i="2" s="1"/>
  <c r="AZ22" i="3"/>
  <c r="AV22" i="3"/>
  <c r="I13" i="2" s="1"/>
  <c r="AQ22" i="3"/>
  <c r="H13" i="2" s="1"/>
  <c r="AI22" i="3"/>
  <c r="G13" i="2" s="1"/>
  <c r="AD22" i="3"/>
  <c r="F13" i="2" s="1"/>
  <c r="Y22" i="3"/>
  <c r="E13" i="2" s="1"/>
  <c r="L22" i="3"/>
  <c r="D13" i="2" s="1"/>
  <c r="G22" i="3"/>
  <c r="C13" i="2" s="1"/>
  <c r="BD21" i="3"/>
  <c r="J12" i="2" s="1"/>
  <c r="AZ21" i="3"/>
  <c r="AV21" i="3"/>
  <c r="I12" i="2" s="1"/>
  <c r="AQ21" i="3"/>
  <c r="H12" i="2" s="1"/>
  <c r="AI21" i="3"/>
  <c r="G12" i="2" s="1"/>
  <c r="AD21" i="3"/>
  <c r="F12" i="2" s="1"/>
  <c r="Y21" i="3"/>
  <c r="E12" i="2" s="1"/>
  <c r="L21" i="3"/>
  <c r="D12" i="2" s="1"/>
  <c r="G21" i="3"/>
  <c r="C12" i="2" s="1"/>
  <c r="BD20" i="3"/>
  <c r="J11" i="2" s="1"/>
  <c r="AZ20" i="3"/>
  <c r="AV20" i="3"/>
  <c r="I11" i="2" s="1"/>
  <c r="AQ20" i="3"/>
  <c r="AI20" i="3"/>
  <c r="G11" i="2" s="1"/>
  <c r="AD20" i="3"/>
  <c r="F11" i="2" s="1"/>
  <c r="Y20" i="3"/>
  <c r="E11" i="2" s="1"/>
  <c r="L20" i="3"/>
  <c r="D11" i="2" s="1"/>
  <c r="G20" i="3"/>
  <c r="C11" i="2" s="1"/>
  <c r="BD19" i="3"/>
  <c r="J10" i="2" s="1"/>
  <c r="AZ19" i="3"/>
  <c r="AV19" i="3"/>
  <c r="I10" i="2" s="1"/>
  <c r="AQ19" i="3"/>
  <c r="H10" i="2" s="1"/>
  <c r="AI19" i="3"/>
  <c r="G10" i="2" s="1"/>
  <c r="AD19" i="3"/>
  <c r="F10" i="2" s="1"/>
  <c r="Y19" i="3"/>
  <c r="E10" i="2" s="1"/>
  <c r="L19" i="3"/>
  <c r="D10" i="2" s="1"/>
  <c r="G19" i="3"/>
  <c r="C10" i="2" s="1"/>
  <c r="BD18" i="3"/>
  <c r="J9" i="2" s="1"/>
  <c r="AZ18" i="3"/>
  <c r="AV18" i="3"/>
  <c r="I9" i="2" s="1"/>
  <c r="AQ18" i="3"/>
  <c r="H9" i="2" s="1"/>
  <c r="AI18" i="3"/>
  <c r="G9" i="2" s="1"/>
  <c r="AD18" i="3"/>
  <c r="F9" i="2" s="1"/>
  <c r="Y18" i="3"/>
  <c r="E9" i="2" s="1"/>
  <c r="L18" i="3"/>
  <c r="G18" i="3"/>
  <c r="C9" i="2" s="1"/>
  <c r="BD17" i="3"/>
  <c r="J8" i="2" s="1"/>
  <c r="AZ17" i="3"/>
  <c r="AV17" i="3"/>
  <c r="I8" i="2" s="1"/>
  <c r="AQ17" i="3"/>
  <c r="H8" i="2" s="1"/>
  <c r="AI17" i="3"/>
  <c r="G8" i="2" s="1"/>
  <c r="AD17" i="3"/>
  <c r="F8" i="2" s="1"/>
  <c r="Y17" i="3"/>
  <c r="E8" i="2" s="1"/>
  <c r="L17" i="3"/>
  <c r="D8" i="2" s="1"/>
  <c r="G17" i="3"/>
  <c r="C8" i="2" s="1"/>
  <c r="BD16" i="3"/>
  <c r="J7" i="2" s="1"/>
  <c r="AZ16" i="3"/>
  <c r="AV16" i="3"/>
  <c r="I7" i="2" s="1"/>
  <c r="AQ16" i="3"/>
  <c r="H7" i="2" s="1"/>
  <c r="AI16" i="3"/>
  <c r="G7" i="2" s="1"/>
  <c r="AD16" i="3"/>
  <c r="F7" i="2" s="1"/>
  <c r="Y16" i="3"/>
  <c r="E7" i="2" s="1"/>
  <c r="L16" i="3"/>
  <c r="G16" i="3"/>
  <c r="C7" i="2" s="1"/>
  <c r="BD15" i="3"/>
  <c r="J6" i="2" s="1"/>
  <c r="AZ15" i="3"/>
  <c r="AV15" i="3"/>
  <c r="I6" i="2" s="1"/>
  <c r="AQ15" i="3"/>
  <c r="H6" i="2" s="1"/>
  <c r="AI15" i="3"/>
  <c r="G6" i="2" s="1"/>
  <c r="AD15" i="3"/>
  <c r="F6" i="2" s="1"/>
  <c r="Y15" i="3"/>
  <c r="E6" i="2" s="1"/>
  <c r="L15" i="3"/>
  <c r="G15" i="3"/>
  <c r="C6" i="2" s="1"/>
  <c r="BD14" i="3"/>
  <c r="J5" i="2" s="1"/>
  <c r="B17" i="1" s="1"/>
  <c r="AZ14" i="3"/>
  <c r="AV14" i="3"/>
  <c r="I5" i="2" s="1"/>
  <c r="B16" i="1" s="1"/>
  <c r="AQ14" i="3"/>
  <c r="H5" i="2" s="1"/>
  <c r="B15" i="1" s="1"/>
  <c r="AI14" i="3"/>
  <c r="G5" i="2" s="1"/>
  <c r="B14" i="1" s="1"/>
  <c r="AD14" i="3"/>
  <c r="F5" i="2" s="1"/>
  <c r="B13" i="1" s="1"/>
  <c r="Y14" i="3"/>
  <c r="E5" i="2" s="1"/>
  <c r="B12" i="1" s="1"/>
  <c r="L14" i="3"/>
  <c r="G14" i="3"/>
  <c r="C5" i="2" s="1"/>
  <c r="B10" i="1" s="1"/>
  <c r="AM8" i="3"/>
  <c r="AX4" i="3"/>
  <c r="AK4" i="3"/>
  <c r="K4" i="3"/>
  <c r="J4" i="3"/>
  <c r="I4" i="3"/>
  <c r="H4" i="3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3" i="2"/>
  <c r="O168" i="2"/>
  <c r="O165" i="2"/>
  <c r="O160" i="2"/>
  <c r="O156" i="2"/>
  <c r="O149" i="2"/>
  <c r="O148" i="2"/>
  <c r="O141" i="2"/>
  <c r="O132" i="2"/>
  <c r="O124" i="2"/>
  <c r="N3" i="2"/>
  <c r="C21" i="1" s="1"/>
  <c r="M3" i="2"/>
  <c r="C20" i="1" s="1"/>
  <c r="L3" i="2"/>
  <c r="C19" i="1" s="1"/>
  <c r="K3" i="2"/>
  <c r="C18" i="1" s="1"/>
  <c r="B21" i="1"/>
  <c r="B20" i="1"/>
  <c r="B19" i="1"/>
  <c r="B18" i="1"/>
  <c r="B6" i="1"/>
  <c r="B5" i="1"/>
  <c r="O114" i="2" l="1"/>
  <c r="O122" i="2"/>
  <c r="O107" i="2"/>
  <c r="O115" i="2"/>
  <c r="O117" i="2"/>
  <c r="O118" i="2"/>
  <c r="O119" i="2"/>
  <c r="O120" i="2"/>
  <c r="O121" i="2"/>
  <c r="O116" i="2"/>
  <c r="O110" i="2"/>
  <c r="O113" i="2"/>
  <c r="O109" i="2"/>
  <c r="O111" i="2"/>
  <c r="O112" i="2"/>
  <c r="O108" i="2"/>
  <c r="O96" i="2"/>
  <c r="O104" i="2"/>
  <c r="O97" i="2"/>
  <c r="O105" i="2"/>
  <c r="O90" i="2"/>
  <c r="O98" i="2"/>
  <c r="O91" i="2"/>
  <c r="O99" i="2"/>
  <c r="O92" i="2"/>
  <c r="O100" i="2"/>
  <c r="O93" i="2"/>
  <c r="O101" i="2"/>
  <c r="O94" i="2"/>
  <c r="O102" i="2"/>
  <c r="O95" i="2"/>
  <c r="O103" i="2"/>
  <c r="O81" i="2"/>
  <c r="O74" i="2"/>
  <c r="O82" i="2"/>
  <c r="O73" i="2"/>
  <c r="O86" i="2"/>
  <c r="O77" i="2"/>
  <c r="O80" i="2"/>
  <c r="O83" i="2"/>
  <c r="O87" i="2"/>
  <c r="O75" i="2"/>
  <c r="O78" i="2"/>
  <c r="O85" i="2"/>
  <c r="O76" i="2"/>
  <c r="O79" i="2"/>
  <c r="O84" i="2"/>
  <c r="O88" i="2"/>
  <c r="O62" i="2"/>
  <c r="O70" i="2"/>
  <c r="O63" i="2"/>
  <c r="O71" i="2"/>
  <c r="O56" i="2"/>
  <c r="O64" i="2"/>
  <c r="O57" i="2"/>
  <c r="O65" i="2"/>
  <c r="O58" i="2"/>
  <c r="O66" i="2"/>
  <c r="O59" i="2"/>
  <c r="O67" i="2"/>
  <c r="O60" i="2"/>
  <c r="O68" i="2"/>
  <c r="O61" i="2"/>
  <c r="O69" i="2"/>
  <c r="O47" i="2"/>
  <c r="O39" i="2"/>
  <c r="O48" i="2"/>
  <c r="O41" i="2"/>
  <c r="O46" i="2"/>
  <c r="O51" i="2"/>
  <c r="O45" i="2"/>
  <c r="O53" i="2"/>
  <c r="O44" i="2"/>
  <c r="O52" i="2"/>
  <c r="O42" i="2"/>
  <c r="O50" i="2"/>
  <c r="O43" i="2"/>
  <c r="O54" i="2"/>
  <c r="O40" i="2"/>
  <c r="O49" i="2"/>
  <c r="O38" i="2" s="1"/>
  <c r="BF140" i="3"/>
  <c r="BF148" i="3"/>
  <c r="BF157" i="3"/>
  <c r="O29" i="2"/>
  <c r="BF165" i="3"/>
  <c r="BF174" i="3"/>
  <c r="BF182" i="3"/>
  <c r="O37" i="2"/>
  <c r="O22" i="2"/>
  <c r="O30" i="2"/>
  <c r="O25" i="2"/>
  <c r="O31" i="2"/>
  <c r="BF65" i="3"/>
  <c r="BF82" i="3"/>
  <c r="BF107" i="3"/>
  <c r="BF116" i="3"/>
  <c r="O27" i="2"/>
  <c r="O33" i="2"/>
  <c r="O36" i="2"/>
  <c r="O23" i="2"/>
  <c r="O35" i="2"/>
  <c r="O24" i="2"/>
  <c r="O34" i="2"/>
  <c r="O32" i="2"/>
  <c r="O26" i="2"/>
  <c r="O28" i="2"/>
  <c r="BF57" i="3"/>
  <c r="BF43" i="3"/>
  <c r="BF100" i="3"/>
  <c r="BF35" i="3"/>
  <c r="O19" i="2"/>
  <c r="BF77" i="3"/>
  <c r="BF93" i="3"/>
  <c r="BF94" i="3"/>
  <c r="BF60" i="3"/>
  <c r="BF86" i="3"/>
  <c r="BF103" i="3"/>
  <c r="BF34" i="3"/>
  <c r="BF26" i="3"/>
  <c r="BF31" i="3"/>
  <c r="BF78" i="3"/>
  <c r="BF14" i="3"/>
  <c r="BF22" i="3"/>
  <c r="BF56" i="3"/>
  <c r="BF71" i="3"/>
  <c r="BF75" i="3"/>
  <c r="BF48" i="3"/>
  <c r="BF69" i="3"/>
  <c r="BF90" i="3"/>
  <c r="BF99" i="3"/>
  <c r="O8" i="2"/>
  <c r="O12" i="2"/>
  <c r="O16" i="2"/>
  <c r="O10" i="2"/>
  <c r="I3" i="2"/>
  <c r="C16" i="1" s="1"/>
  <c r="O18" i="2"/>
  <c r="J3" i="2"/>
  <c r="C17" i="1" s="1"/>
  <c r="O15" i="2"/>
  <c r="F3" i="2"/>
  <c r="C13" i="1" s="1"/>
  <c r="BF15" i="3"/>
  <c r="BF29" i="3"/>
  <c r="BF51" i="3"/>
  <c r="BF79" i="3"/>
  <c r="BF87" i="3"/>
  <c r="BF117" i="3"/>
  <c r="BF124" i="3"/>
  <c r="BF134" i="3"/>
  <c r="BF141" i="3"/>
  <c r="BF142" i="3"/>
  <c r="BF150" i="3"/>
  <c r="BF151" i="3"/>
  <c r="BF158" i="3"/>
  <c r="BF159" i="3"/>
  <c r="BF167" i="3"/>
  <c r="BF168" i="3"/>
  <c r="BF175" i="3"/>
  <c r="BF176" i="3"/>
  <c r="D20" i="2"/>
  <c r="O20" i="2" s="1"/>
  <c r="D5" i="2"/>
  <c r="B11" i="1" s="1"/>
  <c r="E3" i="2"/>
  <c r="C12" i="1" s="1"/>
  <c r="BF58" i="3"/>
  <c r="BF85" i="3"/>
  <c r="BF101" i="3"/>
  <c r="BF108" i="3"/>
  <c r="BF125" i="3"/>
  <c r="BF133" i="3"/>
  <c r="BF16" i="3"/>
  <c r="BF20" i="3"/>
  <c r="BF23" i="3"/>
  <c r="BF37" i="3"/>
  <c r="BF41" i="3"/>
  <c r="BF52" i="3"/>
  <c r="BF62" i="3"/>
  <c r="BF66" i="3"/>
  <c r="BF73" i="3"/>
  <c r="BF80" i="3"/>
  <c r="BF102" i="3"/>
  <c r="BF109" i="3"/>
  <c r="BF113" i="3"/>
  <c r="BF123" i="3"/>
  <c r="BF131" i="3"/>
  <c r="H11" i="2"/>
  <c r="H3" i="2" s="1"/>
  <c r="C15" i="1" s="1"/>
  <c r="BF38" i="3"/>
  <c r="BF67" i="3"/>
  <c r="BF72" i="3"/>
  <c r="BF89" i="3"/>
  <c r="BF95" i="3"/>
  <c r="BF118" i="3"/>
  <c r="BF135" i="3"/>
  <c r="BF139" i="3"/>
  <c r="BF143" i="3"/>
  <c r="BF147" i="3"/>
  <c r="BF152" i="3"/>
  <c r="BF160" i="3"/>
  <c r="BF169" i="3"/>
  <c r="BF177" i="3"/>
  <c r="BF45" i="3"/>
  <c r="BF74" i="3"/>
  <c r="BF18" i="3"/>
  <c r="BF28" i="3"/>
  <c r="BF32" i="3"/>
  <c r="BF39" i="3"/>
  <c r="BF44" i="3"/>
  <c r="BF50" i="3"/>
  <c r="BF54" i="3"/>
  <c r="BF59" i="3"/>
  <c r="BF68" i="3"/>
  <c r="BF96" i="3"/>
  <c r="BF111" i="3"/>
  <c r="BF119" i="3"/>
  <c r="BF127" i="3"/>
  <c r="BF136" i="3"/>
  <c r="BF144" i="3"/>
  <c r="BF153" i="3"/>
  <c r="BF161" i="3"/>
  <c r="BF170" i="3"/>
  <c r="BF178" i="3"/>
  <c r="D9" i="2"/>
  <c r="O9" i="2" s="1"/>
  <c r="G17" i="2"/>
  <c r="O17" i="2" s="1"/>
  <c r="BF19" i="3"/>
  <c r="BF33" i="3"/>
  <c r="BF53" i="3"/>
  <c r="BF83" i="3"/>
  <c r="BF110" i="3"/>
  <c r="BF120" i="3"/>
  <c r="BF128" i="3"/>
  <c r="BF137" i="3"/>
  <c r="BF145" i="3"/>
  <c r="BF154" i="3"/>
  <c r="BF162" i="3"/>
  <c r="BF163" i="3"/>
  <c r="BF171" i="3"/>
  <c r="BF172" i="3"/>
  <c r="BF179" i="3"/>
  <c r="BF180" i="3"/>
  <c r="BF17" i="3"/>
  <c r="BF40" i="3"/>
  <c r="BF55" i="3"/>
  <c r="BF76" i="3"/>
  <c r="BF104" i="3"/>
  <c r="BF112" i="3"/>
  <c r="BF121" i="3"/>
  <c r="BF129" i="3"/>
  <c r="BF138" i="3"/>
  <c r="BF146" i="3"/>
  <c r="BF155" i="3"/>
  <c r="BF25" i="3"/>
  <c r="BF46" i="3"/>
  <c r="BF84" i="3"/>
  <c r="BF88" i="3"/>
  <c r="BF91" i="3"/>
  <c r="BF105" i="3"/>
  <c r="D7" i="2"/>
  <c r="O7" i="2" s="1"/>
  <c r="BF21" i="3"/>
  <c r="BF24" i="3"/>
  <c r="BF27" i="3"/>
  <c r="BF36" i="3"/>
  <c r="BF42" i="3"/>
  <c r="BF49" i="3"/>
  <c r="BF61" i="3"/>
  <c r="BF63" i="3"/>
  <c r="BF70" i="3"/>
  <c r="BF92" i="3"/>
  <c r="BF97" i="3"/>
  <c r="BF106" i="3"/>
  <c r="BF114" i="3"/>
  <c r="BF122" i="3"/>
  <c r="BF126" i="3"/>
  <c r="BF130" i="3"/>
  <c r="BF156" i="3"/>
  <c r="BF164" i="3"/>
  <c r="BF173" i="3"/>
  <c r="BF181" i="3"/>
  <c r="D14" i="2"/>
  <c r="O14" i="2" s="1"/>
  <c r="D6" i="2"/>
  <c r="O6" i="2" s="1"/>
  <c r="O13" i="2"/>
  <c r="C3" i="2"/>
  <c r="C10" i="1" s="1"/>
  <c r="O123" i="2"/>
  <c r="O140" i="2"/>
  <c r="O157" i="2"/>
  <c r="O174" i="2"/>
  <c r="O55" i="2" l="1"/>
  <c r="O72" i="2"/>
  <c r="O106" i="2"/>
  <c r="O89" i="2"/>
  <c r="O21" i="2"/>
  <c r="D3" i="2"/>
  <c r="C11" i="1" s="1"/>
  <c r="G3" i="2"/>
  <c r="C14" i="1" s="1"/>
  <c r="O5" i="2"/>
  <c r="B7" i="1" s="1"/>
  <c r="O11" i="2"/>
  <c r="O4" i="2" l="1"/>
  <c r="O3" i="2" s="1"/>
  <c r="D7" i="1" s="1"/>
</calcChain>
</file>

<file path=xl/sharedStrings.xml><?xml version="1.0" encoding="utf-8"?>
<sst xmlns="http://schemas.openxmlformats.org/spreadsheetml/2006/main" count="340" uniqueCount="105">
  <si>
    <t>Apartment Progress Viewer</t>
  </si>
  <si>
    <t>Enter Apartment No:</t>
  </si>
  <si>
    <t>▶ Select / Edit Apartment</t>
  </si>
  <si>
    <t>Apartment No:</t>
  </si>
  <si>
    <t>Floor:</t>
  </si>
  <si>
    <t>Total Progress:</t>
  </si>
  <si>
    <t>I-Tower Overall:</t>
  </si>
  <si>
    <t>Activity</t>
  </si>
  <si>
    <t>Progress</t>
  </si>
  <si>
    <t>I-Tower Avg</t>
  </si>
  <si>
    <t>MEP Work</t>
  </si>
  <si>
    <t>Ceiling</t>
  </si>
  <si>
    <t>Tile Work</t>
  </si>
  <si>
    <t>Paint Work</t>
  </si>
  <si>
    <t>Aluminum Work</t>
  </si>
  <si>
    <t>Wood Work</t>
  </si>
  <si>
    <t>MEP Fixtures</t>
  </si>
  <si>
    <t>MS Work</t>
  </si>
  <si>
    <t>External Plaster</t>
  </si>
  <si>
    <t>External Travertine</t>
  </si>
  <si>
    <t>External Paint</t>
  </si>
  <si>
    <t>Cleaning</t>
  </si>
  <si>
    <t>Apartment No</t>
  </si>
  <si>
    <t>Floor</t>
  </si>
  <si>
    <t>Progress %</t>
  </si>
  <si>
    <t>I Tower Progress</t>
  </si>
  <si>
    <t>Floor 1</t>
  </si>
  <si>
    <t>1</t>
  </si>
  <si>
    <t>Floor 2</t>
  </si>
  <si>
    <t>2</t>
  </si>
  <si>
    <t>Floor 3</t>
  </si>
  <si>
    <t>3</t>
  </si>
  <si>
    <t>Floor 4</t>
  </si>
  <si>
    <t>4</t>
  </si>
  <si>
    <t>Floor 5</t>
  </si>
  <si>
    <t>5</t>
  </si>
  <si>
    <t>Floor 6</t>
  </si>
  <si>
    <t>6</t>
  </si>
  <si>
    <t>Floor 7</t>
  </si>
  <si>
    <t>7</t>
  </si>
  <si>
    <t>Floor 8</t>
  </si>
  <si>
    <t>8</t>
  </si>
  <si>
    <t>Floor 9</t>
  </si>
  <si>
    <t>9</t>
  </si>
  <si>
    <t>Floor 10</t>
  </si>
  <si>
    <t>10</t>
  </si>
  <si>
    <t>Floor 11</t>
  </si>
  <si>
    <t>11</t>
  </si>
  <si>
    <t>Celing</t>
  </si>
  <si>
    <t>Tiles Works</t>
  </si>
  <si>
    <t>Bath Floors Tiles</t>
  </si>
  <si>
    <t>Bath Walls Tiles</t>
  </si>
  <si>
    <t>Paint Works</t>
  </si>
  <si>
    <t xml:space="preserve">Alluminium Window Work </t>
  </si>
  <si>
    <t xml:space="preserve">Balcony </t>
  </si>
  <si>
    <t>Wood Works</t>
  </si>
  <si>
    <t>Fi0%tures</t>
  </si>
  <si>
    <t>Corridor Works</t>
  </si>
  <si>
    <t>Elec Work</t>
  </si>
  <si>
    <t>Plumb Works</t>
  </si>
  <si>
    <t>Plasterworks</t>
  </si>
  <si>
    <t>AC Copper</t>
  </si>
  <si>
    <t>BED 1+Bath</t>
  </si>
  <si>
    <t>Lounge</t>
  </si>
  <si>
    <t>Kitchen</t>
  </si>
  <si>
    <t>BED 2+Bath</t>
  </si>
  <si>
    <t>BED LEFT</t>
  </si>
  <si>
    <t>LOUNGE</t>
  </si>
  <si>
    <t>KITCHEN</t>
  </si>
  <si>
    <t>Marble Sills</t>
  </si>
  <si>
    <t>Tiles</t>
  </si>
  <si>
    <t>Celing +Paint</t>
  </si>
  <si>
    <t>LEFT BED</t>
  </si>
  <si>
    <t>BED 2+BATH</t>
  </si>
  <si>
    <t>DOORS</t>
  </si>
  <si>
    <t xml:space="preserve">Lighting </t>
  </si>
  <si>
    <t>Plumbing</t>
  </si>
  <si>
    <t>Switch Socket</t>
  </si>
  <si>
    <t>Finishes</t>
  </si>
  <si>
    <t>Railing</t>
  </si>
  <si>
    <t>Louvers</t>
  </si>
  <si>
    <t>Fi0%tures+Paints</t>
  </si>
  <si>
    <t xml:space="preserve">
</t>
  </si>
  <si>
    <t xml:space="preserve"> Work Status For I Tower</t>
  </si>
  <si>
    <t>First  Floor</t>
  </si>
  <si>
    <t>Approved Items</t>
  </si>
  <si>
    <t>Target Time passed.</t>
  </si>
  <si>
    <t>Fixtures</t>
  </si>
  <si>
    <t>Appartment Number</t>
  </si>
  <si>
    <t>LPG works</t>
  </si>
  <si>
    <t>Readiness %</t>
  </si>
  <si>
    <t>REMARKS</t>
  </si>
  <si>
    <t>Second Floor</t>
  </si>
  <si>
    <t>Third  Floor</t>
  </si>
  <si>
    <t>Fourth Floor</t>
  </si>
  <si>
    <t>Fifth Floor</t>
  </si>
  <si>
    <t>Sixth Floor</t>
  </si>
  <si>
    <t>Seventh Floor</t>
  </si>
  <si>
    <t>x</t>
  </si>
  <si>
    <t>Eighth Floor</t>
  </si>
  <si>
    <t>Ninth Floor</t>
  </si>
  <si>
    <t>Tile Grouting Remaining</t>
  </si>
  <si>
    <t>Tenth Floor</t>
  </si>
  <si>
    <t>Summary of Tenth Floor</t>
  </si>
  <si>
    <t>MS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</si>
</sst>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entury Gothic"/>
      <family val="2"/>
    </font>
    <font>
      <b/>
      <sz val="14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48"/>
      <color theme="1"/>
      <name val="Century Gothic"/>
      <family val="2"/>
    </font>
    <font>
      <sz val="24"/>
      <color theme="1"/>
      <name val="Century Gothic"/>
      <family val="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entury Gothic"/>
      <family val="2"/>
    </font>
    <font>
      <sz val="18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sz val="20"/>
      <color theme="1"/>
      <name val="Century Gothic"/>
      <family val="2"/>
    </font>
    <font>
      <b/>
      <sz val="22"/>
      <color theme="1"/>
      <name val="Century Gothic"/>
      <family val="2"/>
    </font>
    <font>
      <b/>
      <sz val="24"/>
      <color theme="1"/>
      <name val="Century Gothic"/>
      <family val="2"/>
    </font>
    <font>
      <b/>
      <sz val="20"/>
      <color theme="1"/>
      <name val="Century Gothic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4"/>
      <color theme="1"/>
      <name val="Century Gothic"/>
      <family val="2"/>
    </font>
    <font>
      <b/>
      <sz val="26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8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/>
    <xf numFmtId="9" fontId="1" fillId="0" borderId="0" applyFont="0" applyFill="0" applyBorder="0" applyAlignment="0" applyProtection="0"/>
  </cellStyleXfs>
  <cellXfs count="21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/>
    <xf numFmtId="0" fontId="5" fillId="0" borderId="9" xfId="0" applyFont="1" applyBorder="1"/>
    <xf numFmtId="0" fontId="6" fillId="0" borderId="0" xfId="0" applyFont="1"/>
    <xf numFmtId="0" fontId="2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9" fontId="7" fillId="3" borderId="5" xfId="1" applyFont="1" applyFill="1" applyBorder="1" applyAlignment="1">
      <alignment vertical="center"/>
    </xf>
    <xf numFmtId="164" fontId="7" fillId="3" borderId="5" xfId="1" applyNumberFormat="1" applyFont="1" applyFill="1" applyBorder="1" applyAlignment="1">
      <alignment vertical="center"/>
    </xf>
    <xf numFmtId="9" fontId="8" fillId="0" borderId="0" xfId="1" applyFont="1"/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9" fontId="10" fillId="0" borderId="5" xfId="1" applyFont="1" applyBorder="1"/>
    <xf numFmtId="164" fontId="8" fillId="0" borderId="14" xfId="1" applyNumberFormat="1" applyFont="1" applyBorder="1"/>
    <xf numFmtId="0" fontId="0" fillId="0" borderId="5" xfId="0" applyBorder="1"/>
    <xf numFmtId="0" fontId="1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14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4" fillId="0" borderId="5" xfId="0" applyFont="1" applyBorder="1"/>
    <xf numFmtId="164" fontId="0" fillId="0" borderId="5" xfId="0" applyNumberFormat="1" applyBorder="1"/>
    <xf numFmtId="0" fontId="15" fillId="0" borderId="0" xfId="0" applyFont="1"/>
    <xf numFmtId="0" fontId="16" fillId="0" borderId="0" xfId="0" applyFont="1"/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5" fillId="0" borderId="27" xfId="0" applyFont="1" applyBorder="1"/>
    <xf numFmtId="0" fontId="15" fillId="0" borderId="25" xfId="0" applyFont="1" applyBorder="1"/>
    <xf numFmtId="0" fontId="16" fillId="0" borderId="32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32" xfId="0" applyFont="1" applyBorder="1"/>
    <xf numFmtId="22" fontId="16" fillId="0" borderId="28" xfId="0" applyNumberFormat="1" applyFont="1" applyBorder="1" applyAlignment="1">
      <alignment horizontal="center" wrapText="1"/>
    </xf>
    <xf numFmtId="0" fontId="21" fillId="0" borderId="18" xfId="0" applyFont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28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 wrapText="1"/>
    </xf>
    <xf numFmtId="0" fontId="21" fillId="6" borderId="41" xfId="0" applyFont="1" applyFill="1" applyBorder="1" applyAlignment="1">
      <alignment horizontal="center" vertical="center" wrapText="1"/>
    </xf>
    <xf numFmtId="0" fontId="20" fillId="6" borderId="19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3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 wrapText="1"/>
    </xf>
    <xf numFmtId="9" fontId="16" fillId="7" borderId="42" xfId="0" applyNumberFormat="1" applyFont="1" applyFill="1" applyBorder="1" applyAlignment="1">
      <alignment horizontal="center" vertical="center" wrapText="1"/>
    </xf>
    <xf numFmtId="9" fontId="16" fillId="7" borderId="5" xfId="0" applyNumberFormat="1" applyFont="1" applyFill="1" applyBorder="1" applyAlignment="1">
      <alignment horizontal="center" vertical="center" wrapText="1"/>
    </xf>
    <xf numFmtId="9" fontId="16" fillId="7" borderId="44" xfId="0" applyNumberFormat="1" applyFont="1" applyFill="1" applyBorder="1" applyAlignment="1">
      <alignment horizontal="center" vertical="center" wrapText="1"/>
    </xf>
    <xf numFmtId="9" fontId="16" fillId="7" borderId="48" xfId="2" applyFont="1" applyFill="1" applyBorder="1" applyAlignment="1">
      <alignment horizontal="center" vertical="center" wrapText="1"/>
    </xf>
    <xf numFmtId="9" fontId="16" fillId="0" borderId="22" xfId="0" applyNumberFormat="1" applyFont="1" applyBorder="1" applyAlignment="1">
      <alignment horizontal="center" vertical="center" wrapText="1"/>
    </xf>
    <xf numFmtId="9" fontId="16" fillId="0" borderId="2" xfId="0" applyNumberFormat="1" applyFont="1" applyBorder="1" applyAlignment="1">
      <alignment horizontal="center" vertical="center" wrapText="1"/>
    </xf>
    <xf numFmtId="9" fontId="16" fillId="0" borderId="2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9" fontId="16" fillId="7" borderId="49" xfId="2" applyFont="1" applyFill="1" applyBorder="1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9" fontId="19" fillId="0" borderId="43" xfId="0" applyNumberFormat="1" applyFont="1" applyBorder="1" applyAlignment="1">
      <alignment vertical="center" wrapText="1"/>
    </xf>
    <xf numFmtId="0" fontId="24" fillId="0" borderId="17" xfId="0" applyFont="1" applyBorder="1" applyAlignment="1">
      <alignment horizontal="center" vertical="center"/>
    </xf>
    <xf numFmtId="0" fontId="19" fillId="0" borderId="0" xfId="0" applyFont="1"/>
    <xf numFmtId="0" fontId="19" fillId="0" borderId="16" xfId="0" applyFont="1" applyBorder="1" applyAlignment="1">
      <alignment horizontal="center" vertical="center"/>
    </xf>
    <xf numFmtId="9" fontId="16" fillId="7" borderId="50" xfId="2" applyFont="1" applyFill="1" applyBorder="1" applyAlignment="1">
      <alignment horizontal="center" vertical="center" wrapText="1"/>
    </xf>
    <xf numFmtId="9" fontId="16" fillId="0" borderId="4" xfId="0" applyNumberFormat="1" applyFont="1" applyBorder="1" applyAlignment="1">
      <alignment horizontal="center" vertical="center" wrapText="1"/>
    </xf>
    <xf numFmtId="9" fontId="16" fillId="0" borderId="5" xfId="0" applyNumberFormat="1" applyFont="1" applyBorder="1" applyAlignment="1">
      <alignment horizontal="center" vertical="center" wrapText="1"/>
    </xf>
    <xf numFmtId="9" fontId="16" fillId="0" borderId="34" xfId="0" applyNumberFormat="1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24" fillId="0" borderId="17" xfId="0" applyFont="1" applyBorder="1" applyAlignment="1">
      <alignment wrapText="1"/>
    </xf>
    <xf numFmtId="0" fontId="19" fillId="0" borderId="17" xfId="0" applyFont="1" applyBorder="1"/>
    <xf numFmtId="0" fontId="19" fillId="0" borderId="17" xfId="0" applyFont="1" applyBorder="1" applyAlignment="1">
      <alignment wrapText="1"/>
    </xf>
    <xf numFmtId="0" fontId="24" fillId="0" borderId="17" xfId="0" applyFont="1" applyBorder="1"/>
    <xf numFmtId="0" fontId="19" fillId="0" borderId="51" xfId="0" applyFont="1" applyBorder="1" applyAlignment="1">
      <alignment horizontal="center" vertical="center" wrapText="1"/>
    </xf>
    <xf numFmtId="9" fontId="16" fillId="7" borderId="52" xfId="2" applyFont="1" applyFill="1" applyBorder="1" applyAlignment="1">
      <alignment horizontal="center" vertical="center" wrapText="1"/>
    </xf>
    <xf numFmtId="9" fontId="16" fillId="0" borderId="53" xfId="0" applyNumberFormat="1" applyFont="1" applyBorder="1" applyAlignment="1">
      <alignment horizontal="center" vertical="center" wrapText="1"/>
    </xf>
    <xf numFmtId="9" fontId="16" fillId="0" borderId="54" xfId="0" applyNumberFormat="1" applyFont="1" applyBorder="1" applyAlignment="1">
      <alignment horizontal="center" vertical="center" wrapText="1"/>
    </xf>
    <xf numFmtId="9" fontId="16" fillId="7" borderId="8" xfId="0" applyNumberFormat="1" applyFont="1" applyFill="1" applyBorder="1" applyAlignment="1">
      <alignment horizontal="center" vertical="center" wrapText="1"/>
    </xf>
    <xf numFmtId="9" fontId="16" fillId="0" borderId="55" xfId="0" applyNumberFormat="1" applyFont="1" applyBorder="1" applyAlignment="1">
      <alignment horizontal="center" vertical="center" wrapText="1"/>
    </xf>
    <xf numFmtId="9" fontId="16" fillId="0" borderId="56" xfId="0" applyNumberFormat="1" applyFont="1" applyBorder="1" applyAlignment="1">
      <alignment horizontal="center" vertical="center" wrapText="1"/>
    </xf>
    <xf numFmtId="9" fontId="16" fillId="0" borderId="57" xfId="0" applyNumberFormat="1" applyFont="1" applyBorder="1" applyAlignment="1">
      <alignment horizontal="center" vertical="center" wrapText="1"/>
    </xf>
    <xf numFmtId="9" fontId="16" fillId="0" borderId="7" xfId="0" applyNumberFormat="1" applyFont="1" applyBorder="1" applyAlignment="1">
      <alignment horizontal="center" vertical="center" wrapText="1"/>
    </xf>
    <xf numFmtId="9" fontId="16" fillId="0" borderId="8" xfId="0" applyNumberFormat="1" applyFont="1" applyBorder="1" applyAlignment="1">
      <alignment horizontal="center" vertical="center" wrapText="1"/>
    </xf>
    <xf numFmtId="9" fontId="16" fillId="0" borderId="36" xfId="0" applyNumberFormat="1" applyFont="1" applyBorder="1" applyAlignment="1">
      <alignment horizontal="center" vertical="center" wrapText="1"/>
    </xf>
    <xf numFmtId="15" fontId="19" fillId="0" borderId="43" xfId="0" applyNumberFormat="1" applyFont="1" applyBorder="1" applyAlignment="1">
      <alignment horizontal="center" vertical="center" wrapText="1"/>
    </xf>
    <xf numFmtId="0" fontId="19" fillId="0" borderId="58" xfId="0" applyFont="1" applyBorder="1"/>
    <xf numFmtId="0" fontId="25" fillId="0" borderId="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59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vertical="center" wrapText="1"/>
    </xf>
    <xf numFmtId="0" fontId="19" fillId="0" borderId="60" xfId="0" applyFont="1" applyBorder="1" applyAlignment="1">
      <alignment horizontal="center" vertical="center" wrapText="1"/>
    </xf>
    <xf numFmtId="0" fontId="19" fillId="0" borderId="61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/>
    </xf>
    <xf numFmtId="9" fontId="16" fillId="7" borderId="23" xfId="2" applyFont="1" applyFill="1" applyBorder="1" applyAlignment="1">
      <alignment horizontal="center" vertical="center" wrapText="1"/>
    </xf>
    <xf numFmtId="9" fontId="16" fillId="7" borderId="2" xfId="0" applyNumberFormat="1" applyFont="1" applyFill="1" applyBorder="1" applyAlignment="1">
      <alignment horizontal="center" vertical="center" wrapText="1"/>
    </xf>
    <xf numFmtId="15" fontId="19" fillId="0" borderId="19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/>
    </xf>
    <xf numFmtId="9" fontId="16" fillId="7" borderId="62" xfId="0" applyNumberFormat="1" applyFont="1" applyFill="1" applyBorder="1" applyAlignment="1">
      <alignment horizontal="center" vertical="center" wrapText="1"/>
    </xf>
    <xf numFmtId="9" fontId="16" fillId="7" borderId="64" xfId="0" applyNumberFormat="1" applyFont="1" applyFill="1" applyBorder="1" applyAlignment="1">
      <alignment horizontal="center" vertical="center" wrapText="1"/>
    </xf>
    <xf numFmtId="15" fontId="19" fillId="0" borderId="52" xfId="0" applyNumberFormat="1" applyFont="1" applyBorder="1" applyAlignment="1">
      <alignment horizontal="center" vertical="center" wrapText="1"/>
    </xf>
    <xf numFmtId="9" fontId="19" fillId="0" borderId="62" xfId="0" applyNumberFormat="1" applyFont="1" applyBorder="1" applyAlignment="1">
      <alignment vertical="center" wrapText="1"/>
    </xf>
    <xf numFmtId="0" fontId="19" fillId="0" borderId="9" xfId="0" applyFont="1" applyBorder="1"/>
    <xf numFmtId="0" fontId="25" fillId="0" borderId="66" xfId="0" applyFont="1" applyBorder="1" applyAlignment="1">
      <alignment horizontal="center" vertical="center" wrapText="1"/>
    </xf>
    <xf numFmtId="0" fontId="25" fillId="0" borderId="67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25" fillId="0" borderId="68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69" xfId="0" applyFont="1" applyBorder="1" applyAlignment="1">
      <alignment horizontal="center" vertical="center" wrapText="1"/>
    </xf>
    <xf numFmtId="9" fontId="16" fillId="0" borderId="42" xfId="0" applyNumberFormat="1" applyFont="1" applyBorder="1" applyAlignment="1">
      <alignment horizontal="center" vertical="center" wrapText="1"/>
    </xf>
    <xf numFmtId="9" fontId="16" fillId="0" borderId="62" xfId="0" applyNumberFormat="1" applyFont="1" applyBorder="1" applyAlignment="1">
      <alignment horizontal="center" vertical="center" wrapText="1"/>
    </xf>
    <xf numFmtId="15" fontId="19" fillId="0" borderId="64" xfId="0" applyNumberFormat="1" applyFont="1" applyBorder="1" applyAlignment="1">
      <alignment horizontal="center" vertical="center" wrapText="1"/>
    </xf>
    <xf numFmtId="9" fontId="19" fillId="0" borderId="52" xfId="0" applyNumberFormat="1" applyFont="1" applyBorder="1" applyAlignment="1">
      <alignment vertical="center" wrapText="1"/>
    </xf>
    <xf numFmtId="0" fontId="19" fillId="0" borderId="61" xfId="0" applyFont="1" applyBorder="1"/>
    <xf numFmtId="9" fontId="16" fillId="0" borderId="50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/>
    </xf>
    <xf numFmtId="9" fontId="16" fillId="0" borderId="44" xfId="0" applyNumberFormat="1" applyFont="1" applyBorder="1" applyAlignment="1">
      <alignment horizontal="center" vertical="center" wrapText="1"/>
    </xf>
    <xf numFmtId="9" fontId="16" fillId="0" borderId="64" xfId="0" applyNumberFormat="1" applyFont="1" applyBorder="1" applyAlignment="1">
      <alignment horizontal="center" vertical="center" wrapText="1"/>
    </xf>
    <xf numFmtId="9" fontId="16" fillId="0" borderId="66" xfId="0" applyNumberFormat="1" applyFont="1" applyBorder="1" applyAlignment="1">
      <alignment horizontal="center" vertical="center" wrapText="1"/>
    </xf>
    <xf numFmtId="9" fontId="16" fillId="0" borderId="49" xfId="0" applyNumberFormat="1" applyFont="1" applyBorder="1" applyAlignment="1">
      <alignment horizontal="center" vertical="center" wrapText="1"/>
    </xf>
    <xf numFmtId="9" fontId="16" fillId="0" borderId="52" xfId="0" applyNumberFormat="1" applyFont="1" applyBorder="1" applyAlignment="1">
      <alignment horizontal="center" vertical="center" wrapText="1"/>
    </xf>
    <xf numFmtId="9" fontId="9" fillId="8" borderId="5" xfId="1" applyFont="1" applyFill="1" applyBorder="1"/>
    <xf numFmtId="0" fontId="11" fillId="4" borderId="5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3" fillId="5" borderId="5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8" fillId="3" borderId="16" xfId="0" applyFont="1" applyFill="1" applyBorder="1" applyAlignment="1">
      <alignment horizontal="center" vertical="center"/>
    </xf>
    <xf numFmtId="0" fontId="28" fillId="3" borderId="14" xfId="0" applyFont="1" applyFill="1" applyBorder="1" applyAlignment="1">
      <alignment horizontal="center" vertical="center"/>
    </xf>
    <xf numFmtId="9" fontId="26" fillId="0" borderId="23" xfId="1" applyFont="1" applyBorder="1" applyAlignment="1">
      <alignment horizontal="center" wrapText="1"/>
    </xf>
    <xf numFmtId="0" fontId="27" fillId="0" borderId="23" xfId="0" applyFont="1" applyBorder="1"/>
    <xf numFmtId="0" fontId="21" fillId="6" borderId="31" xfId="0" applyFont="1" applyFill="1" applyBorder="1" applyAlignment="1">
      <alignment horizontal="center" vertical="center" wrapText="1"/>
    </xf>
    <xf numFmtId="0" fontId="21" fillId="6" borderId="32" xfId="0" applyFont="1" applyFill="1" applyBorder="1" applyAlignment="1">
      <alignment horizontal="center" vertical="center" wrapText="1"/>
    </xf>
    <xf numFmtId="0" fontId="21" fillId="6" borderId="25" xfId="0" applyFont="1" applyFill="1" applyBorder="1" applyAlignment="1">
      <alignment horizontal="center" vertical="center" wrapText="1"/>
    </xf>
    <xf numFmtId="0" fontId="21" fillId="6" borderId="33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/>
    </xf>
    <xf numFmtId="22" fontId="16" fillId="0" borderId="32" xfId="0" applyNumberFormat="1" applyFont="1" applyBorder="1" applyAlignment="1">
      <alignment horizontal="center"/>
    </xf>
    <xf numFmtId="22" fontId="19" fillId="0" borderId="32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6" borderId="62" xfId="0" applyFont="1" applyFill="1" applyBorder="1" applyAlignment="1">
      <alignment horizontal="center" vertical="center" wrapText="1"/>
    </xf>
    <xf numFmtId="0" fontId="21" fillId="6" borderId="63" xfId="0" applyFont="1" applyFill="1" applyBorder="1" applyAlignment="1">
      <alignment horizontal="center" vertical="center" wrapText="1"/>
    </xf>
    <xf numFmtId="0" fontId="21" fillId="6" borderId="64" xfId="0" applyFont="1" applyFill="1" applyBorder="1" applyAlignment="1">
      <alignment horizontal="center" vertical="center" wrapText="1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33" xfId="0" applyFont="1" applyFill="1" applyBorder="1" applyAlignment="1">
      <alignment horizontal="center" vertical="center" wrapText="1"/>
    </xf>
    <xf numFmtId="0" fontId="23" fillId="0" borderId="45" xfId="0" applyFont="1" applyBorder="1" applyAlignment="1">
      <alignment horizontal="center" vertical="center" wrapText="1"/>
    </xf>
    <xf numFmtId="0" fontId="23" fillId="0" borderId="50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22" fillId="0" borderId="64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3" fillId="0" borderId="58" xfId="0" applyFont="1" applyBorder="1" applyAlignment="1">
      <alignment horizontal="center" vertical="center" wrapText="1"/>
    </xf>
    <xf numFmtId="0" fontId="23" fillId="0" borderId="44" xfId="0" applyFont="1" applyBorder="1" applyAlignment="1">
      <alignment horizontal="center" vertical="center" wrapText="1"/>
    </xf>
  </cellXfs>
  <cellStyles count="3">
    <cellStyle name="Normal" xfId="0" builtinId="0"/>
    <cellStyle name="Percent" xfId="1" builtinId="5"/>
    <cellStyle name="Percent 2" xfId="2" xr:uid="{5FC4F57B-2021-41D2-B539-B8F97EB9E77E}"/>
  </cellStyles>
  <dxfs count="943"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35654</xdr:colOff>
      <xdr:row>7</xdr:row>
      <xdr:rowOff>105886</xdr:rowOff>
    </xdr:from>
    <xdr:ext cx="883228" cy="656113"/>
    <xdr:pic>
      <xdr:nvPicPr>
        <xdr:cNvPr id="2" name="Picture 1">
          <a:extLst>
            <a:ext uri="{FF2B5EF4-FFF2-40B4-BE49-F238E27FC236}">
              <a16:creationId xmlns:a16="http://schemas.microsoft.com/office/drawing/2014/main" id="{FCE562BE-67F9-48D1-9110-F779DDD66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6154" y="105886"/>
          <a:ext cx="883228" cy="656113"/>
        </a:xfrm>
        <a:prstGeom prst="rect">
          <a:avLst/>
        </a:prstGeom>
      </xdr:spPr>
    </xdr:pic>
    <xdr:clientData/>
  </xdr:oneCellAnchor>
  <xdr:twoCellAnchor>
    <xdr:from>
      <xdr:col>58</xdr:col>
      <xdr:colOff>2346305</xdr:colOff>
      <xdr:row>7</xdr:row>
      <xdr:rowOff>522007</xdr:rowOff>
    </xdr:from>
    <xdr:to>
      <xdr:col>58</xdr:col>
      <xdr:colOff>3622410</xdr:colOff>
      <xdr:row>7</xdr:row>
      <xdr:rowOff>707970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985F2A-C28E-4835-B571-81FC7DF02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23655" y="522007"/>
          <a:ext cx="1276105" cy="185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B10" sqref="B10"/>
    </sheetView>
  </sheetViews>
  <sheetFormatPr defaultRowHeight="15" x14ac:dyDescent="0.25"/>
  <cols>
    <col min="1" max="1" width="28" customWidth="1"/>
    <col min="2" max="2" width="22" customWidth="1"/>
    <col min="3" max="5" width="18" customWidth="1"/>
  </cols>
  <sheetData>
    <row r="1" spans="1:5" ht="18.75" customHeight="1" x14ac:dyDescent="0.3">
      <c r="A1" s="162" t="s">
        <v>0</v>
      </c>
      <c r="B1" s="163"/>
      <c r="C1" s="163"/>
      <c r="D1" s="163"/>
      <c r="E1" s="164"/>
    </row>
    <row r="2" spans="1:5" x14ac:dyDescent="0.25">
      <c r="A2" s="24"/>
      <c r="B2" s="24"/>
      <c r="C2" s="24"/>
      <c r="D2" s="24"/>
      <c r="E2" s="24"/>
    </row>
    <row r="3" spans="1:5" x14ac:dyDescent="0.25">
      <c r="A3" s="25" t="s">
        <v>1</v>
      </c>
      <c r="B3" s="26">
        <v>101</v>
      </c>
      <c r="C3" s="24"/>
      <c r="D3" s="165" t="s">
        <v>2</v>
      </c>
      <c r="E3" s="166"/>
    </row>
    <row r="4" spans="1:5" x14ac:dyDescent="0.25">
      <c r="A4" s="26"/>
      <c r="B4" s="26"/>
      <c r="C4" s="24"/>
      <c r="D4" s="167"/>
      <c r="E4" s="168"/>
    </row>
    <row r="5" spans="1:5" x14ac:dyDescent="0.25">
      <c r="A5" s="25" t="s">
        <v>3</v>
      </c>
      <c r="B5" s="26">
        <f>IFERROR(INDEX('Apartment Progress'!$A$4:$A$179, MATCH($B$3, 'Apartment Progress'!$A$4:$A$179, 0)), "")</f>
        <v>101</v>
      </c>
      <c r="C5" s="24"/>
      <c r="D5" s="24"/>
      <c r="E5" s="24"/>
    </row>
    <row r="6" spans="1:5" x14ac:dyDescent="0.25">
      <c r="A6" s="25" t="s">
        <v>4</v>
      </c>
      <c r="B6" s="26" t="str">
        <f>IFERROR(INDEX('Apartment Progress'!$B$4:$B$179, MATCH($B$3, 'Apartment Progress'!$A$4:$A$179, 0)), "")</f>
        <v>1</v>
      </c>
      <c r="C6" s="24"/>
      <c r="D6" s="24"/>
      <c r="E6" s="24"/>
    </row>
    <row r="7" spans="1:5" x14ac:dyDescent="0.25">
      <c r="A7" s="25" t="s">
        <v>5</v>
      </c>
      <c r="B7" s="27">
        <f>IFERROR(INDEX('Apartment Progress'!$O$4:$O$179, MATCH($B$3, 'Apartment Progress'!$A$4:$A$179, 0)), "")</f>
        <v>0.82600000000000018</v>
      </c>
      <c r="C7" s="32" t="s">
        <v>6</v>
      </c>
      <c r="D7" s="33">
        <f>'Apartment Progress'!O3</f>
        <v>0.60522301136363632</v>
      </c>
      <c r="E7" s="24"/>
    </row>
    <row r="8" spans="1:5" x14ac:dyDescent="0.25">
      <c r="A8" s="26"/>
      <c r="B8" s="26"/>
      <c r="C8" s="24"/>
      <c r="D8" s="24"/>
      <c r="E8" s="24"/>
    </row>
    <row r="9" spans="1:5" x14ac:dyDescent="0.25">
      <c r="A9" s="25" t="s">
        <v>7</v>
      </c>
      <c r="B9" s="25" t="s">
        <v>8</v>
      </c>
      <c r="C9" s="32" t="s">
        <v>9</v>
      </c>
      <c r="D9" s="24"/>
      <c r="E9" s="24"/>
    </row>
    <row r="10" spans="1:5" x14ac:dyDescent="0.25">
      <c r="A10" s="26" t="s">
        <v>10</v>
      </c>
      <c r="B10" s="27">
        <f>IFERROR(INDEX('Apartment Progress'!$C$4:$C$179, MATCH($B$3, 'Apartment Progress'!$A$4:$A$179, 0)), "")</f>
        <v>1</v>
      </c>
      <c r="C10" s="33">
        <f>'Apartment Progress'!$C$3</f>
        <v>0.99086021505376398</v>
      </c>
      <c r="D10" s="24"/>
      <c r="E10" s="24"/>
    </row>
    <row r="11" spans="1:5" x14ac:dyDescent="0.25">
      <c r="A11" s="26" t="s">
        <v>11</v>
      </c>
      <c r="B11" s="27">
        <f>IFERROR(INDEX('Apartment Progress'!$D$4:$D$179, MATCH($B$3, 'Apartment Progress'!$A$4:$A$179, 0)), "")</f>
        <v>1</v>
      </c>
      <c r="C11" s="33">
        <f>'Apartment Progress'!$D$3</f>
        <v>0.67968996415770599</v>
      </c>
      <c r="D11" s="24"/>
      <c r="E11" s="24"/>
    </row>
    <row r="12" spans="1:5" x14ac:dyDescent="0.25">
      <c r="A12" s="26" t="s">
        <v>12</v>
      </c>
      <c r="B12" s="27">
        <f>IFERROR(INDEX('Apartment Progress'!$E$4:$E$179, MATCH($B$3, 'Apartment Progress'!$A$4:$A$179, 0)), "")</f>
        <v>1.0000000000000002</v>
      </c>
      <c r="C12" s="33">
        <f>'Apartment Progress'!$E$3</f>
        <v>0.82969713261648903</v>
      </c>
      <c r="D12" s="24"/>
      <c r="E12" s="24"/>
    </row>
    <row r="13" spans="1:5" x14ac:dyDescent="0.25">
      <c r="A13" s="26" t="s">
        <v>13</v>
      </c>
      <c r="B13" s="27">
        <f>IFERROR(INDEX('Apartment Progress'!$F$4:$F$179, MATCH($B$3, 'Apartment Progress'!$A$4:$A$179, 0)), "")</f>
        <v>0.70000000000000007</v>
      </c>
      <c r="C13" s="33">
        <f>'Apartment Progress'!$F$3</f>
        <v>0.29182795698924735</v>
      </c>
      <c r="D13" s="24"/>
      <c r="E13" s="24"/>
    </row>
    <row r="14" spans="1:5" x14ac:dyDescent="0.25">
      <c r="A14" s="26" t="s">
        <v>14</v>
      </c>
      <c r="B14" s="27">
        <f>IFERROR(INDEX('Apartment Progress'!$G$4:$G$179, MATCH($B$3, 'Apartment Progress'!$A$4:$A$179, 0)), "")</f>
        <v>0.55000000000000004</v>
      </c>
      <c r="C14" s="33">
        <f>'Apartment Progress'!$G$3</f>
        <v>0.56301792114695381</v>
      </c>
      <c r="D14" s="24"/>
      <c r="E14" s="24"/>
    </row>
    <row r="15" spans="1:5" x14ac:dyDescent="0.25">
      <c r="A15" s="26" t="s">
        <v>15</v>
      </c>
      <c r="B15" s="27">
        <f>IFERROR(INDEX('Apartment Progress'!$H$4:$H$179, MATCH($B$3, 'Apartment Progress'!$A$4:$A$179, 0)), "")</f>
        <v>0.85</v>
      </c>
      <c r="C15" s="33">
        <f>'Apartment Progress'!$H$3</f>
        <v>0.50234498207885192</v>
      </c>
      <c r="D15" s="24"/>
      <c r="E15" s="24"/>
    </row>
    <row r="16" spans="1:5" x14ac:dyDescent="0.25">
      <c r="A16" s="26" t="s">
        <v>16</v>
      </c>
      <c r="B16" s="27">
        <f>IFERROR(INDEX('Apartment Progress'!$I$4:$I$179, MATCH($B$3, 'Apartment Progress'!$A$4:$A$179, 0)), "")</f>
        <v>0.7</v>
      </c>
      <c r="C16" s="33">
        <f>'Apartment Progress'!$I$3</f>
        <v>0.13025806451612915</v>
      </c>
      <c r="D16" s="24"/>
      <c r="E16" s="24"/>
    </row>
    <row r="17" spans="1:5" x14ac:dyDescent="0.25">
      <c r="A17" s="26" t="s">
        <v>17</v>
      </c>
      <c r="B17" s="27">
        <f>IFERROR(INDEX('Apartment Progress'!$J$4:$J$179, MATCH($B$3, 'Apartment Progress'!$A$4:$A$179, 0)), "")</f>
        <v>0</v>
      </c>
      <c r="C17" s="33">
        <f>'Apartment Progress'!$J$3</f>
        <v>6.7204301075268818E-3</v>
      </c>
      <c r="D17" s="24"/>
      <c r="E17" s="24"/>
    </row>
    <row r="18" spans="1:5" x14ac:dyDescent="0.25">
      <c r="A18" s="26" t="s">
        <v>18</v>
      </c>
      <c r="B18" s="27">
        <f>IFERROR(INDEX('Apartment Progress'!$K$4:$K$179, MATCH($B$3, 'Apartment Progress'!$A$4:$A$179, 0)), "")</f>
        <v>0.7</v>
      </c>
      <c r="C18" s="33">
        <f>'Apartment Progress'!$K$3</f>
        <v>0.70000000000000173</v>
      </c>
      <c r="D18" s="24"/>
      <c r="E18" s="24"/>
    </row>
    <row r="19" spans="1:5" x14ac:dyDescent="0.25">
      <c r="A19" s="26" t="s">
        <v>19</v>
      </c>
      <c r="B19" s="27">
        <f>IFERROR(INDEX('Apartment Progress'!$L$4:$L$179, MATCH($B$3, 'Apartment Progress'!$A$4:$A$179, 0)), "")</f>
        <v>1</v>
      </c>
      <c r="C19" s="33">
        <f>'Apartment Progress'!$L$3</f>
        <v>1</v>
      </c>
      <c r="D19" s="24"/>
      <c r="E19" s="24"/>
    </row>
    <row r="20" spans="1:5" x14ac:dyDescent="0.25">
      <c r="A20" s="24" t="s">
        <v>20</v>
      </c>
      <c r="B20" s="27">
        <f>IFERROR(INDEX('Apartment Progress'!$M$4:$M$179, MATCH($B$3, 'Apartment Progress'!$A$4:$A$179, 0)), "")</f>
        <v>0.2</v>
      </c>
      <c r="C20" s="33">
        <f>'Apartment Progress'!$M$3</f>
        <v>0.19999999999999993</v>
      </c>
      <c r="D20" s="24"/>
      <c r="E20" s="24"/>
    </row>
    <row r="21" spans="1:5" x14ac:dyDescent="0.25">
      <c r="A21" s="24" t="s">
        <v>21</v>
      </c>
      <c r="B21" s="27">
        <f>IFERROR(INDEX('Apartment Progress'!$N$4:$N$179, MATCH($B$3, 'Apartment Progress'!$A$4:$A$179, 0)), "")</f>
        <v>0.9</v>
      </c>
      <c r="C21" s="33">
        <f>'Apartment Progress'!$N$3</f>
        <v>0.71720430107527033</v>
      </c>
      <c r="D21" s="24"/>
      <c r="E21" s="24"/>
    </row>
    <row r="23" spans="1:5" x14ac:dyDescent="0.25">
      <c r="A23" s="28"/>
      <c r="B23" s="29"/>
    </row>
    <row r="25" spans="1:5" x14ac:dyDescent="0.25">
      <c r="A25" s="28"/>
      <c r="B25" s="28"/>
    </row>
    <row r="26" spans="1:5" x14ac:dyDescent="0.25">
      <c r="A26" s="30"/>
      <c r="B26" s="31"/>
    </row>
    <row r="27" spans="1:5" x14ac:dyDescent="0.25">
      <c r="A27" s="30"/>
      <c r="B27" s="31"/>
    </row>
    <row r="28" spans="1:5" x14ac:dyDescent="0.25">
      <c r="A28" s="30"/>
      <c r="B28" s="31"/>
    </row>
    <row r="29" spans="1:5" x14ac:dyDescent="0.25">
      <c r="A29" s="30"/>
      <c r="B29" s="31"/>
    </row>
    <row r="30" spans="1:5" x14ac:dyDescent="0.25">
      <c r="A30" s="30"/>
      <c r="B30" s="31"/>
    </row>
    <row r="31" spans="1:5" x14ac:dyDescent="0.25">
      <c r="A31" s="30"/>
      <c r="B31" s="31"/>
    </row>
    <row r="32" spans="1:5" x14ac:dyDescent="0.25">
      <c r="A32" s="30"/>
      <c r="B32" s="31"/>
    </row>
    <row r="33" spans="1:2" x14ac:dyDescent="0.25">
      <c r="A33" s="30"/>
      <c r="B33" s="31"/>
    </row>
    <row r="34" spans="1:2" x14ac:dyDescent="0.25">
      <c r="A34" s="30"/>
      <c r="B34" s="31"/>
    </row>
    <row r="35" spans="1:2" x14ac:dyDescent="0.25">
      <c r="A35" s="30"/>
      <c r="B35" s="31"/>
    </row>
    <row r="36" spans="1:2" x14ac:dyDescent="0.25">
      <c r="A36" s="30"/>
      <c r="B36" s="31"/>
    </row>
    <row r="37" spans="1:2" x14ac:dyDescent="0.25">
      <c r="A37" s="30"/>
      <c r="B37" s="31"/>
    </row>
  </sheetData>
  <mergeCells count="2">
    <mergeCell ref="A1:E1"/>
    <mergeCell ref="D3:E4"/>
  </mergeCells>
  <conditionalFormatting sqref="B7">
    <cfRule type="cellIs" dxfId="942" priority="3" operator="lessThanOrEqual">
      <formula>0.4</formula>
    </cfRule>
    <cfRule type="cellIs" dxfId="941" priority="4" operator="between">
      <formula>0.4</formula>
      <formula>0.7</formula>
    </cfRule>
    <cfRule type="cellIs" dxfId="940" priority="5" operator="greaterThanOrEqual">
      <formula>0.7</formula>
    </cfRule>
  </conditionalFormatting>
  <conditionalFormatting sqref="B10:C21">
    <cfRule type="cellIs" dxfId="939" priority="9" operator="lessThanOrEqual">
      <formula>0.4</formula>
    </cfRule>
    <cfRule type="cellIs" dxfId="938" priority="9" operator="between">
      <formula>0.4</formula>
      <formula>0.7</formula>
    </cfRule>
    <cfRule type="cellIs" dxfId="937" priority="9" operator="greaterThanOrEqual">
      <formula>0.7</formula>
    </cfRule>
  </conditionalFormatting>
  <conditionalFormatting sqref="D7">
    <cfRule type="cellIs" dxfId="936" priority="6" operator="lessThanOrEqual">
      <formula>0.4</formula>
    </cfRule>
    <cfRule type="cellIs" dxfId="935" priority="7" operator="between">
      <formula>0.4</formula>
      <formula>0.7</formula>
    </cfRule>
    <cfRule type="cellIs" dxfId="934" priority="8" operator="greaterThanOrEqual">
      <formula>0.7</formula>
    </cfRule>
  </conditionalFormatting>
  <hyperlinks>
    <hyperlink ref="D3" location="'Progress App'!B3" display="▶ Select / Edit Apartment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9"/>
  <sheetViews>
    <sheetView tabSelected="1" view="pageBreakPreview" zoomScale="70" zoomScaleNormal="100" zoomScaleSheetLayoutView="70" workbookViewId="0">
      <pane ySplit="1" topLeftCell="A166" activePane="bottomLeft" state="frozen"/>
      <selection pane="bottomLeft" activeCell="E5" sqref="E5:E190"/>
    </sheetView>
  </sheetViews>
  <sheetFormatPr defaultRowHeight="15.75" x14ac:dyDescent="0.25"/>
  <cols>
    <col min="1" max="1" width="31.28515625" bestFit="1" customWidth="1"/>
    <col min="2" max="2" width="9.5703125" bestFit="1" customWidth="1"/>
    <col min="3" max="3" width="30" style="10" customWidth="1"/>
    <col min="4" max="16" width="37.28515625" style="10" customWidth="1"/>
  </cols>
  <sheetData>
    <row r="1" spans="1:16" ht="73.5" customHeight="1" x14ac:dyDescent="0.25">
      <c r="A1" s="13" t="s">
        <v>22</v>
      </c>
      <c r="B1" s="11" t="s">
        <v>23</v>
      </c>
      <c r="C1" s="11" t="s">
        <v>10</v>
      </c>
      <c r="D1" s="11" t="s">
        <v>11</v>
      </c>
      <c r="E1" s="11" t="s">
        <v>12</v>
      </c>
      <c r="F1" s="11" t="s">
        <v>13</v>
      </c>
      <c r="G1" s="11" t="s">
        <v>14</v>
      </c>
      <c r="H1" s="11" t="s">
        <v>15</v>
      </c>
      <c r="I1" s="11" t="s">
        <v>16</v>
      </c>
      <c r="J1" s="11" t="s">
        <v>17</v>
      </c>
      <c r="K1" s="11" t="s">
        <v>18</v>
      </c>
      <c r="L1" s="11" t="s">
        <v>19</v>
      </c>
      <c r="M1" s="11" t="s">
        <v>20</v>
      </c>
      <c r="N1" s="11" t="s">
        <v>21</v>
      </c>
      <c r="O1" s="11" t="s">
        <v>24</v>
      </c>
      <c r="P1" s="12"/>
    </row>
    <row r="2" spans="1:16" ht="33.75" customHeight="1" x14ac:dyDescent="0.4">
      <c r="A2" s="18"/>
      <c r="B2" s="19"/>
      <c r="C2" s="161">
        <v>0.1</v>
      </c>
      <c r="D2" s="161">
        <v>0.15</v>
      </c>
      <c r="E2" s="161">
        <v>0.2</v>
      </c>
      <c r="F2" s="161">
        <v>0.1</v>
      </c>
      <c r="G2" s="161">
        <v>0.1</v>
      </c>
      <c r="H2" s="161">
        <v>0.2</v>
      </c>
      <c r="I2" s="161">
        <v>0.05</v>
      </c>
      <c r="J2" s="161">
        <v>0.02</v>
      </c>
      <c r="K2" s="161">
        <v>0.03</v>
      </c>
      <c r="L2" s="161">
        <v>0.01</v>
      </c>
      <c r="M2" s="161">
        <v>0.03</v>
      </c>
      <c r="N2" s="161">
        <v>0.01</v>
      </c>
      <c r="O2" s="20"/>
      <c r="P2" s="21"/>
    </row>
    <row r="3" spans="1:16" ht="58.5" x14ac:dyDescent="0.5">
      <c r="A3" s="171" t="s">
        <v>25</v>
      </c>
      <c r="B3" s="172"/>
      <c r="C3" s="161">
        <f t="shared" ref="C3:N3" si="0">AVERAGE(C5:C190)</f>
        <v>0.99086021505376398</v>
      </c>
      <c r="D3" s="161">
        <f t="shared" si="0"/>
        <v>0.67968996415770599</v>
      </c>
      <c r="E3" s="161">
        <f t="shared" si="0"/>
        <v>0.82969713261648903</v>
      </c>
      <c r="F3" s="161">
        <f t="shared" si="0"/>
        <v>0.29182795698924735</v>
      </c>
      <c r="G3" s="161">
        <f t="shared" si="0"/>
        <v>0.56301792114695381</v>
      </c>
      <c r="H3" s="161">
        <f t="shared" si="0"/>
        <v>0.50234498207885192</v>
      </c>
      <c r="I3" s="161">
        <f t="shared" si="0"/>
        <v>0.13025806451612915</v>
      </c>
      <c r="J3" s="161">
        <f t="shared" si="0"/>
        <v>6.7204301075268818E-3</v>
      </c>
      <c r="K3" s="161">
        <f t="shared" si="0"/>
        <v>0.70000000000000173</v>
      </c>
      <c r="L3" s="161">
        <f t="shared" si="0"/>
        <v>1</v>
      </c>
      <c r="M3" s="161">
        <f t="shared" si="0"/>
        <v>0.19999999999999993</v>
      </c>
      <c r="N3" s="161">
        <f t="shared" si="0"/>
        <v>0.71720430107527033</v>
      </c>
      <c r="O3" s="16">
        <f>AVERAGE(O4,O21,O38,O55,O72,O89,O106,O123,O140,O157,O174)</f>
        <v>0.60522301136363632</v>
      </c>
      <c r="P3" s="21"/>
    </row>
    <row r="4" spans="1:16" ht="58.5" x14ac:dyDescent="0.4">
      <c r="A4" s="169" t="s">
        <v>26</v>
      </c>
      <c r="B4" s="170"/>
      <c r="C4" s="161">
        <f>AVERAGE(C6:C20)</f>
        <v>1</v>
      </c>
      <c r="D4" s="161">
        <f t="shared" ref="D4:N4" si="1">AVERAGE(D6:D20)</f>
        <v>1</v>
      </c>
      <c r="E4" s="161">
        <f t="shared" si="1"/>
        <v>1.0000000000000002</v>
      </c>
      <c r="F4" s="161">
        <f t="shared" si="1"/>
        <v>0.7</v>
      </c>
      <c r="G4" s="161">
        <f t="shared" si="1"/>
        <v>0.91133333333333333</v>
      </c>
      <c r="H4" s="161">
        <f t="shared" si="1"/>
        <v>0.99</v>
      </c>
      <c r="I4" s="161">
        <f t="shared" si="1"/>
        <v>0.71999999999999986</v>
      </c>
      <c r="J4" s="161">
        <f t="shared" si="1"/>
        <v>3.0000000000000002E-2</v>
      </c>
      <c r="K4" s="161">
        <f t="shared" si="1"/>
        <v>0.69999999999999984</v>
      </c>
      <c r="L4" s="161">
        <f t="shared" si="1"/>
        <v>1</v>
      </c>
      <c r="M4" s="161">
        <f t="shared" si="1"/>
        <v>0.20000000000000004</v>
      </c>
      <c r="N4" s="161">
        <f t="shared" si="1"/>
        <v>0.90000000000000024</v>
      </c>
      <c r="O4" s="16">
        <f>AVERAGE(O5:O20)</f>
        <v>0.887625</v>
      </c>
      <c r="P4" s="14"/>
    </row>
    <row r="5" spans="1:16" ht="73.5" customHeight="1" x14ac:dyDescent="0.45">
      <c r="A5" s="1">
        <v>101</v>
      </c>
      <c r="B5" s="2" t="s">
        <v>27</v>
      </c>
      <c r="C5" s="22">
        <f>'Work Progress (%)'!G14</f>
        <v>1</v>
      </c>
      <c r="D5" s="22">
        <f>'Work Progress (%)'!L14</f>
        <v>1</v>
      </c>
      <c r="E5" s="22">
        <f>'Work Progress (%)'!Y14</f>
        <v>1.0000000000000002</v>
      </c>
      <c r="F5" s="22">
        <f>'Work Progress (%)'!AD14</f>
        <v>0.70000000000000007</v>
      </c>
      <c r="G5" s="22">
        <f>'Work Progress (%)'!AI14</f>
        <v>0.55000000000000004</v>
      </c>
      <c r="H5" s="22">
        <f>'Work Progress (%)'!AQ14</f>
        <v>0.85</v>
      </c>
      <c r="I5" s="22">
        <f>'Work Progress (%)'!AV14</f>
        <v>0.7</v>
      </c>
      <c r="J5" s="22">
        <f>'Work Progress (%)'!BD14</f>
        <v>0</v>
      </c>
      <c r="K5" s="22">
        <v>0.7</v>
      </c>
      <c r="L5" s="22">
        <v>1</v>
      </c>
      <c r="M5" s="22">
        <v>0.2</v>
      </c>
      <c r="N5" s="22">
        <v>0.9</v>
      </c>
      <c r="O5" s="23">
        <f t="shared" ref="O5:O20" si="2">SUMPRODUCT(C5:N5, C$2:N$2)</f>
        <v>0.82600000000000018</v>
      </c>
      <c r="P5" s="7"/>
    </row>
    <row r="6" spans="1:16" ht="73.5" customHeight="1" x14ac:dyDescent="0.45">
      <c r="A6" s="3">
        <v>102</v>
      </c>
      <c r="B6" s="4" t="s">
        <v>27</v>
      </c>
      <c r="C6" s="22">
        <f>'Work Progress (%)'!G15</f>
        <v>1</v>
      </c>
      <c r="D6" s="22">
        <f>'Work Progress (%)'!L15</f>
        <v>1</v>
      </c>
      <c r="E6" s="22">
        <f>'Work Progress (%)'!Y15</f>
        <v>1.0000000000000002</v>
      </c>
      <c r="F6" s="22">
        <f>'Work Progress (%)'!AD15</f>
        <v>0.70000000000000007</v>
      </c>
      <c r="G6" s="22">
        <f>'Work Progress (%)'!AI15</f>
        <v>0.68499999999999994</v>
      </c>
      <c r="H6" s="22">
        <f>'Work Progress (%)'!AQ15</f>
        <v>1</v>
      </c>
      <c r="I6" s="22">
        <f>'Work Progress (%)'!AV15</f>
        <v>0.7</v>
      </c>
      <c r="J6" s="22">
        <f>'Work Progress (%)'!BD15</f>
        <v>0</v>
      </c>
      <c r="K6" s="22">
        <v>0.7</v>
      </c>
      <c r="L6" s="22">
        <v>1</v>
      </c>
      <c r="M6" s="22">
        <v>0.2</v>
      </c>
      <c r="N6" s="22">
        <v>0.9</v>
      </c>
      <c r="O6" s="23">
        <f t="shared" si="2"/>
        <v>0.86950000000000005</v>
      </c>
      <c r="P6" s="8"/>
    </row>
    <row r="7" spans="1:16" ht="73.5" customHeight="1" x14ac:dyDescent="0.45">
      <c r="A7" s="3">
        <v>103</v>
      </c>
      <c r="B7" s="4" t="s">
        <v>27</v>
      </c>
      <c r="C7" s="22">
        <f>'Work Progress (%)'!G16</f>
        <v>1</v>
      </c>
      <c r="D7" s="22">
        <f>'Work Progress (%)'!L16</f>
        <v>1</v>
      </c>
      <c r="E7" s="22">
        <f>'Work Progress (%)'!Y16</f>
        <v>1.0000000000000002</v>
      </c>
      <c r="F7" s="22">
        <f>'Work Progress (%)'!AD16</f>
        <v>0.70000000000000007</v>
      </c>
      <c r="G7" s="22">
        <f>'Work Progress (%)'!AI16</f>
        <v>1</v>
      </c>
      <c r="H7" s="22">
        <f>'Work Progress (%)'!AQ16</f>
        <v>1</v>
      </c>
      <c r="I7" s="22">
        <f>'Work Progress (%)'!AV16</f>
        <v>0.7</v>
      </c>
      <c r="J7" s="22">
        <f>'Work Progress (%)'!BD16</f>
        <v>0</v>
      </c>
      <c r="K7" s="22">
        <v>0.7</v>
      </c>
      <c r="L7" s="22">
        <v>1</v>
      </c>
      <c r="M7" s="22">
        <v>0.2</v>
      </c>
      <c r="N7" s="22">
        <v>0.9</v>
      </c>
      <c r="O7" s="23">
        <f t="shared" si="2"/>
        <v>0.90100000000000013</v>
      </c>
      <c r="P7" s="8"/>
    </row>
    <row r="8" spans="1:16" ht="73.5" customHeight="1" x14ac:dyDescent="0.45">
      <c r="A8" s="3">
        <v>104</v>
      </c>
      <c r="B8" s="4" t="s">
        <v>27</v>
      </c>
      <c r="C8" s="22">
        <f>'Work Progress (%)'!G17</f>
        <v>1</v>
      </c>
      <c r="D8" s="22">
        <f>'Work Progress (%)'!L17</f>
        <v>1</v>
      </c>
      <c r="E8" s="22">
        <f>'Work Progress (%)'!Y17</f>
        <v>1.0000000000000002</v>
      </c>
      <c r="F8" s="22">
        <f>'Work Progress (%)'!AD17</f>
        <v>0.5</v>
      </c>
      <c r="G8" s="22">
        <f>'Work Progress (%)'!AI17</f>
        <v>0.69499999999999995</v>
      </c>
      <c r="H8" s="22">
        <f>'Work Progress (%)'!AQ17</f>
        <v>1</v>
      </c>
      <c r="I8" s="22">
        <f>'Work Progress (%)'!AV17</f>
        <v>0.7</v>
      </c>
      <c r="J8" s="22">
        <f>'Work Progress (%)'!BD17</f>
        <v>0</v>
      </c>
      <c r="K8" s="22">
        <v>0.7</v>
      </c>
      <c r="L8" s="22">
        <v>1</v>
      </c>
      <c r="M8" s="22">
        <v>0.2</v>
      </c>
      <c r="N8" s="22">
        <v>0.9</v>
      </c>
      <c r="O8" s="23">
        <f t="shared" si="2"/>
        <v>0.85050000000000014</v>
      </c>
      <c r="P8" s="8"/>
    </row>
    <row r="9" spans="1:16" ht="73.5" customHeight="1" x14ac:dyDescent="0.45">
      <c r="A9" s="3">
        <v>105</v>
      </c>
      <c r="B9" s="4" t="s">
        <v>27</v>
      </c>
      <c r="C9" s="22">
        <f>'Work Progress (%)'!G18</f>
        <v>1</v>
      </c>
      <c r="D9" s="22">
        <f>'Work Progress (%)'!L18</f>
        <v>1</v>
      </c>
      <c r="E9" s="22">
        <f>'Work Progress (%)'!Y18</f>
        <v>1.0000000000000002</v>
      </c>
      <c r="F9" s="22">
        <f>'Work Progress (%)'!AD18</f>
        <v>0.70000000000000007</v>
      </c>
      <c r="G9" s="22">
        <f>'Work Progress (%)'!AI18</f>
        <v>0.78499999999999992</v>
      </c>
      <c r="H9" s="22">
        <f>'Work Progress (%)'!AQ18</f>
        <v>1</v>
      </c>
      <c r="I9" s="22">
        <f>'Work Progress (%)'!AV18</f>
        <v>0.7</v>
      </c>
      <c r="J9" s="22">
        <f>'Work Progress (%)'!BD18</f>
        <v>0</v>
      </c>
      <c r="K9" s="22">
        <v>0.7</v>
      </c>
      <c r="L9" s="22">
        <v>1</v>
      </c>
      <c r="M9" s="22">
        <v>0.2</v>
      </c>
      <c r="N9" s="22">
        <v>0.9</v>
      </c>
      <c r="O9" s="23">
        <f t="shared" si="2"/>
        <v>0.87950000000000006</v>
      </c>
      <c r="P9" s="8"/>
    </row>
    <row r="10" spans="1:16" ht="73.5" customHeight="1" x14ac:dyDescent="0.45">
      <c r="A10" s="3">
        <v>106</v>
      </c>
      <c r="B10" s="4" t="s">
        <v>27</v>
      </c>
      <c r="C10" s="22">
        <f>'Work Progress (%)'!G19</f>
        <v>1</v>
      </c>
      <c r="D10" s="22">
        <f>'Work Progress (%)'!L19</f>
        <v>1</v>
      </c>
      <c r="E10" s="22">
        <f>'Work Progress (%)'!Y19</f>
        <v>1.0000000000000002</v>
      </c>
      <c r="F10" s="22">
        <f>'Work Progress (%)'!AD19</f>
        <v>0.70000000000000007</v>
      </c>
      <c r="G10" s="22">
        <f>'Work Progress (%)'!AI19</f>
        <v>1</v>
      </c>
      <c r="H10" s="22">
        <f>'Work Progress (%)'!AQ19</f>
        <v>1</v>
      </c>
      <c r="I10" s="22">
        <f>'Work Progress (%)'!AV19</f>
        <v>0.85</v>
      </c>
      <c r="J10" s="22">
        <f>'Work Progress (%)'!BD19</f>
        <v>0</v>
      </c>
      <c r="K10" s="22">
        <v>0.7</v>
      </c>
      <c r="L10" s="22">
        <v>1</v>
      </c>
      <c r="M10" s="22">
        <v>0.2</v>
      </c>
      <c r="N10" s="22">
        <v>0.9</v>
      </c>
      <c r="O10" s="23">
        <f t="shared" si="2"/>
        <v>0.90850000000000009</v>
      </c>
      <c r="P10" s="8"/>
    </row>
    <row r="11" spans="1:16" ht="73.5" customHeight="1" x14ac:dyDescent="0.45">
      <c r="A11" s="3">
        <v>107</v>
      </c>
      <c r="B11" s="4" t="s">
        <v>27</v>
      </c>
      <c r="C11" s="22">
        <f>'Work Progress (%)'!G20</f>
        <v>1</v>
      </c>
      <c r="D11" s="22">
        <f>'Work Progress (%)'!L20</f>
        <v>1</v>
      </c>
      <c r="E11" s="22">
        <f>'Work Progress (%)'!Y20</f>
        <v>1.0000000000000002</v>
      </c>
      <c r="F11" s="22">
        <f>'Work Progress (%)'!AD20</f>
        <v>0.70000000000000007</v>
      </c>
      <c r="G11" s="22">
        <f>'Work Progress (%)'!AI20</f>
        <v>1</v>
      </c>
      <c r="H11" s="22">
        <f>'Work Progress (%)'!AQ20</f>
        <v>1</v>
      </c>
      <c r="I11" s="22">
        <f>'Work Progress (%)'!AV20</f>
        <v>0.7</v>
      </c>
      <c r="J11" s="22">
        <f>'Work Progress (%)'!BD20</f>
        <v>0</v>
      </c>
      <c r="K11" s="22">
        <v>0.7</v>
      </c>
      <c r="L11" s="22">
        <v>1</v>
      </c>
      <c r="M11" s="22">
        <v>0.2</v>
      </c>
      <c r="N11" s="22">
        <v>0.9</v>
      </c>
      <c r="O11" s="23">
        <f t="shared" si="2"/>
        <v>0.90100000000000013</v>
      </c>
      <c r="P11" s="8"/>
    </row>
    <row r="12" spans="1:16" ht="73.5" customHeight="1" x14ac:dyDescent="0.45">
      <c r="A12" s="3">
        <v>108</v>
      </c>
      <c r="B12" s="4" t="s">
        <v>27</v>
      </c>
      <c r="C12" s="22">
        <f>'Work Progress (%)'!G21</f>
        <v>1</v>
      </c>
      <c r="D12" s="22">
        <f>'Work Progress (%)'!L21</f>
        <v>1</v>
      </c>
      <c r="E12" s="22">
        <f>'Work Progress (%)'!Y21</f>
        <v>1.0000000000000002</v>
      </c>
      <c r="F12" s="22">
        <f>'Work Progress (%)'!AD21</f>
        <v>0.80000000000000016</v>
      </c>
      <c r="G12" s="22">
        <f>'Work Progress (%)'!AI21</f>
        <v>1</v>
      </c>
      <c r="H12" s="22">
        <f>'Work Progress (%)'!AQ21</f>
        <v>1</v>
      </c>
      <c r="I12" s="22">
        <f>'Work Progress (%)'!AV21</f>
        <v>0.85</v>
      </c>
      <c r="J12" s="22">
        <f>'Work Progress (%)'!BD21</f>
        <v>0</v>
      </c>
      <c r="K12" s="22">
        <v>0.7</v>
      </c>
      <c r="L12" s="22">
        <v>1</v>
      </c>
      <c r="M12" s="22">
        <v>0.2</v>
      </c>
      <c r="N12" s="22">
        <v>0.9</v>
      </c>
      <c r="O12" s="23">
        <f t="shared" si="2"/>
        <v>0.91850000000000009</v>
      </c>
      <c r="P12" s="8"/>
    </row>
    <row r="13" spans="1:16" ht="73.5" customHeight="1" x14ac:dyDescent="0.45">
      <c r="A13" s="3">
        <v>109</v>
      </c>
      <c r="B13" s="4" t="s">
        <v>27</v>
      </c>
      <c r="C13" s="22">
        <f>'Work Progress (%)'!G22</f>
        <v>1</v>
      </c>
      <c r="D13" s="22">
        <f>'Work Progress (%)'!L22</f>
        <v>1</v>
      </c>
      <c r="E13" s="22">
        <f>'Work Progress (%)'!Y22</f>
        <v>1.0000000000000002</v>
      </c>
      <c r="F13" s="22">
        <f>'Work Progress (%)'!AD22</f>
        <v>0.70000000000000007</v>
      </c>
      <c r="G13" s="22">
        <f>'Work Progress (%)'!AI22</f>
        <v>1</v>
      </c>
      <c r="H13" s="22">
        <f>'Work Progress (%)'!AQ22</f>
        <v>1</v>
      </c>
      <c r="I13" s="22">
        <f>'Work Progress (%)'!AV22</f>
        <v>0.7</v>
      </c>
      <c r="J13" s="22">
        <f>'Work Progress (%)'!BD22</f>
        <v>0</v>
      </c>
      <c r="K13" s="22">
        <v>0.7</v>
      </c>
      <c r="L13" s="22">
        <v>1</v>
      </c>
      <c r="M13" s="22">
        <v>0.2</v>
      </c>
      <c r="N13" s="22">
        <v>0.9</v>
      </c>
      <c r="O13" s="23">
        <f t="shared" si="2"/>
        <v>0.90100000000000013</v>
      </c>
      <c r="P13" s="8"/>
    </row>
    <row r="14" spans="1:16" ht="73.5" customHeight="1" x14ac:dyDescent="0.45">
      <c r="A14" s="3">
        <v>110</v>
      </c>
      <c r="B14" s="4" t="s">
        <v>27</v>
      </c>
      <c r="C14" s="22">
        <f>'Work Progress (%)'!G23</f>
        <v>1</v>
      </c>
      <c r="D14" s="22">
        <f>'Work Progress (%)'!L23</f>
        <v>1</v>
      </c>
      <c r="E14" s="22">
        <f>'Work Progress (%)'!Y23</f>
        <v>1.0000000000000002</v>
      </c>
      <c r="F14" s="22">
        <f>'Work Progress (%)'!AD23</f>
        <v>0.80000000000000016</v>
      </c>
      <c r="G14" s="22">
        <f>'Work Progress (%)'!AI23</f>
        <v>0.90999999999999992</v>
      </c>
      <c r="H14" s="22">
        <f>'Work Progress (%)'!AQ23</f>
        <v>1</v>
      </c>
      <c r="I14" s="22">
        <f>'Work Progress (%)'!AV23</f>
        <v>0.7</v>
      </c>
      <c r="J14" s="22">
        <f>'Work Progress (%)'!BD23</f>
        <v>0.45</v>
      </c>
      <c r="K14" s="22">
        <v>0.7</v>
      </c>
      <c r="L14" s="22">
        <v>1</v>
      </c>
      <c r="M14" s="22">
        <v>0.2</v>
      </c>
      <c r="N14" s="22">
        <v>0.9</v>
      </c>
      <c r="O14" s="23">
        <f t="shared" si="2"/>
        <v>0.91100000000000003</v>
      </c>
      <c r="P14" s="8"/>
    </row>
    <row r="15" spans="1:16" ht="73.5" customHeight="1" x14ac:dyDescent="0.45">
      <c r="A15" s="3">
        <v>111</v>
      </c>
      <c r="B15" s="4" t="s">
        <v>27</v>
      </c>
      <c r="C15" s="22">
        <f>'Work Progress (%)'!G24</f>
        <v>1</v>
      </c>
      <c r="D15" s="22">
        <f>'Work Progress (%)'!L24</f>
        <v>1</v>
      </c>
      <c r="E15" s="22">
        <f>'Work Progress (%)'!Y24</f>
        <v>1.0000000000000002</v>
      </c>
      <c r="F15" s="22">
        <f>'Work Progress (%)'!AD24</f>
        <v>0.70000000000000007</v>
      </c>
      <c r="G15" s="22">
        <f>'Work Progress (%)'!AI24</f>
        <v>0.90999999999999992</v>
      </c>
      <c r="H15" s="22">
        <f>'Work Progress (%)'!AQ24</f>
        <v>1</v>
      </c>
      <c r="I15" s="22">
        <f>'Work Progress (%)'!AV24</f>
        <v>0.7</v>
      </c>
      <c r="J15" s="22">
        <f>'Work Progress (%)'!BD24</f>
        <v>0</v>
      </c>
      <c r="K15" s="22">
        <v>0.7</v>
      </c>
      <c r="L15" s="22">
        <v>1</v>
      </c>
      <c r="M15" s="22">
        <v>0.2</v>
      </c>
      <c r="N15" s="22">
        <v>0.9</v>
      </c>
      <c r="O15" s="23">
        <f t="shared" si="2"/>
        <v>0.89200000000000002</v>
      </c>
      <c r="P15" s="8"/>
    </row>
    <row r="16" spans="1:16" ht="73.5" customHeight="1" x14ac:dyDescent="0.45">
      <c r="A16" s="3">
        <v>112</v>
      </c>
      <c r="B16" s="4" t="s">
        <v>27</v>
      </c>
      <c r="C16" s="22">
        <f>'Work Progress (%)'!G25</f>
        <v>1</v>
      </c>
      <c r="D16" s="22">
        <f>'Work Progress (%)'!L25</f>
        <v>1</v>
      </c>
      <c r="E16" s="22">
        <f>'Work Progress (%)'!Y25</f>
        <v>1.0000000000000002</v>
      </c>
      <c r="F16" s="22">
        <f>'Work Progress (%)'!AD25</f>
        <v>0.80000000000000016</v>
      </c>
      <c r="G16" s="22">
        <f>'Work Progress (%)'!AI25</f>
        <v>1</v>
      </c>
      <c r="H16" s="22">
        <f>'Work Progress (%)'!AQ25</f>
        <v>1</v>
      </c>
      <c r="I16" s="22">
        <f>'Work Progress (%)'!AV25</f>
        <v>0.7</v>
      </c>
      <c r="J16" s="22">
        <f>'Work Progress (%)'!BD25</f>
        <v>0</v>
      </c>
      <c r="K16" s="22">
        <v>0.7</v>
      </c>
      <c r="L16" s="22">
        <v>1</v>
      </c>
      <c r="M16" s="22">
        <v>0.2</v>
      </c>
      <c r="N16" s="22">
        <v>0.9</v>
      </c>
      <c r="O16" s="23">
        <f t="shared" si="2"/>
        <v>0.91100000000000014</v>
      </c>
      <c r="P16" s="8"/>
    </row>
    <row r="17" spans="1:16" ht="73.5" customHeight="1" x14ac:dyDescent="0.45">
      <c r="A17" s="3">
        <v>113</v>
      </c>
      <c r="B17" s="4" t="s">
        <v>27</v>
      </c>
      <c r="C17" s="22">
        <f>'Work Progress (%)'!G26</f>
        <v>1</v>
      </c>
      <c r="D17" s="22">
        <f>'Work Progress (%)'!L26</f>
        <v>1</v>
      </c>
      <c r="E17" s="22">
        <f>'Work Progress (%)'!Y26</f>
        <v>1.0000000000000002</v>
      </c>
      <c r="F17" s="22">
        <f>'Work Progress (%)'!AD26</f>
        <v>0.70000000000000007</v>
      </c>
      <c r="G17" s="22">
        <f>'Work Progress (%)'!AI26</f>
        <v>1</v>
      </c>
      <c r="H17" s="22">
        <f>'Work Progress (%)'!AQ26</f>
        <v>0.85</v>
      </c>
      <c r="I17" s="22">
        <f>'Work Progress (%)'!AV26</f>
        <v>0.7</v>
      </c>
      <c r="J17" s="22">
        <f>'Work Progress (%)'!BD26</f>
        <v>0</v>
      </c>
      <c r="K17" s="22">
        <v>0.7</v>
      </c>
      <c r="L17" s="22">
        <v>1</v>
      </c>
      <c r="M17" s="22">
        <v>0.2</v>
      </c>
      <c r="N17" s="22">
        <v>0.9</v>
      </c>
      <c r="O17" s="23">
        <f t="shared" si="2"/>
        <v>0.87100000000000011</v>
      </c>
      <c r="P17" s="8"/>
    </row>
    <row r="18" spans="1:16" ht="73.5" customHeight="1" x14ac:dyDescent="0.45">
      <c r="A18" s="3">
        <v>114</v>
      </c>
      <c r="B18" s="4" t="s">
        <v>27</v>
      </c>
      <c r="C18" s="22">
        <f>'Work Progress (%)'!G27</f>
        <v>1</v>
      </c>
      <c r="D18" s="22">
        <f>'Work Progress (%)'!L27</f>
        <v>1</v>
      </c>
      <c r="E18" s="22">
        <f>'Work Progress (%)'!Y27</f>
        <v>1.0000000000000002</v>
      </c>
      <c r="F18" s="22">
        <f>'Work Progress (%)'!AD27</f>
        <v>0.80000000000000016</v>
      </c>
      <c r="G18" s="22">
        <f>'Work Progress (%)'!AI27</f>
        <v>1</v>
      </c>
      <c r="H18" s="22">
        <f>'Work Progress (%)'!AQ27</f>
        <v>1</v>
      </c>
      <c r="I18" s="22">
        <f>'Work Progress (%)'!AV27</f>
        <v>0.7</v>
      </c>
      <c r="J18" s="22">
        <f>'Work Progress (%)'!BD27</f>
        <v>0</v>
      </c>
      <c r="K18" s="22">
        <v>0.7</v>
      </c>
      <c r="L18" s="22">
        <v>1</v>
      </c>
      <c r="M18" s="22">
        <v>0.2</v>
      </c>
      <c r="N18" s="22">
        <v>0.9</v>
      </c>
      <c r="O18" s="23">
        <f t="shared" si="2"/>
        <v>0.91100000000000014</v>
      </c>
      <c r="P18" s="8"/>
    </row>
    <row r="19" spans="1:16" ht="73.5" customHeight="1" x14ac:dyDescent="0.45">
      <c r="A19" s="3">
        <v>115</v>
      </c>
      <c r="B19" s="4" t="s">
        <v>27</v>
      </c>
      <c r="C19" s="22">
        <f>'Work Progress (%)'!G28</f>
        <v>1</v>
      </c>
      <c r="D19" s="22">
        <f>'Work Progress (%)'!L28</f>
        <v>1</v>
      </c>
      <c r="E19" s="22">
        <f>'Work Progress (%)'!Y28</f>
        <v>1.0000000000000002</v>
      </c>
      <c r="F19" s="22">
        <f>'Work Progress (%)'!AD28</f>
        <v>0.5</v>
      </c>
      <c r="G19" s="22">
        <f>'Work Progress (%)'!AI28</f>
        <v>0.68499999999999994</v>
      </c>
      <c r="H19" s="22">
        <f>'Work Progress (%)'!AQ28</f>
        <v>1</v>
      </c>
      <c r="I19" s="22">
        <f>'Work Progress (%)'!AV28</f>
        <v>0.7</v>
      </c>
      <c r="J19" s="22">
        <f>'Work Progress (%)'!BD28</f>
        <v>0</v>
      </c>
      <c r="K19" s="22">
        <v>0.7</v>
      </c>
      <c r="L19" s="22">
        <v>1</v>
      </c>
      <c r="M19" s="22">
        <v>0.2</v>
      </c>
      <c r="N19" s="22">
        <v>0.9</v>
      </c>
      <c r="O19" s="23">
        <f t="shared" si="2"/>
        <v>0.84950000000000025</v>
      </c>
      <c r="P19" s="8"/>
    </row>
    <row r="20" spans="1:16" ht="73.5" customHeight="1" x14ac:dyDescent="0.45">
      <c r="A20" s="3">
        <v>116</v>
      </c>
      <c r="B20" s="4" t="s">
        <v>27</v>
      </c>
      <c r="C20" s="22">
        <f>'Work Progress (%)'!G29</f>
        <v>1</v>
      </c>
      <c r="D20" s="22">
        <f>'Work Progress (%)'!L29</f>
        <v>1</v>
      </c>
      <c r="E20" s="22">
        <f>'Work Progress (%)'!Y29</f>
        <v>1.0000000000000002</v>
      </c>
      <c r="F20" s="22">
        <f>'Work Progress (%)'!AD29</f>
        <v>0.70000000000000007</v>
      </c>
      <c r="G20" s="22">
        <f>'Work Progress (%)'!AI29</f>
        <v>1</v>
      </c>
      <c r="H20" s="22">
        <f>'Work Progress (%)'!AQ29</f>
        <v>1</v>
      </c>
      <c r="I20" s="22">
        <f>'Work Progress (%)'!AV29</f>
        <v>0.7</v>
      </c>
      <c r="J20" s="22">
        <f>'Work Progress (%)'!BD29</f>
        <v>0</v>
      </c>
      <c r="K20" s="22">
        <v>0.7</v>
      </c>
      <c r="L20" s="22">
        <v>1</v>
      </c>
      <c r="M20" s="22">
        <v>0.2</v>
      </c>
      <c r="N20" s="22">
        <v>0.9</v>
      </c>
      <c r="O20" s="23">
        <f t="shared" si="2"/>
        <v>0.90100000000000013</v>
      </c>
      <c r="P20" s="8"/>
    </row>
    <row r="21" spans="1:16" ht="73.5" customHeight="1" x14ac:dyDescent="0.45">
      <c r="A21" s="169" t="s">
        <v>28</v>
      </c>
      <c r="B21" s="170"/>
      <c r="C21" s="161">
        <f>AVERAGE(C23:C37)</f>
        <v>1</v>
      </c>
      <c r="D21" s="161">
        <f t="shared" ref="D21:N21" si="3">AVERAGE(D23:D37)</f>
        <v>1</v>
      </c>
      <c r="E21" s="22">
        <f t="shared" si="3"/>
        <v>0.99750000000000039</v>
      </c>
      <c r="F21" s="161">
        <f t="shared" si="3"/>
        <v>0.5</v>
      </c>
      <c r="G21" s="161">
        <f t="shared" si="3"/>
        <v>0.86166666666666669</v>
      </c>
      <c r="H21" s="161">
        <f t="shared" si="3"/>
        <v>0.99</v>
      </c>
      <c r="I21" s="161">
        <f t="shared" si="3"/>
        <v>0.54999999999999993</v>
      </c>
      <c r="J21" s="161">
        <f t="shared" si="3"/>
        <v>0</v>
      </c>
      <c r="K21" s="161">
        <f t="shared" si="3"/>
        <v>0.69999999999999984</v>
      </c>
      <c r="L21" s="161">
        <f t="shared" si="3"/>
        <v>1</v>
      </c>
      <c r="M21" s="161">
        <f t="shared" si="3"/>
        <v>0.20000000000000004</v>
      </c>
      <c r="N21" s="161">
        <f t="shared" si="3"/>
        <v>0.69999999999999984</v>
      </c>
      <c r="O21" s="16">
        <f>AVERAGE(O22:O37)</f>
        <v>0.8503750000000001</v>
      </c>
      <c r="P21" s="14"/>
    </row>
    <row r="22" spans="1:16" ht="73.5" customHeight="1" x14ac:dyDescent="0.45">
      <c r="A22" s="3">
        <v>201</v>
      </c>
      <c r="B22" s="4" t="s">
        <v>29</v>
      </c>
      <c r="C22" s="22">
        <f>'Work Progress (%)'!G31</f>
        <v>1</v>
      </c>
      <c r="D22" s="22">
        <f>'Work Progress (%)'!L31</f>
        <v>1</v>
      </c>
      <c r="E22" s="22">
        <f>'Work Progress (%)'!Y31</f>
        <v>0.99750000000000005</v>
      </c>
      <c r="F22" s="22">
        <f>'Work Progress (%)'!AD31</f>
        <v>0.5</v>
      </c>
      <c r="G22" s="22">
        <f>'Work Progress (%)'!AI31</f>
        <v>0.375</v>
      </c>
      <c r="H22" s="22">
        <f>'Work Progress (%)'!AQ31</f>
        <v>0.85</v>
      </c>
      <c r="I22" s="22">
        <f>'Work Progress (%)'!AV31</f>
        <v>0.55000000000000004</v>
      </c>
      <c r="J22" s="22">
        <f>'Work Progress (%)'!BD31</f>
        <v>0</v>
      </c>
      <c r="K22" s="22">
        <v>0.7</v>
      </c>
      <c r="L22" s="22">
        <v>1</v>
      </c>
      <c r="M22" s="22">
        <v>0.2</v>
      </c>
      <c r="N22" s="22">
        <v>0.7</v>
      </c>
      <c r="O22" s="23">
        <f t="shared" ref="O22:O37" si="4">SUMPRODUCT(C22:N22, C$2:N$2)</f>
        <v>0.77850000000000008</v>
      </c>
      <c r="P22" s="8"/>
    </row>
    <row r="23" spans="1:16" ht="73.5" customHeight="1" x14ac:dyDescent="0.45">
      <c r="A23" s="3">
        <v>202</v>
      </c>
      <c r="B23" s="4" t="s">
        <v>29</v>
      </c>
      <c r="C23" s="22">
        <f>'Work Progress (%)'!G32</f>
        <v>1</v>
      </c>
      <c r="D23" s="22">
        <f>'Work Progress (%)'!L32</f>
        <v>1</v>
      </c>
      <c r="E23" s="22">
        <f>'Work Progress (%)'!Y32</f>
        <v>0.99750000000000005</v>
      </c>
      <c r="F23" s="22">
        <f>'Work Progress (%)'!AD32</f>
        <v>0.5</v>
      </c>
      <c r="G23" s="22">
        <f>'Work Progress (%)'!AI32</f>
        <v>0.55000000000000004</v>
      </c>
      <c r="H23" s="22">
        <f>'Work Progress (%)'!AQ32</f>
        <v>1</v>
      </c>
      <c r="I23" s="22">
        <f>'Work Progress (%)'!AV32</f>
        <v>0.55000000000000004</v>
      </c>
      <c r="J23" s="22">
        <f>'Work Progress (%)'!BD32</f>
        <v>0</v>
      </c>
      <c r="K23" s="22">
        <v>0.7</v>
      </c>
      <c r="L23" s="22">
        <v>1</v>
      </c>
      <c r="M23" s="22">
        <v>0.2</v>
      </c>
      <c r="N23" s="22">
        <v>0.7</v>
      </c>
      <c r="O23" s="23">
        <f t="shared" si="4"/>
        <v>0.82599999999999996</v>
      </c>
      <c r="P23" s="8"/>
    </row>
    <row r="24" spans="1:16" ht="73.5" customHeight="1" x14ac:dyDescent="0.45">
      <c r="A24" s="3">
        <v>203</v>
      </c>
      <c r="B24" s="4" t="s">
        <v>29</v>
      </c>
      <c r="C24" s="22">
        <f>'Work Progress (%)'!G33</f>
        <v>1</v>
      </c>
      <c r="D24" s="22">
        <f>'Work Progress (%)'!L33</f>
        <v>1</v>
      </c>
      <c r="E24" s="22">
        <f>'Work Progress (%)'!Y33</f>
        <v>0.99750000000000005</v>
      </c>
      <c r="F24" s="22">
        <f>'Work Progress (%)'!AD33</f>
        <v>0.5</v>
      </c>
      <c r="G24" s="22">
        <f>'Work Progress (%)'!AI33</f>
        <v>0.59499999999999997</v>
      </c>
      <c r="H24" s="22">
        <f>'Work Progress (%)'!AQ33</f>
        <v>1</v>
      </c>
      <c r="I24" s="22">
        <f>'Work Progress (%)'!AV33</f>
        <v>0.55000000000000004</v>
      </c>
      <c r="J24" s="22">
        <f>'Work Progress (%)'!BD33</f>
        <v>0</v>
      </c>
      <c r="K24" s="22">
        <v>0.7</v>
      </c>
      <c r="L24" s="22">
        <v>1</v>
      </c>
      <c r="M24" s="22">
        <v>0.2</v>
      </c>
      <c r="N24" s="22">
        <v>0.7</v>
      </c>
      <c r="O24" s="23">
        <f t="shared" si="4"/>
        <v>0.8304999999999999</v>
      </c>
      <c r="P24" s="8"/>
    </row>
    <row r="25" spans="1:16" ht="73.5" customHeight="1" x14ac:dyDescent="0.45">
      <c r="A25" s="3">
        <v>204</v>
      </c>
      <c r="B25" s="4" t="s">
        <v>29</v>
      </c>
      <c r="C25" s="22">
        <f>'Work Progress (%)'!G34</f>
        <v>1</v>
      </c>
      <c r="D25" s="22">
        <f>'Work Progress (%)'!L34</f>
        <v>1</v>
      </c>
      <c r="E25" s="22">
        <f>'Work Progress (%)'!Y34</f>
        <v>0.99750000000000005</v>
      </c>
      <c r="F25" s="22">
        <f>'Work Progress (%)'!AD34</f>
        <v>0.5</v>
      </c>
      <c r="G25" s="22">
        <f>'Work Progress (%)'!AI34</f>
        <v>0.7</v>
      </c>
      <c r="H25" s="22">
        <f>'Work Progress (%)'!AQ34</f>
        <v>1</v>
      </c>
      <c r="I25" s="22">
        <f>'Work Progress (%)'!AV34</f>
        <v>0.55000000000000004</v>
      </c>
      <c r="J25" s="22">
        <f>'Work Progress (%)'!BD34</f>
        <v>0</v>
      </c>
      <c r="K25" s="22">
        <v>0.7</v>
      </c>
      <c r="L25" s="22">
        <v>1</v>
      </c>
      <c r="M25" s="22">
        <v>0.2</v>
      </c>
      <c r="N25" s="22">
        <v>0.7</v>
      </c>
      <c r="O25" s="23">
        <f t="shared" si="4"/>
        <v>0.84100000000000008</v>
      </c>
      <c r="P25" s="8"/>
    </row>
    <row r="26" spans="1:16" ht="73.5" customHeight="1" x14ac:dyDescent="0.45">
      <c r="A26" s="3">
        <v>205</v>
      </c>
      <c r="B26" s="4" t="s">
        <v>29</v>
      </c>
      <c r="C26" s="22">
        <f>'Work Progress (%)'!G35</f>
        <v>1</v>
      </c>
      <c r="D26" s="22">
        <f>'Work Progress (%)'!L35</f>
        <v>1</v>
      </c>
      <c r="E26" s="22">
        <f>'Work Progress (%)'!Y35</f>
        <v>0.99750000000000005</v>
      </c>
      <c r="F26" s="22">
        <f>'Work Progress (%)'!AD35</f>
        <v>0.5</v>
      </c>
      <c r="G26" s="22">
        <f>'Work Progress (%)'!AI35</f>
        <v>0.85</v>
      </c>
      <c r="H26" s="22">
        <f>'Work Progress (%)'!AQ35</f>
        <v>1</v>
      </c>
      <c r="I26" s="22">
        <f>'Work Progress (%)'!AV35</f>
        <v>0.55000000000000004</v>
      </c>
      <c r="J26" s="22">
        <f>'Work Progress (%)'!BD35</f>
        <v>0</v>
      </c>
      <c r="K26" s="22">
        <v>0.7</v>
      </c>
      <c r="L26" s="22">
        <v>1</v>
      </c>
      <c r="M26" s="22">
        <v>0.2</v>
      </c>
      <c r="N26" s="22">
        <v>0.7</v>
      </c>
      <c r="O26" s="23">
        <f t="shared" si="4"/>
        <v>0.85599999999999998</v>
      </c>
      <c r="P26" s="8"/>
    </row>
    <row r="27" spans="1:16" ht="73.5" customHeight="1" x14ac:dyDescent="0.45">
      <c r="A27" s="3">
        <v>206</v>
      </c>
      <c r="B27" s="4" t="s">
        <v>29</v>
      </c>
      <c r="C27" s="22">
        <f>'Work Progress (%)'!G36</f>
        <v>1</v>
      </c>
      <c r="D27" s="22">
        <f>'Work Progress (%)'!L36</f>
        <v>1</v>
      </c>
      <c r="E27" s="22">
        <f>'Work Progress (%)'!Y36</f>
        <v>0.99750000000000005</v>
      </c>
      <c r="F27" s="22">
        <f>'Work Progress (%)'!AD36</f>
        <v>0.5</v>
      </c>
      <c r="G27" s="22">
        <f>'Work Progress (%)'!AI36</f>
        <v>1</v>
      </c>
      <c r="H27" s="22">
        <f>'Work Progress (%)'!AQ36</f>
        <v>1</v>
      </c>
      <c r="I27" s="22">
        <f>'Work Progress (%)'!AV36</f>
        <v>0.55000000000000004</v>
      </c>
      <c r="J27" s="22">
        <f>'Work Progress (%)'!BD36</f>
        <v>0</v>
      </c>
      <c r="K27" s="22">
        <v>0.7</v>
      </c>
      <c r="L27" s="22">
        <v>1</v>
      </c>
      <c r="M27" s="22">
        <v>0.2</v>
      </c>
      <c r="N27" s="22">
        <v>0.7</v>
      </c>
      <c r="O27" s="23">
        <f t="shared" si="4"/>
        <v>0.87100000000000011</v>
      </c>
      <c r="P27" s="8"/>
    </row>
    <row r="28" spans="1:16" ht="73.5" customHeight="1" x14ac:dyDescent="0.45">
      <c r="A28" s="3">
        <v>207</v>
      </c>
      <c r="B28" s="4" t="s">
        <v>29</v>
      </c>
      <c r="C28" s="22">
        <f>'Work Progress (%)'!G37</f>
        <v>1</v>
      </c>
      <c r="D28" s="22">
        <f>'Work Progress (%)'!L37</f>
        <v>1</v>
      </c>
      <c r="E28" s="22">
        <f>'Work Progress (%)'!Y37</f>
        <v>0.99750000000000005</v>
      </c>
      <c r="F28" s="22">
        <f>'Work Progress (%)'!AD37</f>
        <v>0.5</v>
      </c>
      <c r="G28" s="22">
        <f>'Work Progress (%)'!AI37</f>
        <v>0.90500000000000003</v>
      </c>
      <c r="H28" s="22">
        <f>'Work Progress (%)'!AQ37</f>
        <v>1</v>
      </c>
      <c r="I28" s="22">
        <f>'Work Progress (%)'!AV37</f>
        <v>0.55000000000000004</v>
      </c>
      <c r="J28" s="22">
        <f>'Work Progress (%)'!BD37</f>
        <v>0</v>
      </c>
      <c r="K28" s="22">
        <v>0.7</v>
      </c>
      <c r="L28" s="22">
        <v>1</v>
      </c>
      <c r="M28" s="22">
        <v>0.2</v>
      </c>
      <c r="N28" s="22">
        <v>0.7</v>
      </c>
      <c r="O28" s="23">
        <f t="shared" si="4"/>
        <v>0.86150000000000004</v>
      </c>
      <c r="P28" s="8"/>
    </row>
    <row r="29" spans="1:16" ht="73.5" customHeight="1" x14ac:dyDescent="0.45">
      <c r="A29" s="3">
        <v>208</v>
      </c>
      <c r="B29" s="4" t="s">
        <v>29</v>
      </c>
      <c r="C29" s="22">
        <f>'Work Progress (%)'!G38</f>
        <v>1</v>
      </c>
      <c r="D29" s="22">
        <f>'Work Progress (%)'!L38</f>
        <v>1</v>
      </c>
      <c r="E29" s="22">
        <f>'Work Progress (%)'!Y38</f>
        <v>0.99750000000000005</v>
      </c>
      <c r="F29" s="22">
        <f>'Work Progress (%)'!AD38</f>
        <v>0.5</v>
      </c>
      <c r="G29" s="22">
        <f>'Work Progress (%)'!AI38</f>
        <v>1</v>
      </c>
      <c r="H29" s="22">
        <f>'Work Progress (%)'!AQ38</f>
        <v>1</v>
      </c>
      <c r="I29" s="22">
        <f>'Work Progress (%)'!AV38</f>
        <v>0.55000000000000004</v>
      </c>
      <c r="J29" s="22">
        <f>'Work Progress (%)'!BD38</f>
        <v>0</v>
      </c>
      <c r="K29" s="22">
        <v>0.7</v>
      </c>
      <c r="L29" s="22">
        <v>1</v>
      </c>
      <c r="M29" s="22">
        <v>0.2</v>
      </c>
      <c r="N29" s="22">
        <v>0.7</v>
      </c>
      <c r="O29" s="23">
        <f t="shared" si="4"/>
        <v>0.87100000000000011</v>
      </c>
      <c r="P29" s="8"/>
    </row>
    <row r="30" spans="1:16" ht="73.5" customHeight="1" x14ac:dyDescent="0.45">
      <c r="A30" s="3">
        <v>209</v>
      </c>
      <c r="B30" s="4" t="s">
        <v>29</v>
      </c>
      <c r="C30" s="22">
        <f>'Work Progress (%)'!G39</f>
        <v>1</v>
      </c>
      <c r="D30" s="22">
        <f>'Work Progress (%)'!L39</f>
        <v>1</v>
      </c>
      <c r="E30" s="22">
        <f>'Work Progress (%)'!Y39</f>
        <v>0.99750000000000005</v>
      </c>
      <c r="F30" s="22">
        <f>'Work Progress (%)'!AD39</f>
        <v>0.5</v>
      </c>
      <c r="G30" s="22">
        <f>'Work Progress (%)'!AI39</f>
        <v>0.90999999999999992</v>
      </c>
      <c r="H30" s="22">
        <f>'Work Progress (%)'!AQ39</f>
        <v>1</v>
      </c>
      <c r="I30" s="22">
        <f>'Work Progress (%)'!AV39</f>
        <v>0.55000000000000004</v>
      </c>
      <c r="J30" s="22">
        <f>'Work Progress (%)'!BD39</f>
        <v>0</v>
      </c>
      <c r="K30" s="22">
        <v>0.7</v>
      </c>
      <c r="L30" s="22">
        <v>1</v>
      </c>
      <c r="M30" s="22">
        <v>0.2</v>
      </c>
      <c r="N30" s="22">
        <v>0.7</v>
      </c>
      <c r="O30" s="23">
        <f t="shared" si="4"/>
        <v>0.86199999999999999</v>
      </c>
      <c r="P30" s="8"/>
    </row>
    <row r="31" spans="1:16" ht="73.5" customHeight="1" x14ac:dyDescent="0.45">
      <c r="A31" s="3">
        <v>210</v>
      </c>
      <c r="B31" s="4" t="s">
        <v>29</v>
      </c>
      <c r="C31" s="22">
        <f>'Work Progress (%)'!G40</f>
        <v>1</v>
      </c>
      <c r="D31" s="22">
        <f>'Work Progress (%)'!L40</f>
        <v>1</v>
      </c>
      <c r="E31" s="22">
        <f>'Work Progress (%)'!Y40</f>
        <v>0.99750000000000005</v>
      </c>
      <c r="F31" s="22">
        <f>'Work Progress (%)'!AD40</f>
        <v>0.5</v>
      </c>
      <c r="G31" s="22">
        <f>'Work Progress (%)'!AI40</f>
        <v>1</v>
      </c>
      <c r="H31" s="22">
        <f>'Work Progress (%)'!AQ40</f>
        <v>1</v>
      </c>
      <c r="I31" s="22">
        <f>'Work Progress (%)'!AV40</f>
        <v>0.55000000000000004</v>
      </c>
      <c r="J31" s="22">
        <f>'Work Progress (%)'!BD40</f>
        <v>0</v>
      </c>
      <c r="K31" s="22">
        <v>0.7</v>
      </c>
      <c r="L31" s="22">
        <v>1</v>
      </c>
      <c r="M31" s="22">
        <v>0.2</v>
      </c>
      <c r="N31" s="22">
        <v>0.7</v>
      </c>
      <c r="O31" s="23">
        <f t="shared" si="4"/>
        <v>0.87100000000000011</v>
      </c>
      <c r="P31" s="8"/>
    </row>
    <row r="32" spans="1:16" ht="73.5" customHeight="1" x14ac:dyDescent="0.45">
      <c r="A32" s="3">
        <v>211</v>
      </c>
      <c r="B32" s="4" t="s">
        <v>29</v>
      </c>
      <c r="C32" s="22">
        <f>'Work Progress (%)'!G41</f>
        <v>1</v>
      </c>
      <c r="D32" s="22">
        <f>'Work Progress (%)'!L41</f>
        <v>1</v>
      </c>
      <c r="E32" s="22">
        <f>'Work Progress (%)'!Y41</f>
        <v>0.99750000000000005</v>
      </c>
      <c r="F32" s="22">
        <f>'Work Progress (%)'!AD41</f>
        <v>0.5</v>
      </c>
      <c r="G32" s="22">
        <f>'Work Progress (%)'!AI41</f>
        <v>0.82</v>
      </c>
      <c r="H32" s="22">
        <f>'Work Progress (%)'!AQ41</f>
        <v>1</v>
      </c>
      <c r="I32" s="22">
        <f>'Work Progress (%)'!AV41</f>
        <v>0.55000000000000004</v>
      </c>
      <c r="J32" s="22">
        <f>'Work Progress (%)'!BD41</f>
        <v>0</v>
      </c>
      <c r="K32" s="22">
        <v>0.7</v>
      </c>
      <c r="L32" s="22">
        <v>1</v>
      </c>
      <c r="M32" s="22">
        <v>0.2</v>
      </c>
      <c r="N32" s="22">
        <v>0.7</v>
      </c>
      <c r="O32" s="23">
        <f t="shared" si="4"/>
        <v>0.85300000000000009</v>
      </c>
      <c r="P32" s="8"/>
    </row>
    <row r="33" spans="1:16" ht="73.5" customHeight="1" x14ac:dyDescent="0.45">
      <c r="A33" s="3">
        <v>212</v>
      </c>
      <c r="B33" s="4" t="s">
        <v>29</v>
      </c>
      <c r="C33" s="22">
        <f>'Work Progress (%)'!G42</f>
        <v>1</v>
      </c>
      <c r="D33" s="22">
        <f>'Work Progress (%)'!L42</f>
        <v>1</v>
      </c>
      <c r="E33" s="22">
        <f>'Work Progress (%)'!Y42</f>
        <v>0.99750000000000005</v>
      </c>
      <c r="F33" s="22">
        <f>'Work Progress (%)'!AD42</f>
        <v>0.5</v>
      </c>
      <c r="G33" s="22">
        <f>'Work Progress (%)'!AI42</f>
        <v>1</v>
      </c>
      <c r="H33" s="22">
        <f>'Work Progress (%)'!AQ42</f>
        <v>1</v>
      </c>
      <c r="I33" s="22">
        <f>'Work Progress (%)'!AV42</f>
        <v>0.55000000000000004</v>
      </c>
      <c r="J33" s="22">
        <f>'Work Progress (%)'!BD42</f>
        <v>0</v>
      </c>
      <c r="K33" s="22">
        <v>0.7</v>
      </c>
      <c r="L33" s="22">
        <v>1</v>
      </c>
      <c r="M33" s="22">
        <v>0.2</v>
      </c>
      <c r="N33" s="22">
        <v>0.7</v>
      </c>
      <c r="O33" s="23">
        <f t="shared" si="4"/>
        <v>0.87100000000000011</v>
      </c>
      <c r="P33" s="8"/>
    </row>
    <row r="34" spans="1:16" ht="73.5" customHeight="1" x14ac:dyDescent="0.45">
      <c r="A34" s="3">
        <v>213</v>
      </c>
      <c r="B34" s="4" t="s">
        <v>29</v>
      </c>
      <c r="C34" s="22">
        <f>'Work Progress (%)'!G43</f>
        <v>1</v>
      </c>
      <c r="D34" s="22">
        <f>'Work Progress (%)'!L43</f>
        <v>1</v>
      </c>
      <c r="E34" s="22">
        <f>'Work Progress (%)'!Y43</f>
        <v>0.99750000000000005</v>
      </c>
      <c r="F34" s="22">
        <f>'Work Progress (%)'!AD43</f>
        <v>0.5</v>
      </c>
      <c r="G34" s="22">
        <f>'Work Progress (%)'!AI43</f>
        <v>1</v>
      </c>
      <c r="H34" s="22">
        <f>'Work Progress (%)'!AQ43</f>
        <v>0.85</v>
      </c>
      <c r="I34" s="22">
        <f>'Work Progress (%)'!AV43</f>
        <v>0.55000000000000004</v>
      </c>
      <c r="J34" s="22">
        <f>'Work Progress (%)'!BD43</f>
        <v>0</v>
      </c>
      <c r="K34" s="22">
        <v>0.7</v>
      </c>
      <c r="L34" s="22">
        <v>1</v>
      </c>
      <c r="M34" s="22">
        <v>0.2</v>
      </c>
      <c r="N34" s="22">
        <v>0.7</v>
      </c>
      <c r="O34" s="23">
        <f t="shared" si="4"/>
        <v>0.84100000000000008</v>
      </c>
      <c r="P34" s="8"/>
    </row>
    <row r="35" spans="1:16" ht="73.5" customHeight="1" x14ac:dyDescent="0.45">
      <c r="A35" s="3">
        <v>214</v>
      </c>
      <c r="B35" s="4" t="s">
        <v>29</v>
      </c>
      <c r="C35" s="22">
        <f>'Work Progress (%)'!G44</f>
        <v>1</v>
      </c>
      <c r="D35" s="22">
        <f>'Work Progress (%)'!L44</f>
        <v>1</v>
      </c>
      <c r="E35" s="22">
        <f>'Work Progress (%)'!Y44</f>
        <v>0.99750000000000005</v>
      </c>
      <c r="F35" s="22">
        <f>'Work Progress (%)'!AD44</f>
        <v>0.5</v>
      </c>
      <c r="G35" s="22">
        <f>'Work Progress (%)'!AI44</f>
        <v>1</v>
      </c>
      <c r="H35" s="22">
        <f>'Work Progress (%)'!AQ44</f>
        <v>1</v>
      </c>
      <c r="I35" s="22">
        <f>'Work Progress (%)'!AV44</f>
        <v>0.55000000000000004</v>
      </c>
      <c r="J35" s="22">
        <f>'Work Progress (%)'!BD44</f>
        <v>0</v>
      </c>
      <c r="K35" s="22">
        <v>0.7</v>
      </c>
      <c r="L35" s="22">
        <v>1</v>
      </c>
      <c r="M35" s="22">
        <v>0.2</v>
      </c>
      <c r="N35" s="22">
        <v>0.7</v>
      </c>
      <c r="O35" s="23">
        <f t="shared" si="4"/>
        <v>0.87100000000000011</v>
      </c>
      <c r="P35" s="8"/>
    </row>
    <row r="36" spans="1:16" ht="73.5" customHeight="1" x14ac:dyDescent="0.45">
      <c r="A36" s="3">
        <v>215</v>
      </c>
      <c r="B36" s="4" t="s">
        <v>29</v>
      </c>
      <c r="C36" s="22">
        <f>'Work Progress (%)'!G45</f>
        <v>1</v>
      </c>
      <c r="D36" s="22">
        <f>'Work Progress (%)'!L45</f>
        <v>1</v>
      </c>
      <c r="E36" s="22">
        <f>'Work Progress (%)'!Y45</f>
        <v>0.99750000000000005</v>
      </c>
      <c r="F36" s="22">
        <f>'Work Progress (%)'!AD45</f>
        <v>0.5</v>
      </c>
      <c r="G36" s="22">
        <f>'Work Progress (%)'!AI45</f>
        <v>0.68499999999999994</v>
      </c>
      <c r="H36" s="22">
        <f>'Work Progress (%)'!AQ45</f>
        <v>1</v>
      </c>
      <c r="I36" s="22">
        <f>'Work Progress (%)'!AV45</f>
        <v>0.55000000000000004</v>
      </c>
      <c r="J36" s="22">
        <f>'Work Progress (%)'!BD45</f>
        <v>0</v>
      </c>
      <c r="K36" s="22">
        <v>0.7</v>
      </c>
      <c r="L36" s="22">
        <v>1</v>
      </c>
      <c r="M36" s="22">
        <v>0.2</v>
      </c>
      <c r="N36" s="22">
        <v>0.7</v>
      </c>
      <c r="O36" s="23">
        <f t="shared" si="4"/>
        <v>0.83950000000000002</v>
      </c>
      <c r="P36" s="8"/>
    </row>
    <row r="37" spans="1:16" ht="73.5" customHeight="1" x14ac:dyDescent="0.45">
      <c r="A37" s="3">
        <v>216</v>
      </c>
      <c r="B37" s="4" t="s">
        <v>29</v>
      </c>
      <c r="C37" s="22">
        <f>'Work Progress (%)'!G46</f>
        <v>1</v>
      </c>
      <c r="D37" s="22">
        <f>'Work Progress (%)'!L46</f>
        <v>1</v>
      </c>
      <c r="E37" s="22">
        <f>'Work Progress (%)'!Y46</f>
        <v>0.99750000000000005</v>
      </c>
      <c r="F37" s="22">
        <f>'Work Progress (%)'!AD46</f>
        <v>0.5</v>
      </c>
      <c r="G37" s="22">
        <f>'Work Progress (%)'!AI46</f>
        <v>0.90999999999999992</v>
      </c>
      <c r="H37" s="22">
        <f>'Work Progress (%)'!AQ46</f>
        <v>1</v>
      </c>
      <c r="I37" s="22">
        <f>'Work Progress (%)'!AV46</f>
        <v>0.55000000000000004</v>
      </c>
      <c r="J37" s="22">
        <f>'Work Progress (%)'!BD46</f>
        <v>0</v>
      </c>
      <c r="K37" s="22">
        <v>0.7</v>
      </c>
      <c r="L37" s="22">
        <v>1</v>
      </c>
      <c r="M37" s="22">
        <v>0.2</v>
      </c>
      <c r="N37" s="22">
        <v>0.7</v>
      </c>
      <c r="O37" s="23">
        <f t="shared" si="4"/>
        <v>0.86199999999999999</v>
      </c>
      <c r="P37" s="8"/>
    </row>
    <row r="38" spans="1:16" ht="73.5" customHeight="1" x14ac:dyDescent="0.45">
      <c r="A38" s="169" t="s">
        <v>30</v>
      </c>
      <c r="B38" s="170"/>
      <c r="C38" s="161">
        <f>AVERAGE(C40:C54)</f>
        <v>1</v>
      </c>
      <c r="D38" s="161">
        <f t="shared" ref="D38:N38" si="5">AVERAGE(D40:D54)</f>
        <v>0.89400000000000024</v>
      </c>
      <c r="E38" s="22">
        <f t="shared" si="5"/>
        <v>0.99083333333333357</v>
      </c>
      <c r="F38" s="161">
        <f t="shared" si="5"/>
        <v>0.5</v>
      </c>
      <c r="G38" s="161">
        <f t="shared" si="5"/>
        <v>0.85666666666666669</v>
      </c>
      <c r="H38" s="161">
        <f t="shared" si="5"/>
        <v>0.95666666666666667</v>
      </c>
      <c r="I38" s="161">
        <f t="shared" si="5"/>
        <v>0.19799999999999998</v>
      </c>
      <c r="J38" s="161">
        <f t="shared" si="5"/>
        <v>0.05</v>
      </c>
      <c r="K38" s="161">
        <f t="shared" si="5"/>
        <v>0.69999999999999984</v>
      </c>
      <c r="L38" s="161">
        <f t="shared" si="5"/>
        <v>1</v>
      </c>
      <c r="M38" s="161">
        <f t="shared" si="5"/>
        <v>0.20000000000000004</v>
      </c>
      <c r="N38" s="161">
        <f t="shared" si="5"/>
        <v>0.69999999999999984</v>
      </c>
      <c r="O38" s="15">
        <f>AVERAGE(O39:O54)</f>
        <v>0.80768749999999989</v>
      </c>
      <c r="P38" s="14"/>
    </row>
    <row r="39" spans="1:16" ht="73.5" customHeight="1" x14ac:dyDescent="0.45">
      <c r="A39" s="3">
        <v>301</v>
      </c>
      <c r="B39" s="4" t="s">
        <v>31</v>
      </c>
      <c r="C39" s="22">
        <f>'Work Progress (%)'!G48</f>
        <v>1</v>
      </c>
      <c r="D39" s="22">
        <f>'Work Progress (%)'!L48</f>
        <v>0.9</v>
      </c>
      <c r="E39" s="22">
        <f>'Work Progress (%)'!Y48</f>
        <v>0.99750000000000005</v>
      </c>
      <c r="F39" s="22">
        <f>'Work Progress (%)'!AD48</f>
        <v>0.5</v>
      </c>
      <c r="G39" s="22">
        <f>'Work Progress (%)'!AI48</f>
        <v>0.71499999999999997</v>
      </c>
      <c r="H39" s="22">
        <f>'Work Progress (%)'!AQ48</f>
        <v>0.5</v>
      </c>
      <c r="I39" s="22">
        <f>'Work Progress (%)'!AV48</f>
        <v>0.21</v>
      </c>
      <c r="J39" s="22">
        <f>'Work Progress (%)'!BD48</f>
        <v>0</v>
      </c>
      <c r="K39" s="22">
        <v>0.7</v>
      </c>
      <c r="L39" s="22">
        <v>1</v>
      </c>
      <c r="M39" s="22">
        <v>0.2</v>
      </c>
      <c r="N39" s="22">
        <v>0.7</v>
      </c>
      <c r="O39" s="23">
        <f t="shared" ref="O39:O54" si="6">SUMPRODUCT(C39:N39, C$2:N$2)</f>
        <v>0.71049999999999991</v>
      </c>
      <c r="P39" s="8"/>
    </row>
    <row r="40" spans="1:16" ht="73.5" customHeight="1" x14ac:dyDescent="0.45">
      <c r="A40" s="3">
        <v>302</v>
      </c>
      <c r="B40" s="4" t="s">
        <v>31</v>
      </c>
      <c r="C40" s="22">
        <f>'Work Progress (%)'!G49</f>
        <v>1</v>
      </c>
      <c r="D40" s="22">
        <f>'Work Progress (%)'!L49</f>
        <v>0.91</v>
      </c>
      <c r="E40" s="22">
        <f>'Work Progress (%)'!Y49</f>
        <v>0.99750000000000005</v>
      </c>
      <c r="F40" s="22">
        <f>'Work Progress (%)'!AD49</f>
        <v>0.5</v>
      </c>
      <c r="G40" s="22">
        <f>'Work Progress (%)'!AI49</f>
        <v>0.61</v>
      </c>
      <c r="H40" s="22">
        <f>'Work Progress (%)'!AQ49</f>
        <v>1</v>
      </c>
      <c r="I40" s="22">
        <f>'Work Progress (%)'!AV49</f>
        <v>0.21</v>
      </c>
      <c r="J40" s="22">
        <f>'Work Progress (%)'!BD49</f>
        <v>0</v>
      </c>
      <c r="K40" s="22">
        <v>0.7</v>
      </c>
      <c r="L40" s="22">
        <v>1</v>
      </c>
      <c r="M40" s="22">
        <v>0.2</v>
      </c>
      <c r="N40" s="22">
        <v>0.7</v>
      </c>
      <c r="O40" s="23">
        <f t="shared" si="6"/>
        <v>0.8015000000000001</v>
      </c>
      <c r="P40" s="8"/>
    </row>
    <row r="41" spans="1:16" ht="73.5" customHeight="1" x14ac:dyDescent="0.45">
      <c r="A41" s="3">
        <v>303</v>
      </c>
      <c r="B41" s="4" t="s">
        <v>31</v>
      </c>
      <c r="C41" s="22">
        <f>'Work Progress (%)'!G50</f>
        <v>1</v>
      </c>
      <c r="D41" s="22">
        <f>'Work Progress (%)'!L50</f>
        <v>0.9</v>
      </c>
      <c r="E41" s="22">
        <f>'Work Progress (%)'!Y50</f>
        <v>0.99750000000000005</v>
      </c>
      <c r="F41" s="22">
        <f>'Work Progress (%)'!AD50</f>
        <v>0.5</v>
      </c>
      <c r="G41" s="22">
        <f>'Work Progress (%)'!AI50</f>
        <v>0.82</v>
      </c>
      <c r="H41" s="22">
        <f>'Work Progress (%)'!AQ50</f>
        <v>1</v>
      </c>
      <c r="I41" s="22">
        <f>'Work Progress (%)'!AV50</f>
        <v>0.21</v>
      </c>
      <c r="J41" s="22">
        <f>'Work Progress (%)'!BD50</f>
        <v>0</v>
      </c>
      <c r="K41" s="22">
        <v>0.7</v>
      </c>
      <c r="L41" s="22">
        <v>1</v>
      </c>
      <c r="M41" s="22">
        <v>0.2</v>
      </c>
      <c r="N41" s="22">
        <v>0.7</v>
      </c>
      <c r="O41" s="23">
        <f t="shared" si="6"/>
        <v>0.82099999999999995</v>
      </c>
      <c r="P41" s="8"/>
    </row>
    <row r="42" spans="1:16" ht="73.5" customHeight="1" x14ac:dyDescent="0.45">
      <c r="A42" s="3">
        <v>304</v>
      </c>
      <c r="B42" s="4" t="s">
        <v>31</v>
      </c>
      <c r="C42" s="22">
        <f>'Work Progress (%)'!G51</f>
        <v>1</v>
      </c>
      <c r="D42" s="22">
        <f>'Work Progress (%)'!L51</f>
        <v>0.9</v>
      </c>
      <c r="E42" s="22">
        <f>'Work Progress (%)'!Y51</f>
        <v>0.89750000000000008</v>
      </c>
      <c r="F42" s="22">
        <f>'Work Progress (%)'!AD51</f>
        <v>0.5</v>
      </c>
      <c r="G42" s="22">
        <f>'Work Progress (%)'!AI51</f>
        <v>0.68499999999999994</v>
      </c>
      <c r="H42" s="22">
        <f>'Work Progress (%)'!AQ51</f>
        <v>0.85</v>
      </c>
      <c r="I42" s="22">
        <f>'Work Progress (%)'!AV51</f>
        <v>0.3</v>
      </c>
      <c r="J42" s="22">
        <f>'Work Progress (%)'!BD51</f>
        <v>0</v>
      </c>
      <c r="K42" s="22">
        <v>0.7</v>
      </c>
      <c r="L42" s="22">
        <v>1</v>
      </c>
      <c r="M42" s="22">
        <v>0.2</v>
      </c>
      <c r="N42" s="22">
        <v>0.7</v>
      </c>
      <c r="O42" s="23">
        <f t="shared" si="6"/>
        <v>0.76200000000000012</v>
      </c>
      <c r="P42" s="8"/>
    </row>
    <row r="43" spans="1:16" ht="73.5" customHeight="1" x14ac:dyDescent="0.45">
      <c r="A43" s="3">
        <v>305</v>
      </c>
      <c r="B43" s="4" t="s">
        <v>31</v>
      </c>
      <c r="C43" s="22">
        <f>'Work Progress (%)'!G52</f>
        <v>1</v>
      </c>
      <c r="D43" s="22">
        <f>'Work Progress (%)'!L52</f>
        <v>0.9</v>
      </c>
      <c r="E43" s="22">
        <f>'Work Progress (%)'!Y52</f>
        <v>0.99750000000000005</v>
      </c>
      <c r="F43" s="22">
        <f>'Work Progress (%)'!AD52</f>
        <v>0.5</v>
      </c>
      <c r="G43" s="22">
        <f>'Work Progress (%)'!AI52</f>
        <v>0.90500000000000003</v>
      </c>
      <c r="H43" s="22">
        <f>'Work Progress (%)'!AQ52</f>
        <v>1</v>
      </c>
      <c r="I43" s="22">
        <f>'Work Progress (%)'!AV52</f>
        <v>0.21</v>
      </c>
      <c r="J43" s="22">
        <f>'Work Progress (%)'!BD52</f>
        <v>0</v>
      </c>
      <c r="K43" s="22">
        <v>0.7</v>
      </c>
      <c r="L43" s="22">
        <v>1</v>
      </c>
      <c r="M43" s="22">
        <v>0.2</v>
      </c>
      <c r="N43" s="22">
        <v>0.7</v>
      </c>
      <c r="O43" s="23">
        <f t="shared" si="6"/>
        <v>0.8294999999999999</v>
      </c>
      <c r="P43" s="8"/>
    </row>
    <row r="44" spans="1:16" ht="73.5" customHeight="1" x14ac:dyDescent="0.45">
      <c r="A44" s="3">
        <v>306</v>
      </c>
      <c r="B44" s="4" t="s">
        <v>31</v>
      </c>
      <c r="C44" s="22">
        <f>'Work Progress (%)'!G53</f>
        <v>1</v>
      </c>
      <c r="D44" s="22">
        <f>'Work Progress (%)'!L53</f>
        <v>0.87000000000000011</v>
      </c>
      <c r="E44" s="22">
        <f>'Work Progress (%)'!Y53</f>
        <v>0.99750000000000005</v>
      </c>
      <c r="F44" s="22">
        <f>'Work Progress (%)'!AD53</f>
        <v>0.5</v>
      </c>
      <c r="G44" s="22">
        <f>'Work Progress (%)'!AI53</f>
        <v>0.7</v>
      </c>
      <c r="H44" s="22">
        <f>'Work Progress (%)'!AQ53</f>
        <v>1</v>
      </c>
      <c r="I44" s="22">
        <f>'Work Progress (%)'!AV53</f>
        <v>0.3</v>
      </c>
      <c r="J44" s="22">
        <f>'Work Progress (%)'!BD53</f>
        <v>0</v>
      </c>
      <c r="K44" s="22">
        <v>0.7</v>
      </c>
      <c r="L44" s="22">
        <v>1</v>
      </c>
      <c r="M44" s="22">
        <v>0.2</v>
      </c>
      <c r="N44" s="22">
        <v>0.7</v>
      </c>
      <c r="O44" s="23">
        <f t="shared" si="6"/>
        <v>0.80900000000000005</v>
      </c>
      <c r="P44" s="8"/>
    </row>
    <row r="45" spans="1:16" ht="73.5" customHeight="1" x14ac:dyDescent="0.45">
      <c r="A45" s="3">
        <v>307</v>
      </c>
      <c r="B45" s="4" t="s">
        <v>31</v>
      </c>
      <c r="C45" s="22">
        <f>'Work Progress (%)'!G54</f>
        <v>1</v>
      </c>
      <c r="D45" s="22">
        <f>'Work Progress (%)'!L54</f>
        <v>0.9</v>
      </c>
      <c r="E45" s="22">
        <f>'Work Progress (%)'!Y54</f>
        <v>0.99750000000000005</v>
      </c>
      <c r="F45" s="22">
        <f>'Work Progress (%)'!AD54</f>
        <v>0.5</v>
      </c>
      <c r="G45" s="22">
        <f>'Work Progress (%)'!AI54</f>
        <v>1</v>
      </c>
      <c r="H45" s="22">
        <f>'Work Progress (%)'!AQ54</f>
        <v>1</v>
      </c>
      <c r="I45" s="22">
        <f>'Work Progress (%)'!AV54</f>
        <v>0.21</v>
      </c>
      <c r="J45" s="22">
        <f>'Work Progress (%)'!BD54</f>
        <v>0</v>
      </c>
      <c r="K45" s="22">
        <v>0.7</v>
      </c>
      <c r="L45" s="22">
        <v>1</v>
      </c>
      <c r="M45" s="22">
        <v>0.2</v>
      </c>
      <c r="N45" s="22">
        <v>0.7</v>
      </c>
      <c r="O45" s="23">
        <f t="shared" si="6"/>
        <v>0.83899999999999997</v>
      </c>
      <c r="P45" s="8"/>
    </row>
    <row r="46" spans="1:16" ht="73.5" customHeight="1" x14ac:dyDescent="0.45">
      <c r="A46" s="3">
        <v>308</v>
      </c>
      <c r="B46" s="4" t="s">
        <v>31</v>
      </c>
      <c r="C46" s="22">
        <f>'Work Progress (%)'!G55</f>
        <v>1</v>
      </c>
      <c r="D46" s="22">
        <f>'Work Progress (%)'!L55</f>
        <v>0.9</v>
      </c>
      <c r="E46" s="22">
        <f>'Work Progress (%)'!Y55</f>
        <v>0.99750000000000005</v>
      </c>
      <c r="F46" s="22">
        <f>'Work Progress (%)'!AD55</f>
        <v>0.5</v>
      </c>
      <c r="G46" s="22">
        <f>'Work Progress (%)'!AI55</f>
        <v>1</v>
      </c>
      <c r="H46" s="22">
        <f>'Work Progress (%)'!AQ55</f>
        <v>1</v>
      </c>
      <c r="I46" s="22">
        <f>'Work Progress (%)'!AV55</f>
        <v>0.3</v>
      </c>
      <c r="J46" s="22">
        <f>'Work Progress (%)'!BD55</f>
        <v>0</v>
      </c>
      <c r="K46" s="22">
        <v>0.7</v>
      </c>
      <c r="L46" s="22">
        <v>1</v>
      </c>
      <c r="M46" s="22">
        <v>0.2</v>
      </c>
      <c r="N46" s="22">
        <v>0.7</v>
      </c>
      <c r="O46" s="23">
        <f t="shared" si="6"/>
        <v>0.84350000000000003</v>
      </c>
      <c r="P46" s="8"/>
    </row>
    <row r="47" spans="1:16" ht="73.5" customHeight="1" x14ac:dyDescent="0.45">
      <c r="A47" s="3">
        <v>309</v>
      </c>
      <c r="B47" s="4" t="s">
        <v>31</v>
      </c>
      <c r="C47" s="22">
        <f>'Work Progress (%)'!G56</f>
        <v>1</v>
      </c>
      <c r="D47" s="22">
        <f>'Work Progress (%)'!L56</f>
        <v>0.9</v>
      </c>
      <c r="E47" s="22">
        <f>'Work Progress (%)'!Y56</f>
        <v>0.99750000000000005</v>
      </c>
      <c r="F47" s="22">
        <f>'Work Progress (%)'!AD56</f>
        <v>0.5</v>
      </c>
      <c r="G47" s="22">
        <f>'Work Progress (%)'!AI56</f>
        <v>0.82</v>
      </c>
      <c r="H47" s="22">
        <f>'Work Progress (%)'!AQ56</f>
        <v>1</v>
      </c>
      <c r="I47" s="22">
        <f>'Work Progress (%)'!AV56</f>
        <v>0.21</v>
      </c>
      <c r="J47" s="22">
        <f>'Work Progress (%)'!BD56</f>
        <v>0</v>
      </c>
      <c r="K47" s="22">
        <v>0.7</v>
      </c>
      <c r="L47" s="22">
        <v>1</v>
      </c>
      <c r="M47" s="22">
        <v>0.2</v>
      </c>
      <c r="N47" s="22">
        <v>0.7</v>
      </c>
      <c r="O47" s="23">
        <f t="shared" si="6"/>
        <v>0.82099999999999995</v>
      </c>
      <c r="P47" s="8"/>
    </row>
    <row r="48" spans="1:16" ht="73.5" customHeight="1" x14ac:dyDescent="0.45">
      <c r="A48" s="3">
        <v>310</v>
      </c>
      <c r="B48" s="4" t="s">
        <v>31</v>
      </c>
      <c r="C48" s="22">
        <f>'Work Progress (%)'!G57</f>
        <v>1</v>
      </c>
      <c r="D48" s="22">
        <f>'Work Progress (%)'!L57</f>
        <v>0.9</v>
      </c>
      <c r="E48" s="22">
        <f>'Work Progress (%)'!Y57</f>
        <v>0.99750000000000005</v>
      </c>
      <c r="F48" s="22">
        <f>'Work Progress (%)'!AD57</f>
        <v>0.5</v>
      </c>
      <c r="G48" s="22">
        <f>'Work Progress (%)'!AI57</f>
        <v>1</v>
      </c>
      <c r="H48" s="22">
        <f>'Work Progress (%)'!AQ57</f>
        <v>1</v>
      </c>
      <c r="I48" s="22">
        <f>'Work Progress (%)'!AV57</f>
        <v>0.3</v>
      </c>
      <c r="J48" s="22">
        <f>'Work Progress (%)'!BD57</f>
        <v>0</v>
      </c>
      <c r="K48" s="22">
        <v>0.7</v>
      </c>
      <c r="L48" s="22">
        <v>1</v>
      </c>
      <c r="M48" s="22">
        <v>0.2</v>
      </c>
      <c r="N48" s="22">
        <v>0.7</v>
      </c>
      <c r="O48" s="23">
        <f t="shared" si="6"/>
        <v>0.84350000000000003</v>
      </c>
      <c r="P48" s="8"/>
    </row>
    <row r="49" spans="1:16" ht="73.5" customHeight="1" x14ac:dyDescent="0.45">
      <c r="A49" s="3">
        <v>311</v>
      </c>
      <c r="B49" s="4" t="s">
        <v>31</v>
      </c>
      <c r="C49" s="22">
        <f>'Work Progress (%)'!G58</f>
        <v>1</v>
      </c>
      <c r="D49" s="22">
        <f>'Work Progress (%)'!L58</f>
        <v>0.9</v>
      </c>
      <c r="E49" s="22">
        <f>'Work Progress (%)'!Y58</f>
        <v>0.99750000000000005</v>
      </c>
      <c r="F49" s="22">
        <f>'Work Progress (%)'!AD58</f>
        <v>0.5</v>
      </c>
      <c r="G49" s="22">
        <f>'Work Progress (%)'!AI58</f>
        <v>0.82</v>
      </c>
      <c r="H49" s="22">
        <f>'Work Progress (%)'!AQ58</f>
        <v>1</v>
      </c>
      <c r="I49" s="22">
        <f>'Work Progress (%)'!AV58</f>
        <v>0.21</v>
      </c>
      <c r="J49" s="22">
        <f>'Work Progress (%)'!BD58</f>
        <v>0</v>
      </c>
      <c r="K49" s="22">
        <v>0.7</v>
      </c>
      <c r="L49" s="22">
        <v>1</v>
      </c>
      <c r="M49" s="22">
        <v>0.2</v>
      </c>
      <c r="N49" s="22">
        <v>0.7</v>
      </c>
      <c r="O49" s="23">
        <f t="shared" si="6"/>
        <v>0.82099999999999995</v>
      </c>
      <c r="P49" s="8"/>
    </row>
    <row r="50" spans="1:16" ht="73.5" customHeight="1" x14ac:dyDescent="0.45">
      <c r="A50" s="3">
        <v>312</v>
      </c>
      <c r="B50" s="4" t="s">
        <v>31</v>
      </c>
      <c r="C50" s="22">
        <f>'Work Progress (%)'!G59</f>
        <v>1</v>
      </c>
      <c r="D50" s="22">
        <f>'Work Progress (%)'!L59</f>
        <v>0.9</v>
      </c>
      <c r="E50" s="22">
        <f>'Work Progress (%)'!Y59</f>
        <v>0.99750000000000005</v>
      </c>
      <c r="F50" s="22">
        <f>'Work Progress (%)'!AD59</f>
        <v>0.5</v>
      </c>
      <c r="G50" s="22">
        <f>'Work Progress (%)'!AI59</f>
        <v>1</v>
      </c>
      <c r="H50" s="22">
        <f>'Work Progress (%)'!AQ59</f>
        <v>1</v>
      </c>
      <c r="I50" s="22">
        <f>'Work Progress (%)'!AV59</f>
        <v>0.3</v>
      </c>
      <c r="J50" s="22">
        <f>'Work Progress (%)'!BD59</f>
        <v>0.75</v>
      </c>
      <c r="K50" s="22">
        <v>0.7</v>
      </c>
      <c r="L50" s="22">
        <v>1</v>
      </c>
      <c r="M50" s="22">
        <v>0.2</v>
      </c>
      <c r="N50" s="22">
        <v>0.7</v>
      </c>
      <c r="O50" s="23">
        <f t="shared" si="6"/>
        <v>0.85850000000000004</v>
      </c>
      <c r="P50" s="8"/>
    </row>
    <row r="51" spans="1:16" ht="73.5" customHeight="1" x14ac:dyDescent="0.45">
      <c r="A51" s="3">
        <v>313</v>
      </c>
      <c r="B51" s="4" t="s">
        <v>31</v>
      </c>
      <c r="C51" s="22">
        <f>'Work Progress (%)'!G60</f>
        <v>1</v>
      </c>
      <c r="D51" s="22">
        <f>'Work Progress (%)'!L60</f>
        <v>0.83000000000000007</v>
      </c>
      <c r="E51" s="22">
        <f>'Work Progress (%)'!Y60</f>
        <v>0.99750000000000005</v>
      </c>
      <c r="F51" s="22">
        <f>'Work Progress (%)'!AD60</f>
        <v>0.5</v>
      </c>
      <c r="G51" s="22">
        <f>'Work Progress (%)'!AI60</f>
        <v>1</v>
      </c>
      <c r="H51" s="22">
        <f>'Work Progress (%)'!AQ60</f>
        <v>0.5</v>
      </c>
      <c r="I51" s="22">
        <f>'Work Progress (%)'!AV60</f>
        <v>0.21</v>
      </c>
      <c r="J51" s="22">
        <f>'Work Progress (%)'!BD60</f>
        <v>0</v>
      </c>
      <c r="K51" s="22">
        <v>0.7</v>
      </c>
      <c r="L51" s="22">
        <v>1</v>
      </c>
      <c r="M51" s="22">
        <v>0.2</v>
      </c>
      <c r="N51" s="22">
        <v>0.7</v>
      </c>
      <c r="O51" s="23">
        <f t="shared" si="6"/>
        <v>0.72850000000000004</v>
      </c>
      <c r="P51" s="8"/>
    </row>
    <row r="52" spans="1:16" ht="73.5" customHeight="1" x14ac:dyDescent="0.45">
      <c r="A52" s="3">
        <v>314</v>
      </c>
      <c r="B52" s="4" t="s">
        <v>31</v>
      </c>
      <c r="C52" s="22">
        <f>'Work Progress (%)'!G61</f>
        <v>1</v>
      </c>
      <c r="D52" s="22">
        <f>'Work Progress (%)'!L61</f>
        <v>0.9</v>
      </c>
      <c r="E52" s="22">
        <f>'Work Progress (%)'!Y61</f>
        <v>0.99750000000000005</v>
      </c>
      <c r="F52" s="22">
        <f>'Work Progress (%)'!AD61</f>
        <v>0.5</v>
      </c>
      <c r="G52" s="22">
        <f>'Work Progress (%)'!AI61</f>
        <v>1</v>
      </c>
      <c r="H52" s="22">
        <f>'Work Progress (%)'!AQ61</f>
        <v>1</v>
      </c>
      <c r="I52" s="22">
        <f>'Work Progress (%)'!AV61</f>
        <v>0</v>
      </c>
      <c r="J52" s="22">
        <f>'Work Progress (%)'!BD61</f>
        <v>0</v>
      </c>
      <c r="K52" s="22">
        <v>0.7</v>
      </c>
      <c r="L52" s="22">
        <v>1</v>
      </c>
      <c r="M52" s="22">
        <v>0.2</v>
      </c>
      <c r="N52" s="22">
        <v>0.7</v>
      </c>
      <c r="O52" s="23">
        <f t="shared" si="6"/>
        <v>0.82850000000000001</v>
      </c>
      <c r="P52" s="8"/>
    </row>
    <row r="53" spans="1:16" ht="73.5" customHeight="1" x14ac:dyDescent="0.45">
      <c r="A53" s="3">
        <v>315</v>
      </c>
      <c r="B53" s="4" t="s">
        <v>31</v>
      </c>
      <c r="C53" s="22">
        <f>'Work Progress (%)'!G62</f>
        <v>1</v>
      </c>
      <c r="D53" s="22">
        <f>'Work Progress (%)'!L62</f>
        <v>0.9</v>
      </c>
      <c r="E53" s="22">
        <f>'Work Progress (%)'!Y62</f>
        <v>0.99750000000000005</v>
      </c>
      <c r="F53" s="22">
        <f>'Work Progress (%)'!AD62</f>
        <v>0.5</v>
      </c>
      <c r="G53" s="22">
        <f>'Work Progress (%)'!AI62</f>
        <v>0.59499999999999997</v>
      </c>
      <c r="H53" s="22">
        <f>'Work Progress (%)'!AQ62</f>
        <v>1</v>
      </c>
      <c r="I53" s="22">
        <f>'Work Progress (%)'!AV62</f>
        <v>0</v>
      </c>
      <c r="J53" s="22">
        <f>'Work Progress (%)'!BD62</f>
        <v>0</v>
      </c>
      <c r="K53" s="22">
        <v>0.7</v>
      </c>
      <c r="L53" s="22">
        <v>1</v>
      </c>
      <c r="M53" s="22">
        <v>0.2</v>
      </c>
      <c r="N53" s="22">
        <v>0.7</v>
      </c>
      <c r="O53" s="23">
        <f t="shared" si="6"/>
        <v>0.78800000000000003</v>
      </c>
      <c r="P53" s="8"/>
    </row>
    <row r="54" spans="1:16" ht="73.5" customHeight="1" x14ac:dyDescent="0.45">
      <c r="A54" s="3">
        <v>316</v>
      </c>
      <c r="B54" s="4" t="s">
        <v>31</v>
      </c>
      <c r="C54" s="22">
        <f>'Work Progress (%)'!G63</f>
        <v>1</v>
      </c>
      <c r="D54" s="22">
        <f>'Work Progress (%)'!L63</f>
        <v>0.9</v>
      </c>
      <c r="E54" s="22">
        <f>'Work Progress (%)'!Y63</f>
        <v>0.99750000000000005</v>
      </c>
      <c r="F54" s="22">
        <f>'Work Progress (%)'!AD63</f>
        <v>0.5</v>
      </c>
      <c r="G54" s="22">
        <f>'Work Progress (%)'!AI63</f>
        <v>0.89500000000000002</v>
      </c>
      <c r="H54" s="22">
        <f>'Work Progress (%)'!AQ63</f>
        <v>1</v>
      </c>
      <c r="I54" s="22">
        <f>'Work Progress (%)'!AV63</f>
        <v>0</v>
      </c>
      <c r="J54" s="22">
        <f>'Work Progress (%)'!BD63</f>
        <v>0</v>
      </c>
      <c r="K54" s="22">
        <v>0.7</v>
      </c>
      <c r="L54" s="22">
        <v>1</v>
      </c>
      <c r="M54" s="22">
        <v>0.2</v>
      </c>
      <c r="N54" s="22">
        <v>0.7</v>
      </c>
      <c r="O54" s="23">
        <f t="shared" si="6"/>
        <v>0.81800000000000006</v>
      </c>
      <c r="P54" s="8"/>
    </row>
    <row r="55" spans="1:16" ht="73.5" customHeight="1" x14ac:dyDescent="0.45">
      <c r="A55" s="169" t="s">
        <v>32</v>
      </c>
      <c r="B55" s="170"/>
      <c r="C55" s="161">
        <f>AVERAGE(C57:C71)</f>
        <v>1</v>
      </c>
      <c r="D55" s="161">
        <f t="shared" ref="D55:N55" si="7">AVERAGE(D57:D71)</f>
        <v>0.95599999999999996</v>
      </c>
      <c r="E55" s="22">
        <f t="shared" si="7"/>
        <v>0.99750000000000039</v>
      </c>
      <c r="F55" s="161">
        <f t="shared" si="7"/>
        <v>0.5</v>
      </c>
      <c r="G55" s="161">
        <f t="shared" si="7"/>
        <v>0.875</v>
      </c>
      <c r="H55" s="161">
        <f t="shared" si="7"/>
        <v>0.77449999999999997</v>
      </c>
      <c r="I55" s="161">
        <f t="shared" si="7"/>
        <v>0</v>
      </c>
      <c r="J55" s="161">
        <f t="shared" si="7"/>
        <v>0</v>
      </c>
      <c r="K55" s="161">
        <f t="shared" si="7"/>
        <v>0.69999999999999984</v>
      </c>
      <c r="L55" s="161">
        <f t="shared" si="7"/>
        <v>1</v>
      </c>
      <c r="M55" s="161">
        <f t="shared" si="7"/>
        <v>0.20000000000000004</v>
      </c>
      <c r="N55" s="161">
        <f t="shared" si="7"/>
        <v>0.69999999999999984</v>
      </c>
      <c r="O55" s="16">
        <f>AVERAGE(O56:O71)</f>
        <v>0.78040624999999997</v>
      </c>
      <c r="P55" s="14"/>
    </row>
    <row r="56" spans="1:16" ht="73.5" customHeight="1" x14ac:dyDescent="0.45">
      <c r="A56" s="3">
        <v>401</v>
      </c>
      <c r="B56" s="4" t="s">
        <v>33</v>
      </c>
      <c r="C56" s="22">
        <f>'Work Progress (%)'!G65</f>
        <v>1</v>
      </c>
      <c r="D56" s="22">
        <f>'Work Progress (%)'!L65</f>
        <v>1</v>
      </c>
      <c r="E56" s="22">
        <f>'Work Progress (%)'!Y65</f>
        <v>0.99750000000000005</v>
      </c>
      <c r="F56" s="22">
        <f>'Work Progress (%)'!AD65</f>
        <v>0.5</v>
      </c>
      <c r="G56" s="22">
        <f>'Work Progress (%)'!AI65</f>
        <v>1</v>
      </c>
      <c r="H56" s="22">
        <f>'Work Progress (%)'!AQ65</f>
        <v>0.76749999999999985</v>
      </c>
      <c r="I56" s="22">
        <f>'Work Progress (%)'!AV65</f>
        <v>0</v>
      </c>
      <c r="J56" s="22">
        <f>'Work Progress (%)'!BD65</f>
        <v>0</v>
      </c>
      <c r="K56" s="22">
        <v>0.7</v>
      </c>
      <c r="L56" s="22">
        <v>1</v>
      </c>
      <c r="M56" s="22">
        <v>0.2</v>
      </c>
      <c r="N56" s="22">
        <v>0.7</v>
      </c>
      <c r="O56" s="23">
        <f t="shared" ref="O56:O71" si="8">SUMPRODUCT(C56:N56, C$2:N$2)</f>
        <v>0.79700000000000004</v>
      </c>
      <c r="P56" s="8"/>
    </row>
    <row r="57" spans="1:16" ht="73.5" customHeight="1" x14ac:dyDescent="0.45">
      <c r="A57" s="3">
        <v>402</v>
      </c>
      <c r="B57" s="4" t="s">
        <v>33</v>
      </c>
      <c r="C57" s="22">
        <f>'Work Progress (%)'!G66</f>
        <v>1</v>
      </c>
      <c r="D57" s="22">
        <f>'Work Progress (%)'!L66</f>
        <v>0.93</v>
      </c>
      <c r="E57" s="22">
        <f>'Work Progress (%)'!Y66</f>
        <v>0.99750000000000005</v>
      </c>
      <c r="F57" s="22">
        <f>'Work Progress (%)'!AD66</f>
        <v>0.5</v>
      </c>
      <c r="G57" s="22">
        <f>'Work Progress (%)'!AI66</f>
        <v>0.68499999999999994</v>
      </c>
      <c r="H57" s="22">
        <f>'Work Progress (%)'!AQ66</f>
        <v>0.80249999999999999</v>
      </c>
      <c r="I57" s="22">
        <f>'Work Progress (%)'!AV66</f>
        <v>0</v>
      </c>
      <c r="J57" s="22">
        <f>'Work Progress (%)'!BD66</f>
        <v>0</v>
      </c>
      <c r="K57" s="22">
        <v>0.7</v>
      </c>
      <c r="L57" s="22">
        <v>1</v>
      </c>
      <c r="M57" s="22">
        <v>0.2</v>
      </c>
      <c r="N57" s="22">
        <v>0.7</v>
      </c>
      <c r="O57" s="23">
        <f t="shared" si="8"/>
        <v>0.76200000000000001</v>
      </c>
      <c r="P57" s="8"/>
    </row>
    <row r="58" spans="1:16" ht="73.5" customHeight="1" x14ac:dyDescent="0.45">
      <c r="A58" s="3">
        <v>403</v>
      </c>
      <c r="B58" s="4" t="s">
        <v>33</v>
      </c>
      <c r="C58" s="22">
        <f>'Work Progress (%)'!G67</f>
        <v>1</v>
      </c>
      <c r="D58" s="22">
        <f>'Work Progress (%)'!L67</f>
        <v>1</v>
      </c>
      <c r="E58" s="22">
        <f>'Work Progress (%)'!Y67</f>
        <v>0.99750000000000005</v>
      </c>
      <c r="F58" s="22">
        <f>'Work Progress (%)'!AD67</f>
        <v>0.5</v>
      </c>
      <c r="G58" s="22">
        <f>'Work Progress (%)'!AI67</f>
        <v>0.89500000000000002</v>
      </c>
      <c r="H58" s="22">
        <f>'Work Progress (%)'!AQ67</f>
        <v>0.76749999999999985</v>
      </c>
      <c r="I58" s="22">
        <f>'Work Progress (%)'!AV67</f>
        <v>0</v>
      </c>
      <c r="J58" s="22">
        <f>'Work Progress (%)'!BD67</f>
        <v>0</v>
      </c>
      <c r="K58" s="22">
        <v>0.7</v>
      </c>
      <c r="L58" s="22">
        <v>1</v>
      </c>
      <c r="M58" s="22">
        <v>0.2</v>
      </c>
      <c r="N58" s="22">
        <v>0.7</v>
      </c>
      <c r="O58" s="23">
        <f t="shared" si="8"/>
        <v>0.78649999999999998</v>
      </c>
      <c r="P58" s="8"/>
    </row>
    <row r="59" spans="1:16" ht="73.5" customHeight="1" x14ac:dyDescent="0.45">
      <c r="A59" s="3">
        <v>404</v>
      </c>
      <c r="B59" s="4" t="s">
        <v>33</v>
      </c>
      <c r="C59" s="22">
        <f>'Work Progress (%)'!G68</f>
        <v>1</v>
      </c>
      <c r="D59" s="22">
        <f>'Work Progress (%)'!L68</f>
        <v>0.9</v>
      </c>
      <c r="E59" s="22">
        <f>'Work Progress (%)'!Y68</f>
        <v>0.99750000000000005</v>
      </c>
      <c r="F59" s="22">
        <f>'Work Progress (%)'!AD68</f>
        <v>0.5</v>
      </c>
      <c r="G59" s="22">
        <f>'Work Progress (%)'!AI68</f>
        <v>0.68499999999999994</v>
      </c>
      <c r="H59" s="22">
        <f>'Work Progress (%)'!AQ68</f>
        <v>0.80249999999999999</v>
      </c>
      <c r="I59" s="22">
        <f>'Work Progress (%)'!AV68</f>
        <v>0</v>
      </c>
      <c r="J59" s="22">
        <f>'Work Progress (%)'!BD68</f>
        <v>0</v>
      </c>
      <c r="K59" s="22">
        <v>0.7</v>
      </c>
      <c r="L59" s="22">
        <v>1</v>
      </c>
      <c r="M59" s="22">
        <v>0.2</v>
      </c>
      <c r="N59" s="22">
        <v>0.7</v>
      </c>
      <c r="O59" s="23">
        <f t="shared" si="8"/>
        <v>0.75749999999999995</v>
      </c>
      <c r="P59" s="8"/>
    </row>
    <row r="60" spans="1:16" ht="73.5" customHeight="1" x14ac:dyDescent="0.45">
      <c r="A60" s="3">
        <v>405</v>
      </c>
      <c r="B60" s="4" t="s">
        <v>33</v>
      </c>
      <c r="C60" s="22">
        <f>'Work Progress (%)'!G69</f>
        <v>1</v>
      </c>
      <c r="D60" s="22">
        <f>'Work Progress (%)'!L69</f>
        <v>0.9</v>
      </c>
      <c r="E60" s="22">
        <f>'Work Progress (%)'!Y69</f>
        <v>0.99750000000000005</v>
      </c>
      <c r="F60" s="22">
        <f>'Work Progress (%)'!AD69</f>
        <v>0.5</v>
      </c>
      <c r="G60" s="22">
        <f>'Work Progress (%)'!AI69</f>
        <v>0.89500000000000002</v>
      </c>
      <c r="H60" s="22">
        <f>'Work Progress (%)'!AQ69</f>
        <v>0.80249999999999999</v>
      </c>
      <c r="I60" s="22">
        <f>'Work Progress (%)'!AV69</f>
        <v>0</v>
      </c>
      <c r="J60" s="22">
        <f>'Work Progress (%)'!BD69</f>
        <v>0</v>
      </c>
      <c r="K60" s="22">
        <v>0.7</v>
      </c>
      <c r="L60" s="22">
        <v>1</v>
      </c>
      <c r="M60" s="22">
        <v>0.2</v>
      </c>
      <c r="N60" s="22">
        <v>0.7</v>
      </c>
      <c r="O60" s="23">
        <f t="shared" si="8"/>
        <v>0.77849999999999997</v>
      </c>
      <c r="P60" s="8"/>
    </row>
    <row r="61" spans="1:16" ht="73.5" customHeight="1" x14ac:dyDescent="0.45">
      <c r="A61" s="3">
        <v>406</v>
      </c>
      <c r="B61" s="4" t="s">
        <v>33</v>
      </c>
      <c r="C61" s="22">
        <f>'Work Progress (%)'!G70</f>
        <v>1</v>
      </c>
      <c r="D61" s="22">
        <f>'Work Progress (%)'!L70</f>
        <v>0.9</v>
      </c>
      <c r="E61" s="22">
        <f>'Work Progress (%)'!Y70</f>
        <v>0.99750000000000005</v>
      </c>
      <c r="F61" s="22">
        <f>'Work Progress (%)'!AD70</f>
        <v>0.5</v>
      </c>
      <c r="G61" s="22">
        <f>'Work Progress (%)'!AI70</f>
        <v>0.68499999999999994</v>
      </c>
      <c r="H61" s="22">
        <f>'Work Progress (%)'!AQ70</f>
        <v>0.80249999999999999</v>
      </c>
      <c r="I61" s="22">
        <f>'Work Progress (%)'!AV70</f>
        <v>0</v>
      </c>
      <c r="J61" s="22">
        <f>'Work Progress (%)'!BD70</f>
        <v>0</v>
      </c>
      <c r="K61" s="22">
        <v>0.7</v>
      </c>
      <c r="L61" s="22">
        <v>1</v>
      </c>
      <c r="M61" s="22">
        <v>0.2</v>
      </c>
      <c r="N61" s="22">
        <v>0.7</v>
      </c>
      <c r="O61" s="23">
        <f t="shared" si="8"/>
        <v>0.75749999999999995</v>
      </c>
      <c r="P61" s="8"/>
    </row>
    <row r="62" spans="1:16" ht="73.5" customHeight="1" x14ac:dyDescent="0.45">
      <c r="A62" s="3">
        <v>407</v>
      </c>
      <c r="B62" s="4" t="s">
        <v>33</v>
      </c>
      <c r="C62" s="22">
        <f>'Work Progress (%)'!G71</f>
        <v>1</v>
      </c>
      <c r="D62" s="22">
        <f>'Work Progress (%)'!L71</f>
        <v>0.97</v>
      </c>
      <c r="E62" s="22">
        <f>'Work Progress (%)'!Y71</f>
        <v>0.99750000000000005</v>
      </c>
      <c r="F62" s="22">
        <f>'Work Progress (%)'!AD71</f>
        <v>0.5</v>
      </c>
      <c r="G62" s="22">
        <f>'Work Progress (%)'!AI71</f>
        <v>1</v>
      </c>
      <c r="H62" s="22">
        <f>'Work Progress (%)'!AQ71</f>
        <v>0.76749999999999985</v>
      </c>
      <c r="I62" s="22">
        <f>'Work Progress (%)'!AV71</f>
        <v>0</v>
      </c>
      <c r="J62" s="22">
        <f>'Work Progress (%)'!BD71</f>
        <v>0</v>
      </c>
      <c r="K62" s="22">
        <v>0.7</v>
      </c>
      <c r="L62" s="22">
        <v>1</v>
      </c>
      <c r="M62" s="22">
        <v>0.2</v>
      </c>
      <c r="N62" s="22">
        <v>0.7</v>
      </c>
      <c r="O62" s="23">
        <f t="shared" si="8"/>
        <v>0.79249999999999998</v>
      </c>
      <c r="P62" s="8"/>
    </row>
    <row r="63" spans="1:16" ht="73.5" customHeight="1" x14ac:dyDescent="0.45">
      <c r="A63" s="3">
        <v>408</v>
      </c>
      <c r="B63" s="4" t="s">
        <v>33</v>
      </c>
      <c r="C63" s="22">
        <f>'Work Progress (%)'!G72</f>
        <v>1</v>
      </c>
      <c r="D63" s="22">
        <f>'Work Progress (%)'!L72</f>
        <v>1</v>
      </c>
      <c r="E63" s="22">
        <f>'Work Progress (%)'!Y72</f>
        <v>0.99750000000000005</v>
      </c>
      <c r="F63" s="22">
        <f>'Work Progress (%)'!AD72</f>
        <v>0.5</v>
      </c>
      <c r="G63" s="22">
        <f>'Work Progress (%)'!AI72</f>
        <v>1</v>
      </c>
      <c r="H63" s="22">
        <f>'Work Progress (%)'!AQ72</f>
        <v>0.76749999999999985</v>
      </c>
      <c r="I63" s="22">
        <f>'Work Progress (%)'!AV72</f>
        <v>0</v>
      </c>
      <c r="J63" s="22">
        <f>'Work Progress (%)'!BD72</f>
        <v>0</v>
      </c>
      <c r="K63" s="22">
        <v>0.7</v>
      </c>
      <c r="L63" s="22">
        <v>1</v>
      </c>
      <c r="M63" s="22">
        <v>0.2</v>
      </c>
      <c r="N63" s="22">
        <v>0.7</v>
      </c>
      <c r="O63" s="23">
        <f t="shared" si="8"/>
        <v>0.79700000000000004</v>
      </c>
      <c r="P63" s="8"/>
    </row>
    <row r="64" spans="1:16" ht="73.5" customHeight="1" x14ac:dyDescent="0.45">
      <c r="A64" s="3">
        <v>409</v>
      </c>
      <c r="B64" s="4" t="s">
        <v>33</v>
      </c>
      <c r="C64" s="22">
        <f>'Work Progress (%)'!G73</f>
        <v>1</v>
      </c>
      <c r="D64" s="22">
        <f>'Work Progress (%)'!L73</f>
        <v>1</v>
      </c>
      <c r="E64" s="22">
        <f>'Work Progress (%)'!Y73</f>
        <v>0.99750000000000005</v>
      </c>
      <c r="F64" s="22">
        <f>'Work Progress (%)'!AD73</f>
        <v>0.5</v>
      </c>
      <c r="G64" s="22">
        <f>'Work Progress (%)'!AI73</f>
        <v>1</v>
      </c>
      <c r="H64" s="22">
        <f>'Work Progress (%)'!AQ73</f>
        <v>0.76749999999999985</v>
      </c>
      <c r="I64" s="22">
        <f>'Work Progress (%)'!AV73</f>
        <v>0</v>
      </c>
      <c r="J64" s="22">
        <f>'Work Progress (%)'!BD73</f>
        <v>0</v>
      </c>
      <c r="K64" s="22">
        <v>0.7</v>
      </c>
      <c r="L64" s="22">
        <v>1</v>
      </c>
      <c r="M64" s="22">
        <v>0.2</v>
      </c>
      <c r="N64" s="22">
        <v>0.7</v>
      </c>
      <c r="O64" s="23">
        <f t="shared" si="8"/>
        <v>0.79700000000000004</v>
      </c>
      <c r="P64" s="8"/>
    </row>
    <row r="65" spans="1:16" ht="73.5" customHeight="1" x14ac:dyDescent="0.45">
      <c r="A65" s="3">
        <v>410</v>
      </c>
      <c r="B65" s="4" t="s">
        <v>33</v>
      </c>
      <c r="C65" s="22">
        <f>'Work Progress (%)'!G74</f>
        <v>1</v>
      </c>
      <c r="D65" s="22">
        <f>'Work Progress (%)'!L74</f>
        <v>0.9</v>
      </c>
      <c r="E65" s="22">
        <f>'Work Progress (%)'!Y74</f>
        <v>0.99750000000000005</v>
      </c>
      <c r="F65" s="22">
        <f>'Work Progress (%)'!AD74</f>
        <v>0.5</v>
      </c>
      <c r="G65" s="22">
        <f>'Work Progress (%)'!AI74</f>
        <v>1</v>
      </c>
      <c r="H65" s="22">
        <f>'Work Progress (%)'!AQ74</f>
        <v>0.76749999999999985</v>
      </c>
      <c r="I65" s="22">
        <f>'Work Progress (%)'!AV74</f>
        <v>0</v>
      </c>
      <c r="J65" s="22">
        <f>'Work Progress (%)'!BD74</f>
        <v>0</v>
      </c>
      <c r="K65" s="22">
        <v>0.7</v>
      </c>
      <c r="L65" s="22">
        <v>1</v>
      </c>
      <c r="M65" s="22">
        <v>0.2</v>
      </c>
      <c r="N65" s="22">
        <v>0.7</v>
      </c>
      <c r="O65" s="23">
        <f t="shared" si="8"/>
        <v>0.78200000000000003</v>
      </c>
      <c r="P65" s="8"/>
    </row>
    <row r="66" spans="1:16" ht="73.5" customHeight="1" x14ac:dyDescent="0.45">
      <c r="A66" s="3">
        <v>411</v>
      </c>
      <c r="B66" s="4" t="s">
        <v>33</v>
      </c>
      <c r="C66" s="22">
        <f>'Work Progress (%)'!G75</f>
        <v>1</v>
      </c>
      <c r="D66" s="22">
        <f>'Work Progress (%)'!L75</f>
        <v>1</v>
      </c>
      <c r="E66" s="22">
        <f>'Work Progress (%)'!Y75</f>
        <v>0.99750000000000005</v>
      </c>
      <c r="F66" s="22">
        <f>'Work Progress (%)'!AD75</f>
        <v>0.5</v>
      </c>
      <c r="G66" s="22">
        <f>'Work Progress (%)'!AI75</f>
        <v>0.80499999999999994</v>
      </c>
      <c r="H66" s="22">
        <f>'Work Progress (%)'!AQ75</f>
        <v>0.76749999999999985</v>
      </c>
      <c r="I66" s="22">
        <f>'Work Progress (%)'!AV75</f>
        <v>0</v>
      </c>
      <c r="J66" s="22">
        <f>'Work Progress (%)'!BD75</f>
        <v>0</v>
      </c>
      <c r="K66" s="22">
        <v>0.7</v>
      </c>
      <c r="L66" s="22">
        <v>1</v>
      </c>
      <c r="M66" s="22">
        <v>0.2</v>
      </c>
      <c r="N66" s="22">
        <v>0.7</v>
      </c>
      <c r="O66" s="23">
        <f t="shared" si="8"/>
        <v>0.77749999999999997</v>
      </c>
      <c r="P66" s="8"/>
    </row>
    <row r="67" spans="1:16" ht="73.5" customHeight="1" x14ac:dyDescent="0.45">
      <c r="A67" s="3">
        <v>412</v>
      </c>
      <c r="B67" s="4" t="s">
        <v>33</v>
      </c>
      <c r="C67" s="22">
        <f>'Work Progress (%)'!G76</f>
        <v>1</v>
      </c>
      <c r="D67" s="22">
        <f>'Work Progress (%)'!L76</f>
        <v>1</v>
      </c>
      <c r="E67" s="22">
        <f>'Work Progress (%)'!Y76</f>
        <v>0.99750000000000005</v>
      </c>
      <c r="F67" s="22">
        <f>'Work Progress (%)'!AD76</f>
        <v>0.5</v>
      </c>
      <c r="G67" s="22">
        <f>'Work Progress (%)'!AI76</f>
        <v>1</v>
      </c>
      <c r="H67" s="22">
        <f>'Work Progress (%)'!AQ76</f>
        <v>0.76749999999999985</v>
      </c>
      <c r="I67" s="22">
        <f>'Work Progress (%)'!AV76</f>
        <v>0</v>
      </c>
      <c r="J67" s="22">
        <f>'Work Progress (%)'!BD76</f>
        <v>0</v>
      </c>
      <c r="K67" s="22">
        <v>0.7</v>
      </c>
      <c r="L67" s="22">
        <v>1</v>
      </c>
      <c r="M67" s="22">
        <v>0.2</v>
      </c>
      <c r="N67" s="22">
        <v>0.7</v>
      </c>
      <c r="O67" s="23">
        <f t="shared" si="8"/>
        <v>0.79700000000000004</v>
      </c>
      <c r="P67" s="8"/>
    </row>
    <row r="68" spans="1:16" ht="73.5" customHeight="1" x14ac:dyDescent="0.45">
      <c r="A68" s="3">
        <v>413</v>
      </c>
      <c r="B68" s="4" t="s">
        <v>33</v>
      </c>
      <c r="C68" s="22">
        <f>'Work Progress (%)'!G77</f>
        <v>1</v>
      </c>
      <c r="D68" s="22">
        <f>'Work Progress (%)'!L77</f>
        <v>1</v>
      </c>
      <c r="E68" s="22">
        <f>'Work Progress (%)'!Y77</f>
        <v>0.99750000000000005</v>
      </c>
      <c r="F68" s="22">
        <f>'Work Progress (%)'!AD77</f>
        <v>0.5</v>
      </c>
      <c r="G68" s="22">
        <f>'Work Progress (%)'!AI77</f>
        <v>1</v>
      </c>
      <c r="H68" s="22">
        <f>'Work Progress (%)'!AQ77</f>
        <v>0.76749999999999985</v>
      </c>
      <c r="I68" s="22">
        <f>'Work Progress (%)'!AV77</f>
        <v>0</v>
      </c>
      <c r="J68" s="22">
        <f>'Work Progress (%)'!BD77</f>
        <v>0</v>
      </c>
      <c r="K68" s="22">
        <v>0.7</v>
      </c>
      <c r="L68" s="22">
        <v>1</v>
      </c>
      <c r="M68" s="22">
        <v>0.2</v>
      </c>
      <c r="N68" s="22">
        <v>0.7</v>
      </c>
      <c r="O68" s="23">
        <f t="shared" si="8"/>
        <v>0.79700000000000004</v>
      </c>
      <c r="P68" s="8"/>
    </row>
    <row r="69" spans="1:16" ht="73.5" customHeight="1" x14ac:dyDescent="0.45">
      <c r="A69" s="3">
        <v>414</v>
      </c>
      <c r="B69" s="4" t="s">
        <v>33</v>
      </c>
      <c r="C69" s="22">
        <f>'Work Progress (%)'!G78</f>
        <v>1</v>
      </c>
      <c r="D69" s="22">
        <f>'Work Progress (%)'!L78</f>
        <v>0.84</v>
      </c>
      <c r="E69" s="22">
        <f>'Work Progress (%)'!Y78</f>
        <v>0.99750000000000005</v>
      </c>
      <c r="F69" s="22">
        <f>'Work Progress (%)'!AD78</f>
        <v>0.5</v>
      </c>
      <c r="G69" s="22">
        <f>'Work Progress (%)'!AI78</f>
        <v>1</v>
      </c>
      <c r="H69" s="22">
        <f>'Work Progress (%)'!AQ78</f>
        <v>0.76749999999999985</v>
      </c>
      <c r="I69" s="22">
        <f>'Work Progress (%)'!AV78</f>
        <v>0</v>
      </c>
      <c r="J69" s="22">
        <f>'Work Progress (%)'!BD78</f>
        <v>0</v>
      </c>
      <c r="K69" s="22">
        <v>0.7</v>
      </c>
      <c r="L69" s="22">
        <v>1</v>
      </c>
      <c r="M69" s="22">
        <v>0.2</v>
      </c>
      <c r="N69" s="22">
        <v>0.7</v>
      </c>
      <c r="O69" s="23">
        <f t="shared" si="8"/>
        <v>0.77300000000000002</v>
      </c>
      <c r="P69" s="8"/>
    </row>
    <row r="70" spans="1:16" ht="73.5" customHeight="1" x14ac:dyDescent="0.45">
      <c r="A70" s="3">
        <v>415</v>
      </c>
      <c r="B70" s="4" t="s">
        <v>33</v>
      </c>
      <c r="C70" s="22">
        <f>'Work Progress (%)'!G79</f>
        <v>1</v>
      </c>
      <c r="D70" s="22">
        <f>'Work Progress (%)'!L79</f>
        <v>1</v>
      </c>
      <c r="E70" s="22">
        <f>'Work Progress (%)'!Y79</f>
        <v>0.99750000000000005</v>
      </c>
      <c r="F70" s="22">
        <f>'Work Progress (%)'!AD79</f>
        <v>0.5</v>
      </c>
      <c r="G70" s="22">
        <f>'Work Progress (%)'!AI79</f>
        <v>0.57999999999999996</v>
      </c>
      <c r="H70" s="22">
        <f>'Work Progress (%)'!AQ79</f>
        <v>0.73249999999999993</v>
      </c>
      <c r="I70" s="22">
        <f>'Work Progress (%)'!AV79</f>
        <v>0</v>
      </c>
      <c r="J70" s="22">
        <f>'Work Progress (%)'!BD79</f>
        <v>0</v>
      </c>
      <c r="K70" s="22">
        <v>0.7</v>
      </c>
      <c r="L70" s="22">
        <v>1</v>
      </c>
      <c r="M70" s="22">
        <v>0.2</v>
      </c>
      <c r="N70" s="22">
        <v>0.7</v>
      </c>
      <c r="O70" s="23">
        <f t="shared" si="8"/>
        <v>0.748</v>
      </c>
      <c r="P70" s="8"/>
    </row>
    <row r="71" spans="1:16" ht="73.5" customHeight="1" x14ac:dyDescent="0.45">
      <c r="A71" s="3">
        <v>416</v>
      </c>
      <c r="B71" s="4" t="s">
        <v>33</v>
      </c>
      <c r="C71" s="22">
        <f>'Work Progress (%)'!G80</f>
        <v>1</v>
      </c>
      <c r="D71" s="22">
        <f>'Work Progress (%)'!L80</f>
        <v>1</v>
      </c>
      <c r="E71" s="22">
        <f>'Work Progress (%)'!Y80</f>
        <v>0.99750000000000005</v>
      </c>
      <c r="F71" s="22">
        <f>'Work Progress (%)'!AD80</f>
        <v>0.5</v>
      </c>
      <c r="G71" s="22">
        <f>'Work Progress (%)'!AI80</f>
        <v>0.89500000000000002</v>
      </c>
      <c r="H71" s="22">
        <f>'Work Progress (%)'!AQ80</f>
        <v>0.76749999999999985</v>
      </c>
      <c r="I71" s="22">
        <f>'Work Progress (%)'!AV80</f>
        <v>0</v>
      </c>
      <c r="J71" s="22">
        <f>'Work Progress (%)'!BD80</f>
        <v>0</v>
      </c>
      <c r="K71" s="22">
        <v>0.7</v>
      </c>
      <c r="L71" s="22">
        <v>1</v>
      </c>
      <c r="M71" s="22">
        <v>0.2</v>
      </c>
      <c r="N71" s="22">
        <v>0.7</v>
      </c>
      <c r="O71" s="23">
        <f t="shared" si="8"/>
        <v>0.78649999999999998</v>
      </c>
      <c r="P71" s="8"/>
    </row>
    <row r="72" spans="1:16" ht="73.5" customHeight="1" x14ac:dyDescent="0.45">
      <c r="A72" s="169" t="s">
        <v>34</v>
      </c>
      <c r="B72" s="170"/>
      <c r="C72" s="161">
        <f>AVERAGE(C74:C88)</f>
        <v>1</v>
      </c>
      <c r="D72" s="161">
        <f t="shared" ref="D72:N72" si="9">AVERAGE(D74:D88)</f>
        <v>0.93733333333333324</v>
      </c>
      <c r="E72" s="22">
        <f t="shared" si="9"/>
        <v>1.0000000000000002</v>
      </c>
      <c r="F72" s="161">
        <f t="shared" si="9"/>
        <v>0.5</v>
      </c>
      <c r="G72" s="161">
        <f t="shared" si="9"/>
        <v>0.72699999999999998</v>
      </c>
      <c r="H72" s="161">
        <f t="shared" si="9"/>
        <v>0.54999999999999993</v>
      </c>
      <c r="I72" s="161">
        <f t="shared" si="9"/>
        <v>0</v>
      </c>
      <c r="J72" s="161">
        <f t="shared" si="9"/>
        <v>0</v>
      </c>
      <c r="K72" s="161">
        <f t="shared" si="9"/>
        <v>0.69999999999999984</v>
      </c>
      <c r="L72" s="161">
        <f t="shared" si="9"/>
        <v>1</v>
      </c>
      <c r="M72" s="161">
        <f t="shared" si="9"/>
        <v>0.20000000000000004</v>
      </c>
      <c r="N72" s="161">
        <f t="shared" si="9"/>
        <v>0.69999999999999984</v>
      </c>
      <c r="O72" s="16">
        <f>AVERAGE(O73:O88)</f>
        <v>0.71778125000000015</v>
      </c>
      <c r="P72" s="14"/>
    </row>
    <row r="73" spans="1:16" ht="73.5" customHeight="1" x14ac:dyDescent="0.45">
      <c r="A73" s="3">
        <v>501</v>
      </c>
      <c r="B73" s="4" t="s">
        <v>35</v>
      </c>
      <c r="C73" s="22">
        <f>'Work Progress (%)'!G82</f>
        <v>1</v>
      </c>
      <c r="D73" s="22">
        <f>'Work Progress (%)'!L82</f>
        <v>1</v>
      </c>
      <c r="E73" s="22">
        <f>'Work Progress (%)'!Y82</f>
        <v>1.0000000000000002</v>
      </c>
      <c r="F73" s="22">
        <f>'Work Progress (%)'!AD82</f>
        <v>0.5</v>
      </c>
      <c r="G73" s="22">
        <f>'Work Progress (%)'!AI82</f>
        <v>0.71</v>
      </c>
      <c r="H73" s="22">
        <f>'Work Progress (%)'!AQ82</f>
        <v>0.55000000000000004</v>
      </c>
      <c r="I73" s="22">
        <f>'Work Progress (%)'!AV82</f>
        <v>0</v>
      </c>
      <c r="J73" s="22">
        <f>'Work Progress (%)'!BD82</f>
        <v>0</v>
      </c>
      <c r="K73" s="22">
        <v>0.7</v>
      </c>
      <c r="L73" s="22">
        <v>1</v>
      </c>
      <c r="M73" s="22">
        <v>0.2</v>
      </c>
      <c r="N73" s="22">
        <v>0.7</v>
      </c>
      <c r="O73" s="23">
        <f t="shared" ref="O73:O88" si="10">SUMPRODUCT(C73:N73, C$2:N$2)</f>
        <v>0.72500000000000009</v>
      </c>
      <c r="P73" s="8"/>
    </row>
    <row r="74" spans="1:16" ht="73.5" customHeight="1" x14ac:dyDescent="0.45">
      <c r="A74" s="3">
        <v>502</v>
      </c>
      <c r="B74" s="4" t="s">
        <v>35</v>
      </c>
      <c r="C74" s="22">
        <f>'Work Progress (%)'!G83</f>
        <v>1</v>
      </c>
      <c r="D74" s="22">
        <f>'Work Progress (%)'!L83</f>
        <v>1</v>
      </c>
      <c r="E74" s="22">
        <f>'Work Progress (%)'!Y83</f>
        <v>1.0000000000000002</v>
      </c>
      <c r="F74" s="22">
        <f>'Work Progress (%)'!AD83</f>
        <v>0.5</v>
      </c>
      <c r="G74" s="22">
        <f>'Work Progress (%)'!AI83</f>
        <v>0.49</v>
      </c>
      <c r="H74" s="22">
        <f>'Work Progress (%)'!AQ83</f>
        <v>0.55000000000000004</v>
      </c>
      <c r="I74" s="22">
        <f>'Work Progress (%)'!AV83</f>
        <v>0</v>
      </c>
      <c r="J74" s="22">
        <f>'Work Progress (%)'!BD83</f>
        <v>0</v>
      </c>
      <c r="K74" s="22">
        <v>0.7</v>
      </c>
      <c r="L74" s="22">
        <v>1</v>
      </c>
      <c r="M74" s="22">
        <v>0.2</v>
      </c>
      <c r="N74" s="22">
        <v>0.7</v>
      </c>
      <c r="O74" s="23">
        <f t="shared" si="10"/>
        <v>0.70300000000000018</v>
      </c>
      <c r="P74" s="8"/>
    </row>
    <row r="75" spans="1:16" ht="73.5" customHeight="1" x14ac:dyDescent="0.45">
      <c r="A75" s="3">
        <v>503</v>
      </c>
      <c r="B75" s="4" t="s">
        <v>35</v>
      </c>
      <c r="C75" s="22">
        <f>'Work Progress (%)'!G84</f>
        <v>1</v>
      </c>
      <c r="D75" s="22">
        <f>'Work Progress (%)'!L84</f>
        <v>1</v>
      </c>
      <c r="E75" s="22">
        <f>'Work Progress (%)'!Y84</f>
        <v>1.0000000000000002</v>
      </c>
      <c r="F75" s="22">
        <f>'Work Progress (%)'!AD84</f>
        <v>0.5</v>
      </c>
      <c r="G75" s="22">
        <f>'Work Progress (%)'!AI84</f>
        <v>0.71499999999999997</v>
      </c>
      <c r="H75" s="22">
        <f>'Work Progress (%)'!AQ84</f>
        <v>0.55000000000000004</v>
      </c>
      <c r="I75" s="22">
        <f>'Work Progress (%)'!AV84</f>
        <v>0</v>
      </c>
      <c r="J75" s="22">
        <f>'Work Progress (%)'!BD84</f>
        <v>0</v>
      </c>
      <c r="K75" s="22">
        <v>0.7</v>
      </c>
      <c r="L75" s="22">
        <v>1</v>
      </c>
      <c r="M75" s="22">
        <v>0.2</v>
      </c>
      <c r="N75" s="22">
        <v>0.7</v>
      </c>
      <c r="O75" s="23">
        <f t="shared" si="10"/>
        <v>0.72550000000000014</v>
      </c>
      <c r="P75" s="8"/>
    </row>
    <row r="76" spans="1:16" ht="73.5" customHeight="1" x14ac:dyDescent="0.45">
      <c r="A76" s="3">
        <v>504</v>
      </c>
      <c r="B76" s="4" t="s">
        <v>35</v>
      </c>
      <c r="C76" s="22">
        <f>'Work Progress (%)'!G85</f>
        <v>1</v>
      </c>
      <c r="D76" s="22">
        <f>'Work Progress (%)'!L85</f>
        <v>0.95</v>
      </c>
      <c r="E76" s="22">
        <f>'Work Progress (%)'!Y85</f>
        <v>1.0000000000000002</v>
      </c>
      <c r="F76" s="22">
        <f>'Work Progress (%)'!AD85</f>
        <v>0.5</v>
      </c>
      <c r="G76" s="22">
        <f>'Work Progress (%)'!AI85</f>
        <v>0.57999999999999996</v>
      </c>
      <c r="H76" s="22">
        <f>'Work Progress (%)'!AQ85</f>
        <v>0.55000000000000004</v>
      </c>
      <c r="I76" s="22">
        <f>'Work Progress (%)'!AV85</f>
        <v>0</v>
      </c>
      <c r="J76" s="22">
        <f>'Work Progress (%)'!BD85</f>
        <v>0</v>
      </c>
      <c r="K76" s="22">
        <v>0.7</v>
      </c>
      <c r="L76" s="22">
        <v>1</v>
      </c>
      <c r="M76" s="22">
        <v>0.2</v>
      </c>
      <c r="N76" s="22">
        <v>0.7</v>
      </c>
      <c r="O76" s="23">
        <f t="shared" si="10"/>
        <v>0.70450000000000002</v>
      </c>
      <c r="P76" s="8"/>
    </row>
    <row r="77" spans="1:16" ht="73.5" customHeight="1" x14ac:dyDescent="0.45">
      <c r="A77" s="3">
        <v>505</v>
      </c>
      <c r="B77" s="4" t="s">
        <v>35</v>
      </c>
      <c r="C77" s="22">
        <f>'Work Progress (%)'!G86</f>
        <v>1</v>
      </c>
      <c r="D77" s="22">
        <f>'Work Progress (%)'!L86</f>
        <v>1</v>
      </c>
      <c r="E77" s="22">
        <f>'Work Progress (%)'!Y86</f>
        <v>1.0000000000000002</v>
      </c>
      <c r="F77" s="22">
        <f>'Work Progress (%)'!AD86</f>
        <v>0.5</v>
      </c>
      <c r="G77" s="22">
        <f>'Work Progress (%)'!AI86</f>
        <v>0.71499999999999997</v>
      </c>
      <c r="H77" s="22">
        <f>'Work Progress (%)'!AQ86</f>
        <v>0.55000000000000004</v>
      </c>
      <c r="I77" s="22">
        <f>'Work Progress (%)'!AV86</f>
        <v>0</v>
      </c>
      <c r="J77" s="22">
        <f>'Work Progress (%)'!BD86</f>
        <v>0</v>
      </c>
      <c r="K77" s="22">
        <v>0.7</v>
      </c>
      <c r="L77" s="22">
        <v>1</v>
      </c>
      <c r="M77" s="22">
        <v>0.2</v>
      </c>
      <c r="N77" s="22">
        <v>0.7</v>
      </c>
      <c r="O77" s="23">
        <f t="shared" si="10"/>
        <v>0.72550000000000014</v>
      </c>
      <c r="P77" s="8"/>
    </row>
    <row r="78" spans="1:16" ht="73.5" customHeight="1" x14ac:dyDescent="0.45">
      <c r="A78" s="3">
        <v>506</v>
      </c>
      <c r="B78" s="4" t="s">
        <v>35</v>
      </c>
      <c r="C78" s="22">
        <f>'Work Progress (%)'!G87</f>
        <v>1</v>
      </c>
      <c r="D78" s="22">
        <f>'Work Progress (%)'!L87</f>
        <v>1</v>
      </c>
      <c r="E78" s="22">
        <f>'Work Progress (%)'!Y87</f>
        <v>1.0000000000000002</v>
      </c>
      <c r="F78" s="22">
        <f>'Work Progress (%)'!AD87</f>
        <v>0.5</v>
      </c>
      <c r="G78" s="22">
        <f>'Work Progress (%)'!AI87</f>
        <v>0.33499999999999996</v>
      </c>
      <c r="H78" s="22">
        <f>'Work Progress (%)'!AQ87</f>
        <v>0.55000000000000004</v>
      </c>
      <c r="I78" s="22">
        <f>'Work Progress (%)'!AV87</f>
        <v>0</v>
      </c>
      <c r="J78" s="22">
        <f>'Work Progress (%)'!BD87</f>
        <v>0</v>
      </c>
      <c r="K78" s="22">
        <v>0.7</v>
      </c>
      <c r="L78" s="22">
        <v>1</v>
      </c>
      <c r="M78" s="22">
        <v>0.2</v>
      </c>
      <c r="N78" s="22">
        <v>0.7</v>
      </c>
      <c r="O78" s="23">
        <f t="shared" si="10"/>
        <v>0.68750000000000011</v>
      </c>
      <c r="P78" s="8"/>
    </row>
    <row r="79" spans="1:16" ht="73.5" customHeight="1" x14ac:dyDescent="0.45">
      <c r="A79" s="3">
        <v>507</v>
      </c>
      <c r="B79" s="4" t="s">
        <v>35</v>
      </c>
      <c r="C79" s="22">
        <f>'Work Progress (%)'!G88</f>
        <v>1</v>
      </c>
      <c r="D79" s="22">
        <f>'Work Progress (%)'!L88</f>
        <v>1</v>
      </c>
      <c r="E79" s="22">
        <f>'Work Progress (%)'!Y88</f>
        <v>1.0000000000000002</v>
      </c>
      <c r="F79" s="22">
        <f>'Work Progress (%)'!AD88</f>
        <v>0.5</v>
      </c>
      <c r="G79" s="22">
        <f>'Work Progress (%)'!AI88</f>
        <v>0.71499999999999997</v>
      </c>
      <c r="H79" s="22">
        <f>'Work Progress (%)'!AQ88</f>
        <v>0.55000000000000004</v>
      </c>
      <c r="I79" s="22">
        <f>'Work Progress (%)'!AV88</f>
        <v>0</v>
      </c>
      <c r="J79" s="22">
        <f>'Work Progress (%)'!BD88</f>
        <v>0</v>
      </c>
      <c r="K79" s="22">
        <v>0.7</v>
      </c>
      <c r="L79" s="22">
        <v>1</v>
      </c>
      <c r="M79" s="22">
        <v>0.2</v>
      </c>
      <c r="N79" s="22">
        <v>0.7</v>
      </c>
      <c r="O79" s="23">
        <f t="shared" si="10"/>
        <v>0.72550000000000014</v>
      </c>
      <c r="P79" s="8"/>
    </row>
    <row r="80" spans="1:16" ht="73.5" customHeight="1" x14ac:dyDescent="0.45">
      <c r="A80" s="3">
        <v>508</v>
      </c>
      <c r="B80" s="4" t="s">
        <v>35</v>
      </c>
      <c r="C80" s="22">
        <f>'Work Progress (%)'!G89</f>
        <v>1</v>
      </c>
      <c r="D80" s="22">
        <f>'Work Progress (%)'!L89</f>
        <v>1</v>
      </c>
      <c r="E80" s="22">
        <f>'Work Progress (%)'!Y89</f>
        <v>1.0000000000000002</v>
      </c>
      <c r="F80" s="22">
        <f>'Work Progress (%)'!AD89</f>
        <v>0.5</v>
      </c>
      <c r="G80" s="22">
        <f>'Work Progress (%)'!AI89</f>
        <v>0.90999999999999992</v>
      </c>
      <c r="H80" s="22">
        <f>'Work Progress (%)'!AQ89</f>
        <v>0.55000000000000004</v>
      </c>
      <c r="I80" s="22">
        <f>'Work Progress (%)'!AV89</f>
        <v>0</v>
      </c>
      <c r="J80" s="22">
        <f>'Work Progress (%)'!BD89</f>
        <v>0</v>
      </c>
      <c r="K80" s="22">
        <v>0.7</v>
      </c>
      <c r="L80" s="22">
        <v>1</v>
      </c>
      <c r="M80" s="22">
        <v>0.2</v>
      </c>
      <c r="N80" s="22">
        <v>0.7</v>
      </c>
      <c r="O80" s="23">
        <f t="shared" si="10"/>
        <v>0.74500000000000011</v>
      </c>
      <c r="P80" s="8"/>
    </row>
    <row r="81" spans="1:16" ht="73.5" customHeight="1" x14ac:dyDescent="0.45">
      <c r="A81" s="3">
        <v>509</v>
      </c>
      <c r="B81" s="4" t="s">
        <v>35</v>
      </c>
      <c r="C81" s="22">
        <f>'Work Progress (%)'!G90</f>
        <v>1</v>
      </c>
      <c r="D81" s="22">
        <f>'Work Progress (%)'!L90</f>
        <v>1</v>
      </c>
      <c r="E81" s="22">
        <f>'Work Progress (%)'!Y90</f>
        <v>1.0000000000000002</v>
      </c>
      <c r="F81" s="22">
        <f>'Work Progress (%)'!AD90</f>
        <v>0.5</v>
      </c>
      <c r="G81" s="22">
        <f>'Work Progress (%)'!AI90</f>
        <v>0.7</v>
      </c>
      <c r="H81" s="22">
        <f>'Work Progress (%)'!AQ90</f>
        <v>0.55000000000000004</v>
      </c>
      <c r="I81" s="22">
        <f>'Work Progress (%)'!AV90</f>
        <v>0</v>
      </c>
      <c r="J81" s="22">
        <f>'Work Progress (%)'!BD90</f>
        <v>0</v>
      </c>
      <c r="K81" s="22">
        <v>0.7</v>
      </c>
      <c r="L81" s="22">
        <v>1</v>
      </c>
      <c r="M81" s="22">
        <v>0.2</v>
      </c>
      <c r="N81" s="22">
        <v>0.7</v>
      </c>
      <c r="O81" s="23">
        <f t="shared" si="10"/>
        <v>0.72400000000000009</v>
      </c>
      <c r="P81" s="8"/>
    </row>
    <row r="82" spans="1:16" ht="73.5" customHeight="1" x14ac:dyDescent="0.45">
      <c r="A82" s="3">
        <v>510</v>
      </c>
      <c r="B82" s="4" t="s">
        <v>35</v>
      </c>
      <c r="C82" s="22">
        <f>'Work Progress (%)'!G91</f>
        <v>1</v>
      </c>
      <c r="D82" s="22">
        <f>'Work Progress (%)'!L91</f>
        <v>1</v>
      </c>
      <c r="E82" s="22">
        <f>'Work Progress (%)'!Y91</f>
        <v>1.0000000000000002</v>
      </c>
      <c r="F82" s="22">
        <f>'Work Progress (%)'!AD91</f>
        <v>0.5</v>
      </c>
      <c r="G82" s="22">
        <f>'Work Progress (%)'!AI91</f>
        <v>1</v>
      </c>
      <c r="H82" s="22">
        <f>'Work Progress (%)'!AQ91</f>
        <v>0.55000000000000004</v>
      </c>
      <c r="I82" s="22">
        <f>'Work Progress (%)'!AV91</f>
        <v>0</v>
      </c>
      <c r="J82" s="22">
        <f>'Work Progress (%)'!BD91</f>
        <v>0</v>
      </c>
      <c r="K82" s="22">
        <v>0.7</v>
      </c>
      <c r="L82" s="22">
        <v>1</v>
      </c>
      <c r="M82" s="22">
        <v>0.2</v>
      </c>
      <c r="N82" s="22">
        <v>0.7</v>
      </c>
      <c r="O82" s="23">
        <f t="shared" si="10"/>
        <v>0.75400000000000011</v>
      </c>
      <c r="P82" s="8"/>
    </row>
    <row r="83" spans="1:16" ht="73.5" customHeight="1" x14ac:dyDescent="0.45">
      <c r="A83" s="3">
        <v>511</v>
      </c>
      <c r="B83" s="4" t="s">
        <v>35</v>
      </c>
      <c r="C83" s="22">
        <f>'Work Progress (%)'!G92</f>
        <v>1</v>
      </c>
      <c r="D83" s="22">
        <f>'Work Progress (%)'!L92</f>
        <v>1</v>
      </c>
      <c r="E83" s="22">
        <f>'Work Progress (%)'!Y92</f>
        <v>1.0000000000000002</v>
      </c>
      <c r="F83" s="22">
        <f>'Work Progress (%)'!AD92</f>
        <v>0.5</v>
      </c>
      <c r="G83" s="22">
        <f>'Work Progress (%)'!AI92</f>
        <v>0.64500000000000002</v>
      </c>
      <c r="H83" s="22">
        <f>'Work Progress (%)'!AQ92</f>
        <v>0.55000000000000004</v>
      </c>
      <c r="I83" s="22">
        <f>'Work Progress (%)'!AV92</f>
        <v>0</v>
      </c>
      <c r="J83" s="22">
        <f>'Work Progress (%)'!BD92</f>
        <v>0</v>
      </c>
      <c r="K83" s="22">
        <v>0.7</v>
      </c>
      <c r="L83" s="22">
        <v>1</v>
      </c>
      <c r="M83" s="22">
        <v>0.2</v>
      </c>
      <c r="N83" s="22">
        <v>0.7</v>
      </c>
      <c r="O83" s="23">
        <f t="shared" si="10"/>
        <v>0.71850000000000014</v>
      </c>
      <c r="P83" s="8"/>
    </row>
    <row r="84" spans="1:16" ht="73.5" customHeight="1" x14ac:dyDescent="0.45">
      <c r="A84" s="3">
        <v>512</v>
      </c>
      <c r="B84" s="4" t="s">
        <v>35</v>
      </c>
      <c r="C84" s="22">
        <f>'Work Progress (%)'!G93</f>
        <v>1</v>
      </c>
      <c r="D84" s="22">
        <f>'Work Progress (%)'!L93</f>
        <v>0.11</v>
      </c>
      <c r="E84" s="22">
        <f>'Work Progress (%)'!Y93</f>
        <v>1.0000000000000002</v>
      </c>
      <c r="F84" s="22">
        <f>'Work Progress (%)'!AD93</f>
        <v>0.5</v>
      </c>
      <c r="G84" s="22">
        <f>'Work Progress (%)'!AI93</f>
        <v>1</v>
      </c>
      <c r="H84" s="22">
        <f>'Work Progress (%)'!AQ93</f>
        <v>0.55000000000000004</v>
      </c>
      <c r="I84" s="22">
        <f>'Work Progress (%)'!AV93</f>
        <v>0</v>
      </c>
      <c r="J84" s="22">
        <f>'Work Progress (%)'!BD93</f>
        <v>0</v>
      </c>
      <c r="K84" s="22">
        <v>0.7</v>
      </c>
      <c r="L84" s="22">
        <v>1</v>
      </c>
      <c r="M84" s="22">
        <v>0.2</v>
      </c>
      <c r="N84" s="22">
        <v>0.7</v>
      </c>
      <c r="O84" s="23">
        <f t="shared" si="10"/>
        <v>0.62050000000000005</v>
      </c>
      <c r="P84" s="8"/>
    </row>
    <row r="85" spans="1:16" ht="73.5" customHeight="1" x14ac:dyDescent="0.45">
      <c r="A85" s="3">
        <v>513</v>
      </c>
      <c r="B85" s="4" t="s">
        <v>35</v>
      </c>
      <c r="C85" s="22">
        <f>'Work Progress (%)'!G94</f>
        <v>1</v>
      </c>
      <c r="D85" s="22">
        <f>'Work Progress (%)'!L94</f>
        <v>1</v>
      </c>
      <c r="E85" s="22">
        <f>'Work Progress (%)'!Y94</f>
        <v>1.0000000000000002</v>
      </c>
      <c r="F85" s="22">
        <f>'Work Progress (%)'!AD94</f>
        <v>0.5</v>
      </c>
      <c r="G85" s="22">
        <f>'Work Progress (%)'!AI94</f>
        <v>0.71499999999999997</v>
      </c>
      <c r="H85" s="22">
        <f>'Work Progress (%)'!AQ94</f>
        <v>0.55000000000000004</v>
      </c>
      <c r="I85" s="22">
        <f>'Work Progress (%)'!AV94</f>
        <v>0</v>
      </c>
      <c r="J85" s="22">
        <f>'Work Progress (%)'!BD94</f>
        <v>0</v>
      </c>
      <c r="K85" s="22">
        <v>0.7</v>
      </c>
      <c r="L85" s="22">
        <v>1</v>
      </c>
      <c r="M85" s="22">
        <v>0.2</v>
      </c>
      <c r="N85" s="22">
        <v>0.7</v>
      </c>
      <c r="O85" s="23">
        <f t="shared" si="10"/>
        <v>0.72550000000000014</v>
      </c>
      <c r="P85" s="8"/>
    </row>
    <row r="86" spans="1:16" ht="73.5" customHeight="1" x14ac:dyDescent="0.45">
      <c r="A86" s="3">
        <v>514</v>
      </c>
      <c r="B86" s="4" t="s">
        <v>35</v>
      </c>
      <c r="C86" s="22">
        <f>'Work Progress (%)'!G95</f>
        <v>1</v>
      </c>
      <c r="D86" s="22">
        <f>'Work Progress (%)'!L95</f>
        <v>1</v>
      </c>
      <c r="E86" s="22">
        <f>'Work Progress (%)'!Y95</f>
        <v>1.0000000000000002</v>
      </c>
      <c r="F86" s="22">
        <f>'Work Progress (%)'!AD95</f>
        <v>0.5</v>
      </c>
      <c r="G86" s="22">
        <f>'Work Progress (%)'!AI95</f>
        <v>0.89500000000000002</v>
      </c>
      <c r="H86" s="22">
        <f>'Work Progress (%)'!AQ95</f>
        <v>0.55000000000000004</v>
      </c>
      <c r="I86" s="22">
        <f>'Work Progress (%)'!AV95</f>
        <v>0</v>
      </c>
      <c r="J86" s="22">
        <f>'Work Progress (%)'!BD95</f>
        <v>0</v>
      </c>
      <c r="K86" s="22">
        <v>0.7</v>
      </c>
      <c r="L86" s="22">
        <v>1</v>
      </c>
      <c r="M86" s="22">
        <v>0.2</v>
      </c>
      <c r="N86" s="22">
        <v>0.7</v>
      </c>
      <c r="O86" s="23">
        <f t="shared" si="10"/>
        <v>0.74350000000000016</v>
      </c>
      <c r="P86" s="8"/>
    </row>
    <row r="87" spans="1:16" ht="73.5" customHeight="1" x14ac:dyDescent="0.45">
      <c r="A87" s="3">
        <v>515</v>
      </c>
      <c r="B87" s="4" t="s">
        <v>35</v>
      </c>
      <c r="C87" s="22">
        <f>'Work Progress (%)'!G96</f>
        <v>1</v>
      </c>
      <c r="D87" s="22">
        <f>'Work Progress (%)'!L96</f>
        <v>1</v>
      </c>
      <c r="E87" s="22">
        <f>'Work Progress (%)'!Y96</f>
        <v>1.0000000000000002</v>
      </c>
      <c r="F87" s="22">
        <f>'Work Progress (%)'!AD96</f>
        <v>0.5</v>
      </c>
      <c r="G87" s="22">
        <f>'Work Progress (%)'!AI96</f>
        <v>0.49</v>
      </c>
      <c r="H87" s="22">
        <f>'Work Progress (%)'!AQ96</f>
        <v>0.55000000000000004</v>
      </c>
      <c r="I87" s="22">
        <f>'Work Progress (%)'!AV96</f>
        <v>0</v>
      </c>
      <c r="J87" s="22">
        <f>'Work Progress (%)'!BD96</f>
        <v>0</v>
      </c>
      <c r="K87" s="22">
        <v>0.7</v>
      </c>
      <c r="L87" s="22">
        <v>1</v>
      </c>
      <c r="M87" s="22">
        <v>0.2</v>
      </c>
      <c r="N87" s="22">
        <v>0.7</v>
      </c>
      <c r="O87" s="23">
        <f t="shared" si="10"/>
        <v>0.70300000000000018</v>
      </c>
      <c r="P87" s="8"/>
    </row>
    <row r="88" spans="1:16" ht="73.5" customHeight="1" x14ac:dyDescent="0.45">
      <c r="A88" s="3">
        <v>516</v>
      </c>
      <c r="B88" s="4" t="s">
        <v>35</v>
      </c>
      <c r="C88" s="22">
        <f>'Work Progress (%)'!G97</f>
        <v>1</v>
      </c>
      <c r="D88" s="22">
        <f>'Work Progress (%)'!L97</f>
        <v>1</v>
      </c>
      <c r="E88" s="22">
        <f>'Work Progress (%)'!Y97</f>
        <v>1.0000000000000002</v>
      </c>
      <c r="F88" s="22">
        <f>'Work Progress (%)'!AD97</f>
        <v>0.5</v>
      </c>
      <c r="G88" s="22">
        <f>'Work Progress (%)'!AI97</f>
        <v>1</v>
      </c>
      <c r="H88" s="22">
        <f>'Work Progress (%)'!AQ97</f>
        <v>0.55000000000000004</v>
      </c>
      <c r="I88" s="22">
        <f>'Work Progress (%)'!AV97</f>
        <v>0</v>
      </c>
      <c r="J88" s="22">
        <f>'Work Progress (%)'!BD97</f>
        <v>0</v>
      </c>
      <c r="K88" s="22">
        <v>0.7</v>
      </c>
      <c r="L88" s="22">
        <v>1</v>
      </c>
      <c r="M88" s="22">
        <v>0.2</v>
      </c>
      <c r="N88" s="22">
        <v>0.7</v>
      </c>
      <c r="O88" s="23">
        <f t="shared" si="10"/>
        <v>0.75400000000000011</v>
      </c>
      <c r="P88" s="8"/>
    </row>
    <row r="89" spans="1:16" ht="73.5" customHeight="1" x14ac:dyDescent="0.45">
      <c r="A89" s="169" t="s">
        <v>36</v>
      </c>
      <c r="B89" s="170"/>
      <c r="C89" s="161">
        <f>AVERAGE(C91:C105)</f>
        <v>1</v>
      </c>
      <c r="D89" s="161">
        <f t="shared" ref="D89:N89" si="11">AVERAGE(D91:D105)</f>
        <v>0.94133333333333336</v>
      </c>
      <c r="E89" s="22">
        <f t="shared" si="11"/>
        <v>0.99933333333333352</v>
      </c>
      <c r="F89" s="161">
        <f t="shared" si="11"/>
        <v>0.5</v>
      </c>
      <c r="G89" s="161">
        <f t="shared" si="11"/>
        <v>0.71233333333333337</v>
      </c>
      <c r="H89" s="161">
        <f t="shared" si="11"/>
        <v>0.54999999999999993</v>
      </c>
      <c r="I89" s="161">
        <f t="shared" si="11"/>
        <v>0</v>
      </c>
      <c r="J89" s="161">
        <f t="shared" si="11"/>
        <v>0</v>
      </c>
      <c r="K89" s="161">
        <f t="shared" si="11"/>
        <v>0.69999999999999984</v>
      </c>
      <c r="L89" s="161">
        <f t="shared" si="11"/>
        <v>1</v>
      </c>
      <c r="M89" s="161">
        <f t="shared" si="11"/>
        <v>0.20000000000000004</v>
      </c>
      <c r="N89" s="161">
        <f t="shared" si="11"/>
        <v>0.69999999999999984</v>
      </c>
      <c r="O89" s="16">
        <f>AVERAGE(O90:O105)</f>
        <v>0.71421875000000001</v>
      </c>
      <c r="P89" s="14"/>
    </row>
    <row r="90" spans="1:16" ht="73.5" customHeight="1" x14ac:dyDescent="0.45">
      <c r="A90" s="3">
        <v>601</v>
      </c>
      <c r="B90" s="4" t="s">
        <v>37</v>
      </c>
      <c r="C90" s="22">
        <f>'Work Progress (%)'!G99</f>
        <v>1</v>
      </c>
      <c r="D90" s="22">
        <f>'Work Progress (%)'!L99</f>
        <v>1</v>
      </c>
      <c r="E90" s="22">
        <f>'Work Progress (%)'!Y99</f>
        <v>1.0000000000000002</v>
      </c>
      <c r="F90" s="22">
        <f>'Work Progress (%)'!AD99</f>
        <v>0.5</v>
      </c>
      <c r="G90" s="22">
        <f>'Work Progress (%)'!AI99</f>
        <v>0.28999999999999998</v>
      </c>
      <c r="H90" s="22">
        <f>'Work Progress (%)'!AQ99</f>
        <v>0.55000000000000004</v>
      </c>
      <c r="I90" s="22">
        <f>'Work Progress (%)'!AV99</f>
        <v>0</v>
      </c>
      <c r="J90" s="22">
        <f>'Work Progress (%)'!BD99</f>
        <v>0</v>
      </c>
      <c r="K90" s="22">
        <v>0.7</v>
      </c>
      <c r="L90" s="22">
        <v>1</v>
      </c>
      <c r="M90" s="22">
        <v>0.2</v>
      </c>
      <c r="N90" s="22">
        <v>0.7</v>
      </c>
      <c r="O90" s="23">
        <f t="shared" ref="O90:O105" si="12">SUMPRODUCT(C90:N90, C$2:N$2)</f>
        <v>0.68300000000000016</v>
      </c>
      <c r="P90" s="8"/>
    </row>
    <row r="91" spans="1:16" ht="73.5" customHeight="1" x14ac:dyDescent="0.45">
      <c r="A91" s="3">
        <v>602</v>
      </c>
      <c r="B91" s="4" t="s">
        <v>37</v>
      </c>
      <c r="C91" s="22">
        <f>'Work Progress (%)'!G100</f>
        <v>1</v>
      </c>
      <c r="D91" s="22">
        <f>'Work Progress (%)'!L100</f>
        <v>1</v>
      </c>
      <c r="E91" s="22">
        <f>'Work Progress (%)'!Y100</f>
        <v>1.0000000000000002</v>
      </c>
      <c r="F91" s="22">
        <f>'Work Progress (%)'!AD100</f>
        <v>0.5</v>
      </c>
      <c r="G91" s="22">
        <f>'Work Progress (%)'!AI100</f>
        <v>0.7</v>
      </c>
      <c r="H91" s="22">
        <f>'Work Progress (%)'!AQ100</f>
        <v>0.55000000000000004</v>
      </c>
      <c r="I91" s="22">
        <f>'Work Progress (%)'!AV100</f>
        <v>0</v>
      </c>
      <c r="J91" s="22">
        <f>'Work Progress (%)'!BD100</f>
        <v>0</v>
      </c>
      <c r="K91" s="22">
        <v>0.7</v>
      </c>
      <c r="L91" s="22">
        <v>1</v>
      </c>
      <c r="M91" s="22">
        <v>0.2</v>
      </c>
      <c r="N91" s="22">
        <v>0.7</v>
      </c>
      <c r="O91" s="23">
        <f t="shared" si="12"/>
        <v>0.72400000000000009</v>
      </c>
      <c r="P91" s="8"/>
    </row>
    <row r="92" spans="1:16" ht="73.5" customHeight="1" x14ac:dyDescent="0.45">
      <c r="A92" s="3">
        <v>603</v>
      </c>
      <c r="B92" s="4" t="s">
        <v>37</v>
      </c>
      <c r="C92" s="22">
        <f>'Work Progress (%)'!G101</f>
        <v>1</v>
      </c>
      <c r="D92" s="22">
        <f>'Work Progress (%)'!L101</f>
        <v>0.4</v>
      </c>
      <c r="E92" s="22">
        <f>'Work Progress (%)'!Y101</f>
        <v>1.0000000000000002</v>
      </c>
      <c r="F92" s="22">
        <f>'Work Progress (%)'!AD101</f>
        <v>0.5</v>
      </c>
      <c r="G92" s="22">
        <f>'Work Progress (%)'!AI101</f>
        <v>0.71499999999999997</v>
      </c>
      <c r="H92" s="22">
        <f>'Work Progress (%)'!AQ101</f>
        <v>0.55000000000000004</v>
      </c>
      <c r="I92" s="22">
        <f>'Work Progress (%)'!AV101</f>
        <v>0</v>
      </c>
      <c r="J92" s="22">
        <f>'Work Progress (%)'!BD101</f>
        <v>0</v>
      </c>
      <c r="K92" s="22">
        <v>0.7</v>
      </c>
      <c r="L92" s="22">
        <v>1</v>
      </c>
      <c r="M92" s="22">
        <v>0.2</v>
      </c>
      <c r="N92" s="22">
        <v>0.7</v>
      </c>
      <c r="O92" s="23">
        <f t="shared" si="12"/>
        <v>0.63550000000000018</v>
      </c>
      <c r="P92" s="8"/>
    </row>
    <row r="93" spans="1:16" ht="73.5" customHeight="1" x14ac:dyDescent="0.45">
      <c r="A93" s="3">
        <v>604</v>
      </c>
      <c r="B93" s="4" t="s">
        <v>37</v>
      </c>
      <c r="C93" s="22">
        <f>'Work Progress (%)'!G102</f>
        <v>1</v>
      </c>
      <c r="D93" s="22">
        <f>'Work Progress (%)'!L102</f>
        <v>0.91</v>
      </c>
      <c r="E93" s="22">
        <f>'Work Progress (%)'!Y102</f>
        <v>1.0000000000000002</v>
      </c>
      <c r="F93" s="22">
        <f>'Work Progress (%)'!AD102</f>
        <v>0.5</v>
      </c>
      <c r="G93" s="22">
        <f>'Work Progress (%)'!AI102</f>
        <v>0.68499999999999994</v>
      </c>
      <c r="H93" s="22">
        <f>'Work Progress (%)'!AQ102</f>
        <v>0.55000000000000004</v>
      </c>
      <c r="I93" s="22">
        <f>'Work Progress (%)'!AV102</f>
        <v>0</v>
      </c>
      <c r="J93" s="22">
        <f>'Work Progress (%)'!BD102</f>
        <v>0</v>
      </c>
      <c r="K93" s="22">
        <v>0.7</v>
      </c>
      <c r="L93" s="22">
        <v>1</v>
      </c>
      <c r="M93" s="22">
        <v>0.2</v>
      </c>
      <c r="N93" s="22">
        <v>0.7</v>
      </c>
      <c r="O93" s="23">
        <f t="shared" si="12"/>
        <v>0.70900000000000007</v>
      </c>
      <c r="P93" s="8"/>
    </row>
    <row r="94" spans="1:16" ht="73.5" customHeight="1" x14ac:dyDescent="0.45">
      <c r="A94" s="3">
        <v>605</v>
      </c>
      <c r="B94" s="4" t="s">
        <v>37</v>
      </c>
      <c r="C94" s="22">
        <f>'Work Progress (%)'!G103</f>
        <v>1</v>
      </c>
      <c r="D94" s="22">
        <f>'Work Progress (%)'!L103</f>
        <v>1</v>
      </c>
      <c r="E94" s="22">
        <f>'Work Progress (%)'!Y103</f>
        <v>1.0000000000000002</v>
      </c>
      <c r="F94" s="22">
        <f>'Work Progress (%)'!AD103</f>
        <v>0.5</v>
      </c>
      <c r="G94" s="22">
        <f>'Work Progress (%)'!AI103</f>
        <v>0.71499999999999997</v>
      </c>
      <c r="H94" s="22">
        <f>'Work Progress (%)'!AQ103</f>
        <v>0.55000000000000004</v>
      </c>
      <c r="I94" s="22">
        <f>'Work Progress (%)'!AV103</f>
        <v>0</v>
      </c>
      <c r="J94" s="22">
        <f>'Work Progress (%)'!BD103</f>
        <v>0</v>
      </c>
      <c r="K94" s="22">
        <v>0.7</v>
      </c>
      <c r="L94" s="22">
        <v>1</v>
      </c>
      <c r="M94" s="22">
        <v>0.2</v>
      </c>
      <c r="N94" s="22">
        <v>0.7</v>
      </c>
      <c r="O94" s="23">
        <f t="shared" si="12"/>
        <v>0.72550000000000014</v>
      </c>
      <c r="P94" s="8"/>
    </row>
    <row r="95" spans="1:16" ht="73.5" customHeight="1" x14ac:dyDescent="0.45">
      <c r="A95" s="3">
        <v>606</v>
      </c>
      <c r="B95" s="4" t="s">
        <v>37</v>
      </c>
      <c r="C95" s="22">
        <f>'Work Progress (%)'!G104</f>
        <v>1</v>
      </c>
      <c r="D95" s="22">
        <f>'Work Progress (%)'!L104</f>
        <v>0.91</v>
      </c>
      <c r="E95" s="22">
        <f>'Work Progress (%)'!Y104</f>
        <v>1.0000000000000002</v>
      </c>
      <c r="F95" s="22">
        <f>'Work Progress (%)'!AD104</f>
        <v>0.5</v>
      </c>
      <c r="G95" s="22">
        <f>'Work Progress (%)'!AI104</f>
        <v>0.68499999999999994</v>
      </c>
      <c r="H95" s="22">
        <f>'Work Progress (%)'!AQ104</f>
        <v>0.55000000000000004</v>
      </c>
      <c r="I95" s="22">
        <f>'Work Progress (%)'!AV104</f>
        <v>0</v>
      </c>
      <c r="J95" s="22">
        <f>'Work Progress (%)'!BD104</f>
        <v>0</v>
      </c>
      <c r="K95" s="22">
        <v>0.7</v>
      </c>
      <c r="L95" s="22">
        <v>1</v>
      </c>
      <c r="M95" s="22">
        <v>0.2</v>
      </c>
      <c r="N95" s="22">
        <v>0.7</v>
      </c>
      <c r="O95" s="23">
        <f t="shared" si="12"/>
        <v>0.70900000000000007</v>
      </c>
      <c r="P95" s="8"/>
    </row>
    <row r="96" spans="1:16" ht="73.5" customHeight="1" x14ac:dyDescent="0.45">
      <c r="A96" s="3">
        <v>607</v>
      </c>
      <c r="B96" s="4" t="s">
        <v>37</v>
      </c>
      <c r="C96" s="22">
        <f>'Work Progress (%)'!G105</f>
        <v>1</v>
      </c>
      <c r="D96" s="22">
        <f>'Work Progress (%)'!L105</f>
        <v>1</v>
      </c>
      <c r="E96" s="22">
        <f>'Work Progress (%)'!Y105</f>
        <v>1.0000000000000002</v>
      </c>
      <c r="F96" s="22">
        <f>'Work Progress (%)'!AD105</f>
        <v>0.5</v>
      </c>
      <c r="G96" s="22">
        <f>'Work Progress (%)'!AI105</f>
        <v>0.71499999999999997</v>
      </c>
      <c r="H96" s="22">
        <f>'Work Progress (%)'!AQ105</f>
        <v>0.55000000000000004</v>
      </c>
      <c r="I96" s="22">
        <f>'Work Progress (%)'!AV105</f>
        <v>0</v>
      </c>
      <c r="J96" s="22">
        <f>'Work Progress (%)'!BD105</f>
        <v>0</v>
      </c>
      <c r="K96" s="22">
        <v>0.7</v>
      </c>
      <c r="L96" s="22">
        <v>1</v>
      </c>
      <c r="M96" s="22">
        <v>0.2</v>
      </c>
      <c r="N96" s="22">
        <v>0.7</v>
      </c>
      <c r="O96" s="23">
        <f t="shared" si="12"/>
        <v>0.72550000000000014</v>
      </c>
      <c r="P96" s="8"/>
    </row>
    <row r="97" spans="1:16" ht="73.5" customHeight="1" x14ac:dyDescent="0.45">
      <c r="A97" s="3">
        <v>608</v>
      </c>
      <c r="B97" s="4" t="s">
        <v>37</v>
      </c>
      <c r="C97" s="22">
        <f>'Work Progress (%)'!G106</f>
        <v>1</v>
      </c>
      <c r="D97" s="22">
        <f>'Work Progress (%)'!L106</f>
        <v>0.9</v>
      </c>
      <c r="E97" s="22">
        <f>'Work Progress (%)'!Y106</f>
        <v>1.0000000000000002</v>
      </c>
      <c r="F97" s="22">
        <f>'Work Progress (%)'!AD106</f>
        <v>0.5</v>
      </c>
      <c r="G97" s="22">
        <f>'Work Progress (%)'!AI106</f>
        <v>0.7</v>
      </c>
      <c r="H97" s="22">
        <f>'Work Progress (%)'!AQ106</f>
        <v>0.55000000000000004</v>
      </c>
      <c r="I97" s="22">
        <f>'Work Progress (%)'!AV106</f>
        <v>0</v>
      </c>
      <c r="J97" s="22">
        <f>'Work Progress (%)'!BD106</f>
        <v>0</v>
      </c>
      <c r="K97" s="22">
        <v>0.7</v>
      </c>
      <c r="L97" s="22">
        <v>1</v>
      </c>
      <c r="M97" s="22">
        <v>0.2</v>
      </c>
      <c r="N97" s="22">
        <v>0.7</v>
      </c>
      <c r="O97" s="23">
        <f t="shared" si="12"/>
        <v>0.70900000000000007</v>
      </c>
      <c r="P97" s="8"/>
    </row>
    <row r="98" spans="1:16" ht="73.5" customHeight="1" x14ac:dyDescent="0.45">
      <c r="A98" s="3">
        <v>609</v>
      </c>
      <c r="B98" s="4" t="s">
        <v>37</v>
      </c>
      <c r="C98" s="22">
        <f>'Work Progress (%)'!G107</f>
        <v>1</v>
      </c>
      <c r="D98" s="22">
        <f>'Work Progress (%)'!L107</f>
        <v>1</v>
      </c>
      <c r="E98" s="22">
        <f>'Work Progress (%)'!Y107</f>
        <v>1.0000000000000002</v>
      </c>
      <c r="F98" s="22">
        <f>'Work Progress (%)'!AD107</f>
        <v>0.5</v>
      </c>
      <c r="G98" s="22">
        <f>'Work Progress (%)'!AI107</f>
        <v>0.71499999999999997</v>
      </c>
      <c r="H98" s="22">
        <f>'Work Progress (%)'!AQ107</f>
        <v>0.55000000000000004</v>
      </c>
      <c r="I98" s="22">
        <f>'Work Progress (%)'!AV107</f>
        <v>0</v>
      </c>
      <c r="J98" s="22">
        <f>'Work Progress (%)'!BD107</f>
        <v>0</v>
      </c>
      <c r="K98" s="22">
        <v>0.7</v>
      </c>
      <c r="L98" s="22">
        <v>1</v>
      </c>
      <c r="M98" s="22">
        <v>0.2</v>
      </c>
      <c r="N98" s="22">
        <v>0.7</v>
      </c>
      <c r="O98" s="23">
        <f t="shared" si="12"/>
        <v>0.72550000000000014</v>
      </c>
      <c r="P98" s="8"/>
    </row>
    <row r="99" spans="1:16" ht="73.5" customHeight="1" x14ac:dyDescent="0.45">
      <c r="A99" s="3">
        <v>610</v>
      </c>
      <c r="B99" s="4" t="s">
        <v>37</v>
      </c>
      <c r="C99" s="22">
        <f>'Work Progress (%)'!G108</f>
        <v>1</v>
      </c>
      <c r="D99" s="22">
        <f>'Work Progress (%)'!L108</f>
        <v>1</v>
      </c>
      <c r="E99" s="22">
        <f>'Work Progress (%)'!Y108</f>
        <v>1.0000000000000002</v>
      </c>
      <c r="F99" s="22">
        <f>'Work Progress (%)'!AD108</f>
        <v>0.5</v>
      </c>
      <c r="G99" s="22">
        <f>'Work Progress (%)'!AI108</f>
        <v>1</v>
      </c>
      <c r="H99" s="22">
        <f>'Work Progress (%)'!AQ108</f>
        <v>0.55000000000000004</v>
      </c>
      <c r="I99" s="22">
        <f>'Work Progress (%)'!AV108</f>
        <v>0</v>
      </c>
      <c r="J99" s="22">
        <f>'Work Progress (%)'!BD108</f>
        <v>0</v>
      </c>
      <c r="K99" s="22">
        <v>0.7</v>
      </c>
      <c r="L99" s="22">
        <v>1</v>
      </c>
      <c r="M99" s="22">
        <v>0.2</v>
      </c>
      <c r="N99" s="22">
        <v>0.7</v>
      </c>
      <c r="O99" s="23">
        <f t="shared" si="12"/>
        <v>0.75400000000000011</v>
      </c>
      <c r="P99" s="8"/>
    </row>
    <row r="100" spans="1:16" ht="73.5" customHeight="1" x14ac:dyDescent="0.45">
      <c r="A100" s="3">
        <v>611</v>
      </c>
      <c r="B100" s="4" t="s">
        <v>37</v>
      </c>
      <c r="C100" s="22">
        <f>'Work Progress (%)'!G109</f>
        <v>1</v>
      </c>
      <c r="D100" s="22">
        <f>'Work Progress (%)'!L109</f>
        <v>1</v>
      </c>
      <c r="E100" s="22">
        <f>'Work Progress (%)'!Y109</f>
        <v>0.99500000000000011</v>
      </c>
      <c r="F100" s="22">
        <f>'Work Progress (%)'!AD109</f>
        <v>0.5</v>
      </c>
      <c r="G100" s="22">
        <f>'Work Progress (%)'!AI109</f>
        <v>0.71499999999999997</v>
      </c>
      <c r="H100" s="22">
        <f>'Work Progress (%)'!AQ109</f>
        <v>0.55000000000000004</v>
      </c>
      <c r="I100" s="22">
        <f>'Work Progress (%)'!AV109</f>
        <v>0</v>
      </c>
      <c r="J100" s="22">
        <f>'Work Progress (%)'!BD109</f>
        <v>0</v>
      </c>
      <c r="K100" s="22">
        <v>0.7</v>
      </c>
      <c r="L100" s="22">
        <v>1</v>
      </c>
      <c r="M100" s="22">
        <v>0.2</v>
      </c>
      <c r="N100" s="22">
        <v>0.7</v>
      </c>
      <c r="O100" s="23">
        <f t="shared" si="12"/>
        <v>0.72450000000000003</v>
      </c>
      <c r="P100" s="8"/>
    </row>
    <row r="101" spans="1:16" ht="73.5" customHeight="1" x14ac:dyDescent="0.45">
      <c r="A101" s="3">
        <v>612</v>
      </c>
      <c r="B101" s="4" t="s">
        <v>37</v>
      </c>
      <c r="C101" s="22">
        <f>'Work Progress (%)'!G110</f>
        <v>1</v>
      </c>
      <c r="D101" s="22">
        <f>'Work Progress (%)'!L110</f>
        <v>1</v>
      </c>
      <c r="E101" s="22">
        <f>'Work Progress (%)'!Y110</f>
        <v>1.0000000000000002</v>
      </c>
      <c r="F101" s="22">
        <f>'Work Progress (%)'!AD110</f>
        <v>0.5</v>
      </c>
      <c r="G101" s="22">
        <f>'Work Progress (%)'!AI110</f>
        <v>1</v>
      </c>
      <c r="H101" s="22">
        <f>'Work Progress (%)'!AQ110</f>
        <v>0.55000000000000004</v>
      </c>
      <c r="I101" s="22">
        <f>'Work Progress (%)'!AV110</f>
        <v>0</v>
      </c>
      <c r="J101" s="22">
        <f>'Work Progress (%)'!BD110</f>
        <v>0</v>
      </c>
      <c r="K101" s="22">
        <v>0.7</v>
      </c>
      <c r="L101" s="22">
        <v>1</v>
      </c>
      <c r="M101" s="22">
        <v>0.2</v>
      </c>
      <c r="N101" s="22">
        <v>0.7</v>
      </c>
      <c r="O101" s="23">
        <f t="shared" si="12"/>
        <v>0.75400000000000011</v>
      </c>
      <c r="P101" s="8"/>
    </row>
    <row r="102" spans="1:16" ht="73.5" customHeight="1" x14ac:dyDescent="0.45">
      <c r="A102" s="3">
        <v>613</v>
      </c>
      <c r="B102" s="4" t="s">
        <v>37</v>
      </c>
      <c r="C102" s="22">
        <f>'Work Progress (%)'!G111</f>
        <v>1</v>
      </c>
      <c r="D102" s="22">
        <f>'Work Progress (%)'!L111</f>
        <v>1</v>
      </c>
      <c r="E102" s="22">
        <f>'Work Progress (%)'!Y111</f>
        <v>1.0000000000000002</v>
      </c>
      <c r="F102" s="22">
        <f>'Work Progress (%)'!AD111</f>
        <v>0.5</v>
      </c>
      <c r="G102" s="22">
        <f>'Work Progress (%)'!AI111</f>
        <v>0.505</v>
      </c>
      <c r="H102" s="22">
        <f>'Work Progress (%)'!AQ111</f>
        <v>0.55000000000000004</v>
      </c>
      <c r="I102" s="22">
        <f>'Work Progress (%)'!AV111</f>
        <v>0</v>
      </c>
      <c r="J102" s="22">
        <f>'Work Progress (%)'!BD111</f>
        <v>0</v>
      </c>
      <c r="K102" s="22">
        <v>0.7</v>
      </c>
      <c r="L102" s="22">
        <v>1</v>
      </c>
      <c r="M102" s="22">
        <v>0.2</v>
      </c>
      <c r="N102" s="22">
        <v>0.7</v>
      </c>
      <c r="O102" s="23">
        <f t="shared" si="12"/>
        <v>0.70450000000000013</v>
      </c>
      <c r="P102" s="8"/>
    </row>
    <row r="103" spans="1:16" ht="73.5" customHeight="1" x14ac:dyDescent="0.45">
      <c r="A103" s="3">
        <v>614</v>
      </c>
      <c r="B103" s="4" t="s">
        <v>37</v>
      </c>
      <c r="C103" s="22">
        <f>'Work Progress (%)'!G112</f>
        <v>1</v>
      </c>
      <c r="D103" s="22">
        <f>'Work Progress (%)'!L112</f>
        <v>1</v>
      </c>
      <c r="E103" s="22">
        <f>'Work Progress (%)'!Y112</f>
        <v>1.0000000000000002</v>
      </c>
      <c r="F103" s="22">
        <f>'Work Progress (%)'!AD112</f>
        <v>0.5</v>
      </c>
      <c r="G103" s="22">
        <f>'Work Progress (%)'!AI112</f>
        <v>1</v>
      </c>
      <c r="H103" s="22">
        <f>'Work Progress (%)'!AQ112</f>
        <v>0.55000000000000004</v>
      </c>
      <c r="I103" s="22">
        <f>'Work Progress (%)'!AV112</f>
        <v>0</v>
      </c>
      <c r="J103" s="22">
        <f>'Work Progress (%)'!BD112</f>
        <v>0</v>
      </c>
      <c r="K103" s="22">
        <v>0.7</v>
      </c>
      <c r="L103" s="22">
        <v>1</v>
      </c>
      <c r="M103" s="22">
        <v>0.2</v>
      </c>
      <c r="N103" s="22">
        <v>0.7</v>
      </c>
      <c r="O103" s="23">
        <f t="shared" si="12"/>
        <v>0.75400000000000011</v>
      </c>
      <c r="P103" s="8"/>
    </row>
    <row r="104" spans="1:16" ht="73.5" customHeight="1" x14ac:dyDescent="0.45">
      <c r="A104" s="3">
        <v>615</v>
      </c>
      <c r="B104" s="4" t="s">
        <v>37</v>
      </c>
      <c r="C104" s="22">
        <f>'Work Progress (%)'!G113</f>
        <v>1</v>
      </c>
      <c r="D104" s="22">
        <f>'Work Progress (%)'!L113</f>
        <v>1</v>
      </c>
      <c r="E104" s="22">
        <f>'Work Progress (%)'!Y113</f>
        <v>1.0000000000000002</v>
      </c>
      <c r="F104" s="22">
        <f>'Work Progress (%)'!AD113</f>
        <v>0.5</v>
      </c>
      <c r="G104" s="22">
        <f>'Work Progress (%)'!AI113</f>
        <v>0.49</v>
      </c>
      <c r="H104" s="22">
        <f>'Work Progress (%)'!AQ113</f>
        <v>0.55000000000000004</v>
      </c>
      <c r="I104" s="22">
        <f>'Work Progress (%)'!AV113</f>
        <v>0</v>
      </c>
      <c r="J104" s="22">
        <f>'Work Progress (%)'!BD113</f>
        <v>0</v>
      </c>
      <c r="K104" s="22">
        <v>0.7</v>
      </c>
      <c r="L104" s="22">
        <v>1</v>
      </c>
      <c r="M104" s="22">
        <v>0.2</v>
      </c>
      <c r="N104" s="22">
        <v>0.7</v>
      </c>
      <c r="O104" s="23">
        <f t="shared" si="12"/>
        <v>0.70300000000000018</v>
      </c>
      <c r="P104" s="8"/>
    </row>
    <row r="105" spans="1:16" ht="73.5" customHeight="1" x14ac:dyDescent="0.45">
      <c r="A105" s="3">
        <v>616</v>
      </c>
      <c r="B105" s="4" t="s">
        <v>37</v>
      </c>
      <c r="C105" s="22">
        <f>'Work Progress (%)'!G114</f>
        <v>1</v>
      </c>
      <c r="D105" s="22">
        <f>'Work Progress (%)'!L114</f>
        <v>1</v>
      </c>
      <c r="E105" s="22">
        <f>'Work Progress (%)'!Y114</f>
        <v>0.99500000000000011</v>
      </c>
      <c r="F105" s="22">
        <f>'Work Progress (%)'!AD114</f>
        <v>0.5</v>
      </c>
      <c r="G105" s="22">
        <f>'Work Progress (%)'!AI114</f>
        <v>0.34499999999999997</v>
      </c>
      <c r="H105" s="22">
        <f>'Work Progress (%)'!AQ114</f>
        <v>0.55000000000000004</v>
      </c>
      <c r="I105" s="22">
        <f>'Work Progress (%)'!AV114</f>
        <v>0</v>
      </c>
      <c r="J105" s="22">
        <f>'Work Progress (%)'!BD114</f>
        <v>0</v>
      </c>
      <c r="K105" s="22">
        <v>0.7</v>
      </c>
      <c r="L105" s="22">
        <v>1</v>
      </c>
      <c r="M105" s="22">
        <v>0.2</v>
      </c>
      <c r="N105" s="22">
        <v>0.7</v>
      </c>
      <c r="O105" s="23">
        <f t="shared" si="12"/>
        <v>0.68750000000000011</v>
      </c>
      <c r="P105" s="8"/>
    </row>
    <row r="106" spans="1:16" ht="73.5" customHeight="1" x14ac:dyDescent="0.45">
      <c r="A106" s="169" t="s">
        <v>38</v>
      </c>
      <c r="B106" s="170"/>
      <c r="C106" s="161">
        <f>AVERAGE(C108:C122)</f>
        <v>1</v>
      </c>
      <c r="D106" s="161">
        <f t="shared" ref="D106:N106" si="13">AVERAGE(D108:D122)</f>
        <v>0.9913333333333334</v>
      </c>
      <c r="E106" s="22">
        <f t="shared" si="13"/>
        <v>0.98750000000000038</v>
      </c>
      <c r="F106" s="161">
        <f t="shared" si="13"/>
        <v>3.0000000000000006E-2</v>
      </c>
      <c r="G106" s="161">
        <f t="shared" si="13"/>
        <v>0.54133333333333344</v>
      </c>
      <c r="H106" s="161">
        <f t="shared" si="13"/>
        <v>0.29999999999999993</v>
      </c>
      <c r="I106" s="161">
        <f t="shared" si="13"/>
        <v>0</v>
      </c>
      <c r="J106" s="161">
        <f t="shared" si="13"/>
        <v>0</v>
      </c>
      <c r="K106" s="161">
        <f t="shared" si="13"/>
        <v>0.69999999999999984</v>
      </c>
      <c r="L106" s="161">
        <f t="shared" si="13"/>
        <v>1</v>
      </c>
      <c r="M106" s="161">
        <f t="shared" si="13"/>
        <v>0.20000000000000004</v>
      </c>
      <c r="N106" s="161">
        <f t="shared" si="13"/>
        <v>0.69999999999999984</v>
      </c>
      <c r="O106" s="16">
        <f>AVERAGE(O107:O122)</f>
        <v>0.60476562500000008</v>
      </c>
      <c r="P106" s="14"/>
    </row>
    <row r="107" spans="1:16" ht="73.5" customHeight="1" x14ac:dyDescent="0.45">
      <c r="A107" s="3">
        <v>701</v>
      </c>
      <c r="B107" s="4" t="s">
        <v>39</v>
      </c>
      <c r="C107" s="22">
        <f>'Work Progress (%)'!G116</f>
        <v>1</v>
      </c>
      <c r="D107" s="22">
        <f>'Work Progress (%)'!L116</f>
        <v>0.98499999999999988</v>
      </c>
      <c r="E107" s="22">
        <f>'Work Progress (%)'!Y116</f>
        <v>0.99750000000000005</v>
      </c>
      <c r="F107" s="22">
        <f>'Work Progress (%)'!AD116</f>
        <v>0.10000000000000002</v>
      </c>
      <c r="G107" s="22">
        <f>'Work Progress (%)'!AI116</f>
        <v>0.05</v>
      </c>
      <c r="H107" s="22">
        <f>'Work Progress (%)'!AQ116</f>
        <v>0.3</v>
      </c>
      <c r="I107" s="22">
        <f>'Work Progress (%)'!AV116</f>
        <v>0</v>
      </c>
      <c r="J107" s="22">
        <f>'Work Progress (%)'!BD116</f>
        <v>0</v>
      </c>
      <c r="K107" s="22">
        <v>0.7</v>
      </c>
      <c r="L107" s="22">
        <v>1</v>
      </c>
      <c r="M107" s="22">
        <v>0.2</v>
      </c>
      <c r="N107" s="22">
        <v>0.7</v>
      </c>
      <c r="O107" s="23">
        <f t="shared" ref="O107:O122" si="14">SUMPRODUCT(C107:N107, C$2:N$2)</f>
        <v>0.56625000000000003</v>
      </c>
      <c r="P107" s="8"/>
    </row>
    <row r="108" spans="1:16" ht="73.5" customHeight="1" x14ac:dyDescent="0.45">
      <c r="A108" s="3">
        <v>702</v>
      </c>
      <c r="B108" s="4" t="s">
        <v>39</v>
      </c>
      <c r="C108" s="22">
        <f>'Work Progress (%)'!G117</f>
        <v>1</v>
      </c>
      <c r="D108" s="22">
        <f>'Work Progress (%)'!L117</f>
        <v>1</v>
      </c>
      <c r="E108" s="22">
        <f>'Work Progress (%)'!Y117</f>
        <v>0.99750000000000005</v>
      </c>
      <c r="F108" s="22">
        <f>'Work Progress (%)'!AD117</f>
        <v>0.10000000000000002</v>
      </c>
      <c r="G108" s="22">
        <f>'Work Progress (%)'!AI117</f>
        <v>0.26</v>
      </c>
      <c r="H108" s="22">
        <f>'Work Progress (%)'!AQ117</f>
        <v>0.3</v>
      </c>
      <c r="I108" s="22">
        <f>'Work Progress (%)'!AV117</f>
        <v>0</v>
      </c>
      <c r="J108" s="22">
        <f>'Work Progress (%)'!BD117</f>
        <v>0</v>
      </c>
      <c r="K108" s="22">
        <v>0.7</v>
      </c>
      <c r="L108" s="22">
        <v>1</v>
      </c>
      <c r="M108" s="22">
        <v>0.2</v>
      </c>
      <c r="N108" s="22">
        <v>0.7</v>
      </c>
      <c r="O108" s="23">
        <f t="shared" si="14"/>
        <v>0.58950000000000014</v>
      </c>
      <c r="P108" s="8"/>
    </row>
    <row r="109" spans="1:16" ht="73.5" customHeight="1" x14ac:dyDescent="0.45">
      <c r="A109" s="3">
        <v>703</v>
      </c>
      <c r="B109" s="4" t="s">
        <v>39</v>
      </c>
      <c r="C109" s="22">
        <f>'Work Progress (%)'!G118</f>
        <v>1</v>
      </c>
      <c r="D109" s="22">
        <f>'Work Progress (%)'!L118</f>
        <v>0.97</v>
      </c>
      <c r="E109" s="22">
        <f>'Work Progress (%)'!Y118</f>
        <v>0.99750000000000005</v>
      </c>
      <c r="F109" s="22">
        <f>'Work Progress (%)'!AD118</f>
        <v>9.5000000000000015E-2</v>
      </c>
      <c r="G109" s="22">
        <f>'Work Progress (%)'!AI118</f>
        <v>0.5</v>
      </c>
      <c r="H109" s="22">
        <f>'Work Progress (%)'!AQ118</f>
        <v>0.3</v>
      </c>
      <c r="I109" s="22">
        <f>'Work Progress (%)'!AV118</f>
        <v>0</v>
      </c>
      <c r="J109" s="22">
        <f>'Work Progress (%)'!BD118</f>
        <v>0</v>
      </c>
      <c r="K109" s="22">
        <v>0.7</v>
      </c>
      <c r="L109" s="22">
        <v>1</v>
      </c>
      <c r="M109" s="22">
        <v>0.2</v>
      </c>
      <c r="N109" s="22">
        <v>0.7</v>
      </c>
      <c r="O109" s="23">
        <f t="shared" si="14"/>
        <v>0.60850000000000004</v>
      </c>
      <c r="P109" s="8"/>
    </row>
    <row r="110" spans="1:16" ht="73.5" customHeight="1" x14ac:dyDescent="0.45">
      <c r="A110" s="3">
        <v>704</v>
      </c>
      <c r="B110" s="4" t="s">
        <v>39</v>
      </c>
      <c r="C110" s="22">
        <f>'Work Progress (%)'!G119</f>
        <v>1</v>
      </c>
      <c r="D110" s="22">
        <f>'Work Progress (%)'!L119</f>
        <v>0.9</v>
      </c>
      <c r="E110" s="22">
        <f>'Work Progress (%)'!Y119</f>
        <v>0.94750000000000012</v>
      </c>
      <c r="F110" s="22">
        <f>'Work Progress (%)'!AD119</f>
        <v>0.10000000000000002</v>
      </c>
      <c r="G110" s="22">
        <f>'Work Progress (%)'!AI119</f>
        <v>0.28999999999999998</v>
      </c>
      <c r="H110" s="22">
        <f>'Work Progress (%)'!AQ119</f>
        <v>0.3</v>
      </c>
      <c r="I110" s="22">
        <f>'Work Progress (%)'!AV119</f>
        <v>0</v>
      </c>
      <c r="J110" s="22">
        <f>'Work Progress (%)'!BD119</f>
        <v>0</v>
      </c>
      <c r="K110" s="22">
        <v>0.7</v>
      </c>
      <c r="L110" s="22">
        <v>1</v>
      </c>
      <c r="M110" s="22">
        <v>0.2</v>
      </c>
      <c r="N110" s="22">
        <v>0.7</v>
      </c>
      <c r="O110" s="23">
        <f t="shared" si="14"/>
        <v>0.56750000000000012</v>
      </c>
      <c r="P110" s="8"/>
    </row>
    <row r="111" spans="1:16" ht="73.5" customHeight="1" x14ac:dyDescent="0.45">
      <c r="A111" s="3">
        <v>705</v>
      </c>
      <c r="B111" s="4" t="s">
        <v>39</v>
      </c>
      <c r="C111" s="22">
        <f>'Work Progress (%)'!G120</f>
        <v>1</v>
      </c>
      <c r="D111" s="22">
        <f>'Work Progress (%)'!L120</f>
        <v>1</v>
      </c>
      <c r="E111" s="22">
        <f>'Work Progress (%)'!Y120</f>
        <v>0.99750000000000005</v>
      </c>
      <c r="F111" s="22">
        <f>'Work Progress (%)'!AD120</f>
        <v>0</v>
      </c>
      <c r="G111" s="22">
        <f>'Work Progress (%)'!AI120</f>
        <v>0.5</v>
      </c>
      <c r="H111" s="22">
        <f>'Work Progress (%)'!AQ120</f>
        <v>0.3</v>
      </c>
      <c r="I111" s="22">
        <f>'Work Progress (%)'!AV120</f>
        <v>0</v>
      </c>
      <c r="J111" s="22">
        <f>'Work Progress (%)'!BD120</f>
        <v>0</v>
      </c>
      <c r="K111" s="22">
        <v>0.7</v>
      </c>
      <c r="L111" s="22">
        <v>1</v>
      </c>
      <c r="M111" s="22">
        <v>0.2</v>
      </c>
      <c r="N111" s="22">
        <v>0.7</v>
      </c>
      <c r="O111" s="23">
        <f t="shared" si="14"/>
        <v>0.60350000000000004</v>
      </c>
      <c r="P111" s="8"/>
    </row>
    <row r="112" spans="1:16" ht="73.5" customHeight="1" x14ac:dyDescent="0.45">
      <c r="A112" s="3">
        <v>706</v>
      </c>
      <c r="B112" s="4" t="s">
        <v>39</v>
      </c>
      <c r="C112" s="22">
        <f>'Work Progress (%)'!G121</f>
        <v>1</v>
      </c>
      <c r="D112" s="22">
        <f>'Work Progress (%)'!L121</f>
        <v>1</v>
      </c>
      <c r="E112" s="22">
        <f>'Work Progress (%)'!Y121</f>
        <v>0.89750000000000019</v>
      </c>
      <c r="F112" s="22">
        <f>'Work Progress (%)'!AD121</f>
        <v>0.10000000000000002</v>
      </c>
      <c r="G112" s="22">
        <f>'Work Progress (%)'!AI121</f>
        <v>0.49</v>
      </c>
      <c r="H112" s="22">
        <f>'Work Progress (%)'!AQ121</f>
        <v>0.3</v>
      </c>
      <c r="I112" s="22">
        <f>'Work Progress (%)'!AV121</f>
        <v>0</v>
      </c>
      <c r="J112" s="22">
        <f>'Work Progress (%)'!BD121</f>
        <v>0</v>
      </c>
      <c r="K112" s="22">
        <v>0.7</v>
      </c>
      <c r="L112" s="22">
        <v>1</v>
      </c>
      <c r="M112" s="22">
        <v>0.2</v>
      </c>
      <c r="N112" s="22">
        <v>0.7</v>
      </c>
      <c r="O112" s="23">
        <f t="shared" si="14"/>
        <v>0.59250000000000003</v>
      </c>
      <c r="P112" s="8"/>
    </row>
    <row r="113" spans="1:16" ht="73.5" customHeight="1" x14ac:dyDescent="0.45">
      <c r="A113" s="3">
        <v>707</v>
      </c>
      <c r="B113" s="4" t="s">
        <v>39</v>
      </c>
      <c r="C113" s="22">
        <f>'Work Progress (%)'!G122</f>
        <v>1</v>
      </c>
      <c r="D113" s="22">
        <f>'Work Progress (%)'!L122</f>
        <v>1</v>
      </c>
      <c r="E113" s="22">
        <f>'Work Progress (%)'!Y122</f>
        <v>0.99750000000000005</v>
      </c>
      <c r="F113" s="22">
        <f>'Work Progress (%)'!AD122</f>
        <v>0</v>
      </c>
      <c r="G113" s="22">
        <f>'Work Progress (%)'!AI122</f>
        <v>0.71</v>
      </c>
      <c r="H113" s="22">
        <f>'Work Progress (%)'!AQ122</f>
        <v>0.3</v>
      </c>
      <c r="I113" s="22">
        <f>'Work Progress (%)'!AV122</f>
        <v>0</v>
      </c>
      <c r="J113" s="22">
        <f>'Work Progress (%)'!BD122</f>
        <v>0</v>
      </c>
      <c r="K113" s="22">
        <v>0.7</v>
      </c>
      <c r="L113" s="22">
        <v>1</v>
      </c>
      <c r="M113" s="22">
        <v>0.2</v>
      </c>
      <c r="N113" s="22">
        <v>0.7</v>
      </c>
      <c r="O113" s="23">
        <f t="shared" si="14"/>
        <v>0.62450000000000006</v>
      </c>
      <c r="P113" s="8"/>
    </row>
    <row r="114" spans="1:16" ht="73.5" customHeight="1" x14ac:dyDescent="0.45">
      <c r="A114" s="3">
        <v>708</v>
      </c>
      <c r="B114" s="4" t="s">
        <v>39</v>
      </c>
      <c r="C114" s="22">
        <f>'Work Progress (%)'!G123</f>
        <v>1</v>
      </c>
      <c r="D114" s="22">
        <f>'Work Progress (%)'!L123</f>
        <v>1</v>
      </c>
      <c r="E114" s="22">
        <f>'Work Progress (%)'!Y123</f>
        <v>0.99750000000000005</v>
      </c>
      <c r="F114" s="22">
        <f>'Work Progress (%)'!AD123</f>
        <v>5.5000000000000007E-2</v>
      </c>
      <c r="G114" s="22">
        <f>'Work Progress (%)'!AI123</f>
        <v>0.90999999999999992</v>
      </c>
      <c r="H114" s="22">
        <f>'Work Progress (%)'!AQ123</f>
        <v>0.3</v>
      </c>
      <c r="I114" s="22">
        <f>'Work Progress (%)'!AV123</f>
        <v>0</v>
      </c>
      <c r="J114" s="22">
        <f>'Work Progress (%)'!BD123</f>
        <v>0</v>
      </c>
      <c r="K114" s="22">
        <v>0.7</v>
      </c>
      <c r="L114" s="22">
        <v>1</v>
      </c>
      <c r="M114" s="22">
        <v>0.2</v>
      </c>
      <c r="N114" s="22">
        <v>0.7</v>
      </c>
      <c r="O114" s="23">
        <f t="shared" si="14"/>
        <v>0.65000000000000013</v>
      </c>
      <c r="P114" s="8"/>
    </row>
    <row r="115" spans="1:16" ht="73.5" customHeight="1" x14ac:dyDescent="0.45">
      <c r="A115" s="3">
        <v>709</v>
      </c>
      <c r="B115" s="4" t="s">
        <v>39</v>
      </c>
      <c r="C115" s="22">
        <f>'Work Progress (%)'!G124</f>
        <v>1</v>
      </c>
      <c r="D115" s="22">
        <f>'Work Progress (%)'!L124</f>
        <v>1</v>
      </c>
      <c r="E115" s="22">
        <f>'Work Progress (%)'!Y124</f>
        <v>0.99750000000000005</v>
      </c>
      <c r="F115" s="22">
        <f>'Work Progress (%)'!AD124</f>
        <v>0</v>
      </c>
      <c r="G115" s="22">
        <f>'Work Progress (%)'!AI124</f>
        <v>0.71499999999999997</v>
      </c>
      <c r="H115" s="22">
        <f>'Work Progress (%)'!AQ124</f>
        <v>0.3</v>
      </c>
      <c r="I115" s="22">
        <f>'Work Progress (%)'!AV124</f>
        <v>0</v>
      </c>
      <c r="J115" s="22">
        <f>'Work Progress (%)'!BD124</f>
        <v>0</v>
      </c>
      <c r="K115" s="22">
        <v>0.7</v>
      </c>
      <c r="L115" s="22">
        <v>1</v>
      </c>
      <c r="M115" s="22">
        <v>0.2</v>
      </c>
      <c r="N115" s="22">
        <v>0.7</v>
      </c>
      <c r="O115" s="23">
        <f t="shared" si="14"/>
        <v>0.625</v>
      </c>
      <c r="P115" s="8"/>
    </row>
    <row r="116" spans="1:16" ht="73.5" customHeight="1" x14ac:dyDescent="0.45">
      <c r="A116" s="3">
        <v>710</v>
      </c>
      <c r="B116" s="4" t="s">
        <v>39</v>
      </c>
      <c r="C116" s="22">
        <f>'Work Progress (%)'!G125</f>
        <v>1</v>
      </c>
      <c r="D116" s="22">
        <f>'Work Progress (%)'!L125</f>
        <v>1</v>
      </c>
      <c r="E116" s="22">
        <f>'Work Progress (%)'!Y125</f>
        <v>0.99750000000000005</v>
      </c>
      <c r="F116" s="22">
        <f>'Work Progress (%)'!AD125</f>
        <v>0</v>
      </c>
      <c r="G116" s="22">
        <f>'Work Progress (%)'!AI125</f>
        <v>0.99499999999999988</v>
      </c>
      <c r="H116" s="22">
        <f>'Work Progress (%)'!AQ125</f>
        <v>0.3</v>
      </c>
      <c r="I116" s="22">
        <f>'Work Progress (%)'!AV125</f>
        <v>0</v>
      </c>
      <c r="J116" s="22">
        <f>'Work Progress (%)'!BD125</f>
        <v>0</v>
      </c>
      <c r="K116" s="22">
        <v>0.7</v>
      </c>
      <c r="L116" s="22">
        <v>1</v>
      </c>
      <c r="M116" s="22">
        <v>0.2</v>
      </c>
      <c r="N116" s="22">
        <v>0.7</v>
      </c>
      <c r="O116" s="23">
        <f t="shared" si="14"/>
        <v>0.65300000000000002</v>
      </c>
      <c r="P116" s="8"/>
    </row>
    <row r="117" spans="1:16" ht="73.5" customHeight="1" x14ac:dyDescent="0.45">
      <c r="A117" s="3">
        <v>711</v>
      </c>
      <c r="B117" s="4" t="s">
        <v>39</v>
      </c>
      <c r="C117" s="22">
        <f>'Work Progress (%)'!G126</f>
        <v>1</v>
      </c>
      <c r="D117" s="22">
        <f>'Work Progress (%)'!L126</f>
        <v>1</v>
      </c>
      <c r="E117" s="22">
        <f>'Work Progress (%)'!Y126</f>
        <v>0.99750000000000005</v>
      </c>
      <c r="F117" s="22">
        <f>'Work Progress (%)'!AD126</f>
        <v>0</v>
      </c>
      <c r="G117" s="22">
        <f>'Work Progress (%)'!AI126</f>
        <v>0.28999999999999998</v>
      </c>
      <c r="H117" s="22">
        <f>'Work Progress (%)'!AQ126</f>
        <v>0.3</v>
      </c>
      <c r="I117" s="22">
        <f>'Work Progress (%)'!AV126</f>
        <v>0</v>
      </c>
      <c r="J117" s="22">
        <f>'Work Progress (%)'!BD126</f>
        <v>0</v>
      </c>
      <c r="K117" s="22">
        <v>0.7</v>
      </c>
      <c r="L117" s="22">
        <v>1</v>
      </c>
      <c r="M117" s="22">
        <v>0.2</v>
      </c>
      <c r="N117" s="22">
        <v>0.7</v>
      </c>
      <c r="O117" s="23">
        <f t="shared" si="14"/>
        <v>0.58250000000000002</v>
      </c>
      <c r="P117" s="8"/>
    </row>
    <row r="118" spans="1:16" ht="73.5" customHeight="1" x14ac:dyDescent="0.45">
      <c r="A118" s="3">
        <v>712</v>
      </c>
      <c r="B118" s="4" t="s">
        <v>39</v>
      </c>
      <c r="C118" s="22">
        <f>'Work Progress (%)'!G127</f>
        <v>1</v>
      </c>
      <c r="D118" s="22">
        <f>'Work Progress (%)'!L127</f>
        <v>1</v>
      </c>
      <c r="E118" s="22">
        <f>'Work Progress (%)'!Y127</f>
        <v>0.99750000000000005</v>
      </c>
      <c r="F118" s="22">
        <f>'Work Progress (%)'!AD127</f>
        <v>0</v>
      </c>
      <c r="G118" s="22">
        <f>'Work Progress (%)'!AI127</f>
        <v>0.8899999999999999</v>
      </c>
      <c r="H118" s="22">
        <f>'Work Progress (%)'!AQ127</f>
        <v>0.3</v>
      </c>
      <c r="I118" s="22">
        <f>'Work Progress (%)'!AV127</f>
        <v>0</v>
      </c>
      <c r="J118" s="22">
        <f>'Work Progress (%)'!BD127</f>
        <v>0</v>
      </c>
      <c r="K118" s="22">
        <v>0.7</v>
      </c>
      <c r="L118" s="22">
        <v>1</v>
      </c>
      <c r="M118" s="22">
        <v>0.2</v>
      </c>
      <c r="N118" s="22">
        <v>0.7</v>
      </c>
      <c r="O118" s="23">
        <f t="shared" si="14"/>
        <v>0.64250000000000007</v>
      </c>
      <c r="P118" s="8"/>
    </row>
    <row r="119" spans="1:16" ht="73.5" customHeight="1" x14ac:dyDescent="0.45">
      <c r="A119" s="3">
        <v>713</v>
      </c>
      <c r="B119" s="4" t="s">
        <v>39</v>
      </c>
      <c r="C119" s="22">
        <f>'Work Progress (%)'!G128</f>
        <v>1</v>
      </c>
      <c r="D119" s="22">
        <f>'Work Progress (%)'!L128</f>
        <v>1</v>
      </c>
      <c r="E119" s="22">
        <f>'Work Progress (%)'!Y128</f>
        <v>0.99750000000000005</v>
      </c>
      <c r="F119" s="22">
        <f>'Work Progress (%)'!AD128</f>
        <v>0</v>
      </c>
      <c r="G119" s="22">
        <f>'Work Progress (%)'!AI128</f>
        <v>3.4999999999999996E-2</v>
      </c>
      <c r="H119" s="22">
        <f>'Work Progress (%)'!AQ128</f>
        <v>0.3</v>
      </c>
      <c r="I119" s="22">
        <f>'Work Progress (%)'!AV128</f>
        <v>0</v>
      </c>
      <c r="J119" s="22">
        <f>'Work Progress (%)'!BD128</f>
        <v>0</v>
      </c>
      <c r="K119" s="22">
        <v>0.7</v>
      </c>
      <c r="L119" s="22">
        <v>1</v>
      </c>
      <c r="M119" s="22">
        <v>0.2</v>
      </c>
      <c r="N119" s="22">
        <v>0.7</v>
      </c>
      <c r="O119" s="23">
        <f t="shared" si="14"/>
        <v>0.55700000000000005</v>
      </c>
      <c r="P119" s="8"/>
    </row>
    <row r="120" spans="1:16" ht="73.5" customHeight="1" x14ac:dyDescent="0.45">
      <c r="A120" s="3">
        <v>714</v>
      </c>
      <c r="B120" s="4" t="s">
        <v>39</v>
      </c>
      <c r="C120" s="22">
        <f>'Work Progress (%)'!G129</f>
        <v>1</v>
      </c>
      <c r="D120" s="22">
        <f>'Work Progress (%)'!L129</f>
        <v>1</v>
      </c>
      <c r="E120" s="22">
        <f>'Work Progress (%)'!Y129</f>
        <v>0.99750000000000005</v>
      </c>
      <c r="F120" s="22">
        <f>'Work Progress (%)'!AD129</f>
        <v>0</v>
      </c>
      <c r="G120" s="22">
        <f>'Work Progress (%)'!AI129</f>
        <v>0.99</v>
      </c>
      <c r="H120" s="22">
        <f>'Work Progress (%)'!AQ129</f>
        <v>0.3</v>
      </c>
      <c r="I120" s="22">
        <f>'Work Progress (%)'!AV129</f>
        <v>0</v>
      </c>
      <c r="J120" s="22">
        <f>'Work Progress (%)'!BD129</f>
        <v>0</v>
      </c>
      <c r="K120" s="22">
        <v>0.7</v>
      </c>
      <c r="L120" s="22">
        <v>1</v>
      </c>
      <c r="M120" s="22">
        <v>0.2</v>
      </c>
      <c r="N120" s="22">
        <v>0.7</v>
      </c>
      <c r="O120" s="23">
        <f t="shared" si="14"/>
        <v>0.65250000000000008</v>
      </c>
      <c r="P120" s="8"/>
    </row>
    <row r="121" spans="1:16" ht="73.5" customHeight="1" x14ac:dyDescent="0.45">
      <c r="A121" s="3">
        <v>715</v>
      </c>
      <c r="B121" s="4" t="s">
        <v>39</v>
      </c>
      <c r="C121" s="22">
        <f>'Work Progress (%)'!G130</f>
        <v>1</v>
      </c>
      <c r="D121" s="22">
        <f>'Work Progress (%)'!L130</f>
        <v>1</v>
      </c>
      <c r="E121" s="22">
        <f>'Work Progress (%)'!Y130</f>
        <v>0.99750000000000005</v>
      </c>
      <c r="F121" s="22">
        <f>'Work Progress (%)'!AD130</f>
        <v>0</v>
      </c>
      <c r="G121" s="22">
        <f>'Work Progress (%)'!AI130</f>
        <v>3.4999999999999996E-2</v>
      </c>
      <c r="H121" s="22">
        <f>'Work Progress (%)'!AQ130</f>
        <v>0.3</v>
      </c>
      <c r="I121" s="22">
        <f>'Work Progress (%)'!AV130</f>
        <v>0</v>
      </c>
      <c r="J121" s="22">
        <f>'Work Progress (%)'!BD130</f>
        <v>0</v>
      </c>
      <c r="K121" s="22">
        <v>0.7</v>
      </c>
      <c r="L121" s="22">
        <v>1</v>
      </c>
      <c r="M121" s="22">
        <v>0.2</v>
      </c>
      <c r="N121" s="22">
        <v>0.7</v>
      </c>
      <c r="O121" s="23">
        <f t="shared" si="14"/>
        <v>0.55700000000000005</v>
      </c>
      <c r="P121" s="8"/>
    </row>
    <row r="122" spans="1:16" ht="73.5" customHeight="1" x14ac:dyDescent="0.45">
      <c r="A122" s="3">
        <v>716</v>
      </c>
      <c r="B122" s="4" t="s">
        <v>39</v>
      </c>
      <c r="C122" s="22">
        <f>'Work Progress (%)'!G131</f>
        <v>1</v>
      </c>
      <c r="D122" s="22">
        <f>'Work Progress (%)'!L131</f>
        <v>1</v>
      </c>
      <c r="E122" s="22">
        <f>'Work Progress (%)'!Y131</f>
        <v>0.99750000000000005</v>
      </c>
      <c r="F122" s="22">
        <f>'Work Progress (%)'!AD131</f>
        <v>0</v>
      </c>
      <c r="G122" s="22">
        <f>'Work Progress (%)'!AI131</f>
        <v>0.51</v>
      </c>
      <c r="H122" s="22">
        <f>'Work Progress (%)'!AQ131</f>
        <v>0.3</v>
      </c>
      <c r="I122" s="22">
        <f>'Work Progress (%)'!AV131</f>
        <v>0</v>
      </c>
      <c r="J122" s="22">
        <f>'Work Progress (%)'!BD131</f>
        <v>0</v>
      </c>
      <c r="K122" s="22">
        <v>0.7</v>
      </c>
      <c r="L122" s="22">
        <v>1</v>
      </c>
      <c r="M122" s="22">
        <v>0.2</v>
      </c>
      <c r="N122" s="22">
        <v>0.7</v>
      </c>
      <c r="O122" s="23">
        <f t="shared" si="14"/>
        <v>0.60450000000000004</v>
      </c>
      <c r="P122" s="8"/>
    </row>
    <row r="123" spans="1:16" ht="73.5" customHeight="1" x14ac:dyDescent="0.45">
      <c r="A123" s="169" t="s">
        <v>40</v>
      </c>
      <c r="B123" s="170"/>
      <c r="C123" s="161">
        <f>AVERAGE(C125:C139)</f>
        <v>1</v>
      </c>
      <c r="D123" s="161">
        <f t="shared" ref="D123:N123" si="15">AVERAGE(D125:D139)</f>
        <v>0.6</v>
      </c>
      <c r="E123" s="22">
        <f t="shared" si="15"/>
        <v>0.99750000000000039</v>
      </c>
      <c r="F123" s="161">
        <f t="shared" si="15"/>
        <v>0</v>
      </c>
      <c r="G123" s="161">
        <f t="shared" si="15"/>
        <v>0.46233333333333326</v>
      </c>
      <c r="H123" s="161">
        <f t="shared" si="15"/>
        <v>0.29999999999999993</v>
      </c>
      <c r="I123" s="161">
        <f t="shared" si="15"/>
        <v>0</v>
      </c>
      <c r="J123" s="161">
        <f t="shared" si="15"/>
        <v>0</v>
      </c>
      <c r="K123" s="161">
        <f t="shared" si="15"/>
        <v>0.69999999999999984</v>
      </c>
      <c r="L123" s="161">
        <f t="shared" si="15"/>
        <v>1</v>
      </c>
      <c r="M123" s="161">
        <f t="shared" si="15"/>
        <v>0.20000000000000004</v>
      </c>
      <c r="N123" s="161">
        <f t="shared" si="15"/>
        <v>0.69999999999999984</v>
      </c>
      <c r="O123" s="15">
        <f>AVERAGE(O124:O139)</f>
        <v>0.5424062500000002</v>
      </c>
      <c r="P123" s="14"/>
    </row>
    <row r="124" spans="1:16" ht="73.5" customHeight="1" x14ac:dyDescent="0.45">
      <c r="A124" s="3">
        <v>801</v>
      </c>
      <c r="B124" s="4" t="s">
        <v>41</v>
      </c>
      <c r="C124" s="22">
        <f>'Work Progress (%)'!G133</f>
        <v>1</v>
      </c>
      <c r="D124" s="22">
        <f>'Work Progress (%)'!L133</f>
        <v>1</v>
      </c>
      <c r="E124" s="22">
        <f>'Work Progress (%)'!Y133</f>
        <v>0.99750000000000005</v>
      </c>
      <c r="F124" s="22">
        <f>'Work Progress (%)'!AD133</f>
        <v>0</v>
      </c>
      <c r="G124" s="22">
        <f>'Work Progress (%)'!AI133</f>
        <v>0.28999999999999998</v>
      </c>
      <c r="H124" s="22">
        <f>'Work Progress (%)'!AQ133</f>
        <v>0.3</v>
      </c>
      <c r="I124" s="22">
        <f>'Work Progress (%)'!AV133</f>
        <v>0</v>
      </c>
      <c r="J124" s="22">
        <f>'Work Progress (%)'!BD133</f>
        <v>0</v>
      </c>
      <c r="K124" s="22">
        <v>0.7</v>
      </c>
      <c r="L124" s="22">
        <v>1</v>
      </c>
      <c r="M124" s="22">
        <v>0.2</v>
      </c>
      <c r="N124" s="22">
        <v>0.7</v>
      </c>
      <c r="O124" s="23">
        <f t="shared" ref="O124:O139" si="16">SUMPRODUCT(C124:N124, C$2:N$2)</f>
        <v>0.58250000000000002</v>
      </c>
      <c r="P124" s="8"/>
    </row>
    <row r="125" spans="1:16" ht="73.5" customHeight="1" x14ac:dyDescent="0.45">
      <c r="A125" s="3">
        <v>802</v>
      </c>
      <c r="B125" s="4" t="s">
        <v>41</v>
      </c>
      <c r="C125" s="22">
        <f>'Work Progress (%)'!G134</f>
        <v>1</v>
      </c>
      <c r="D125" s="22">
        <f>'Work Progress (%)'!L134</f>
        <v>1</v>
      </c>
      <c r="E125" s="22">
        <f>'Work Progress (%)'!Y134</f>
        <v>0.99750000000000005</v>
      </c>
      <c r="F125" s="22">
        <f>'Work Progress (%)'!AD134</f>
        <v>0</v>
      </c>
      <c r="G125" s="22">
        <f>'Work Progress (%)'!AI134</f>
        <v>0.26499999999999996</v>
      </c>
      <c r="H125" s="22">
        <f>'Work Progress (%)'!AQ134</f>
        <v>0.3</v>
      </c>
      <c r="I125" s="22">
        <f>'Work Progress (%)'!AV134</f>
        <v>0</v>
      </c>
      <c r="J125" s="22">
        <f>'Work Progress (%)'!BD134</f>
        <v>0</v>
      </c>
      <c r="K125" s="22">
        <v>0.7</v>
      </c>
      <c r="L125" s="22">
        <v>1</v>
      </c>
      <c r="M125" s="22">
        <v>0.2</v>
      </c>
      <c r="N125" s="22">
        <v>0.7</v>
      </c>
      <c r="O125" s="23">
        <f t="shared" si="16"/>
        <v>0.58000000000000007</v>
      </c>
      <c r="P125" s="8"/>
    </row>
    <row r="126" spans="1:16" ht="73.5" customHeight="1" x14ac:dyDescent="0.45">
      <c r="A126" s="3">
        <v>803</v>
      </c>
      <c r="B126" s="4" t="s">
        <v>41</v>
      </c>
      <c r="C126" s="22">
        <f>'Work Progress (%)'!G135</f>
        <v>1</v>
      </c>
      <c r="D126" s="22">
        <f>'Work Progress (%)'!L135</f>
        <v>1</v>
      </c>
      <c r="E126" s="22">
        <f>'Work Progress (%)'!Y135</f>
        <v>0.99750000000000005</v>
      </c>
      <c r="F126" s="22">
        <f>'Work Progress (%)'!AD135</f>
        <v>0</v>
      </c>
      <c r="G126" s="22">
        <f>'Work Progress (%)'!AI135</f>
        <v>0.28999999999999998</v>
      </c>
      <c r="H126" s="22">
        <f>'Work Progress (%)'!AQ135</f>
        <v>0.3</v>
      </c>
      <c r="I126" s="22">
        <f>'Work Progress (%)'!AV135</f>
        <v>0</v>
      </c>
      <c r="J126" s="22">
        <f>'Work Progress (%)'!BD135</f>
        <v>0</v>
      </c>
      <c r="K126" s="22">
        <v>0.7</v>
      </c>
      <c r="L126" s="22">
        <v>1</v>
      </c>
      <c r="M126" s="22">
        <v>0.2</v>
      </c>
      <c r="N126" s="22">
        <v>0.7</v>
      </c>
      <c r="O126" s="23">
        <f t="shared" si="16"/>
        <v>0.58250000000000002</v>
      </c>
      <c r="P126" s="8"/>
    </row>
    <row r="127" spans="1:16" ht="73.5" customHeight="1" x14ac:dyDescent="0.45">
      <c r="A127" s="3">
        <v>804</v>
      </c>
      <c r="B127" s="4" t="s">
        <v>41</v>
      </c>
      <c r="C127" s="22">
        <f>'Work Progress (%)'!G136</f>
        <v>1</v>
      </c>
      <c r="D127" s="22">
        <f>'Work Progress (%)'!L136</f>
        <v>0</v>
      </c>
      <c r="E127" s="22">
        <f>'Work Progress (%)'!Y136</f>
        <v>0.99750000000000005</v>
      </c>
      <c r="F127" s="22">
        <f>'Work Progress (%)'!AD136</f>
        <v>0</v>
      </c>
      <c r="G127" s="22">
        <f>'Work Progress (%)'!AI136</f>
        <v>0.49</v>
      </c>
      <c r="H127" s="22">
        <f>'Work Progress (%)'!AQ136</f>
        <v>0.3</v>
      </c>
      <c r="I127" s="22">
        <f>'Work Progress (%)'!AV136</f>
        <v>0</v>
      </c>
      <c r="J127" s="22">
        <f>'Work Progress (%)'!BD136</f>
        <v>0</v>
      </c>
      <c r="K127" s="22">
        <v>0.7</v>
      </c>
      <c r="L127" s="22">
        <v>1</v>
      </c>
      <c r="M127" s="22">
        <v>0.2</v>
      </c>
      <c r="N127" s="22">
        <v>0.7</v>
      </c>
      <c r="O127" s="23">
        <f t="shared" si="16"/>
        <v>0.45250000000000001</v>
      </c>
      <c r="P127" s="8"/>
    </row>
    <row r="128" spans="1:16" ht="73.5" customHeight="1" x14ac:dyDescent="0.45">
      <c r="A128" s="3">
        <v>805</v>
      </c>
      <c r="B128" s="4" t="s">
        <v>41</v>
      </c>
      <c r="C128" s="22">
        <f>'Work Progress (%)'!G137</f>
        <v>1</v>
      </c>
      <c r="D128" s="22">
        <f>'Work Progress (%)'!L137</f>
        <v>0.9</v>
      </c>
      <c r="E128" s="22">
        <f>'Work Progress (%)'!Y137</f>
        <v>0.99750000000000005</v>
      </c>
      <c r="F128" s="22">
        <f>'Work Progress (%)'!AD137</f>
        <v>0</v>
      </c>
      <c r="G128" s="22">
        <f>'Work Progress (%)'!AI137</f>
        <v>0.28999999999999998</v>
      </c>
      <c r="H128" s="22">
        <f>'Work Progress (%)'!AQ137</f>
        <v>0.3</v>
      </c>
      <c r="I128" s="22">
        <f>'Work Progress (%)'!AV137</f>
        <v>0</v>
      </c>
      <c r="J128" s="22">
        <f>'Work Progress (%)'!BD137</f>
        <v>0</v>
      </c>
      <c r="K128" s="22">
        <v>0.7</v>
      </c>
      <c r="L128" s="22">
        <v>1</v>
      </c>
      <c r="M128" s="22">
        <v>0.2</v>
      </c>
      <c r="N128" s="22">
        <v>0.7</v>
      </c>
      <c r="O128" s="23">
        <f t="shared" si="16"/>
        <v>0.56750000000000012</v>
      </c>
      <c r="P128" s="8"/>
    </row>
    <row r="129" spans="1:16" ht="73.5" customHeight="1" x14ac:dyDescent="0.45">
      <c r="A129" s="3">
        <v>806</v>
      </c>
      <c r="B129" s="4" t="s">
        <v>41</v>
      </c>
      <c r="C129" s="22">
        <f>'Work Progress (%)'!G138</f>
        <v>1</v>
      </c>
      <c r="D129" s="22">
        <f>'Work Progress (%)'!L138</f>
        <v>0.7</v>
      </c>
      <c r="E129" s="22">
        <f>'Work Progress (%)'!Y138</f>
        <v>0.99750000000000005</v>
      </c>
      <c r="F129" s="22">
        <f>'Work Progress (%)'!AD138</f>
        <v>0</v>
      </c>
      <c r="G129" s="22">
        <f>'Work Progress (%)'!AI138</f>
        <v>0.59499999999999997</v>
      </c>
      <c r="H129" s="22">
        <f>'Work Progress (%)'!AQ138</f>
        <v>0.3</v>
      </c>
      <c r="I129" s="22">
        <f>'Work Progress (%)'!AV138</f>
        <v>0</v>
      </c>
      <c r="J129" s="22">
        <f>'Work Progress (%)'!BD138</f>
        <v>0</v>
      </c>
      <c r="K129" s="22">
        <v>0.7</v>
      </c>
      <c r="L129" s="22">
        <v>1</v>
      </c>
      <c r="M129" s="22">
        <v>0.2</v>
      </c>
      <c r="N129" s="22">
        <v>0.7</v>
      </c>
      <c r="O129" s="23">
        <f t="shared" si="16"/>
        <v>0.56800000000000006</v>
      </c>
      <c r="P129" s="8"/>
    </row>
    <row r="130" spans="1:16" ht="73.5" customHeight="1" x14ac:dyDescent="0.45">
      <c r="A130" s="3">
        <v>807</v>
      </c>
      <c r="B130" s="4" t="s">
        <v>41</v>
      </c>
      <c r="C130" s="22">
        <f>'Work Progress (%)'!G139</f>
        <v>1</v>
      </c>
      <c r="D130" s="22">
        <f>'Work Progress (%)'!L139</f>
        <v>1</v>
      </c>
      <c r="E130" s="22">
        <f>'Work Progress (%)'!Y139</f>
        <v>0.99750000000000005</v>
      </c>
      <c r="F130" s="22">
        <f>'Work Progress (%)'!AD139</f>
        <v>0</v>
      </c>
      <c r="G130" s="22">
        <f>'Work Progress (%)'!AI139</f>
        <v>4.5000000000000005E-2</v>
      </c>
      <c r="H130" s="22">
        <f>'Work Progress (%)'!AQ139</f>
        <v>0.3</v>
      </c>
      <c r="I130" s="22">
        <f>'Work Progress (%)'!AV139</f>
        <v>0</v>
      </c>
      <c r="J130" s="22">
        <f>'Work Progress (%)'!BD139</f>
        <v>0</v>
      </c>
      <c r="K130" s="22">
        <v>0.7</v>
      </c>
      <c r="L130" s="22">
        <v>1</v>
      </c>
      <c r="M130" s="22">
        <v>0.2</v>
      </c>
      <c r="N130" s="22">
        <v>0.7</v>
      </c>
      <c r="O130" s="23">
        <f t="shared" si="16"/>
        <v>0.55800000000000005</v>
      </c>
      <c r="P130" s="8"/>
    </row>
    <row r="131" spans="1:16" ht="73.5" customHeight="1" x14ac:dyDescent="0.45">
      <c r="A131" s="3">
        <v>808</v>
      </c>
      <c r="B131" s="4" t="s">
        <v>41</v>
      </c>
      <c r="C131" s="22">
        <f>'Work Progress (%)'!G140</f>
        <v>1</v>
      </c>
      <c r="D131" s="22">
        <f>'Work Progress (%)'!L140</f>
        <v>1</v>
      </c>
      <c r="E131" s="22">
        <f>'Work Progress (%)'!Y140</f>
        <v>0.99750000000000005</v>
      </c>
      <c r="F131" s="22">
        <f>'Work Progress (%)'!AD140</f>
        <v>0</v>
      </c>
      <c r="G131" s="22">
        <f>'Work Progress (%)'!AI140</f>
        <v>0.28999999999999998</v>
      </c>
      <c r="H131" s="22">
        <f>'Work Progress (%)'!AQ140</f>
        <v>0.3</v>
      </c>
      <c r="I131" s="22">
        <f>'Work Progress (%)'!AV140</f>
        <v>0</v>
      </c>
      <c r="J131" s="22">
        <f>'Work Progress (%)'!BD140</f>
        <v>0</v>
      </c>
      <c r="K131" s="22">
        <v>0.7</v>
      </c>
      <c r="L131" s="22">
        <v>1</v>
      </c>
      <c r="M131" s="22">
        <v>0.2</v>
      </c>
      <c r="N131" s="22">
        <v>0.7</v>
      </c>
      <c r="O131" s="23">
        <f t="shared" si="16"/>
        <v>0.58250000000000002</v>
      </c>
      <c r="P131" s="8"/>
    </row>
    <row r="132" spans="1:16" ht="73.5" customHeight="1" x14ac:dyDescent="0.45">
      <c r="A132" s="3">
        <v>809</v>
      </c>
      <c r="B132" s="4" t="s">
        <v>41</v>
      </c>
      <c r="C132" s="22">
        <f>'Work Progress (%)'!G141</f>
        <v>1</v>
      </c>
      <c r="D132" s="22">
        <f>'Work Progress (%)'!L141</f>
        <v>1</v>
      </c>
      <c r="E132" s="22">
        <f>'Work Progress (%)'!Y141</f>
        <v>0.99750000000000005</v>
      </c>
      <c r="F132" s="22">
        <f>'Work Progress (%)'!AD141</f>
        <v>0</v>
      </c>
      <c r="G132" s="22">
        <f>'Work Progress (%)'!AI141</f>
        <v>0.8899999999999999</v>
      </c>
      <c r="H132" s="22">
        <f>'Work Progress (%)'!AQ141</f>
        <v>0.3</v>
      </c>
      <c r="I132" s="22">
        <f>'Work Progress (%)'!AV141</f>
        <v>0</v>
      </c>
      <c r="J132" s="22">
        <f>'Work Progress (%)'!BD141</f>
        <v>0</v>
      </c>
      <c r="K132" s="22">
        <v>0.7</v>
      </c>
      <c r="L132" s="22">
        <v>1</v>
      </c>
      <c r="M132" s="22">
        <v>0.2</v>
      </c>
      <c r="N132" s="22">
        <v>0.7</v>
      </c>
      <c r="O132" s="23">
        <f t="shared" si="16"/>
        <v>0.64250000000000007</v>
      </c>
      <c r="P132" s="8"/>
    </row>
    <row r="133" spans="1:16" ht="73.5" customHeight="1" x14ac:dyDescent="0.45">
      <c r="A133" s="3">
        <v>810</v>
      </c>
      <c r="B133" s="4" t="s">
        <v>41</v>
      </c>
      <c r="C133" s="22">
        <f>'Work Progress (%)'!G142</f>
        <v>1</v>
      </c>
      <c r="D133" s="22">
        <f>'Work Progress (%)'!L142</f>
        <v>0.7</v>
      </c>
      <c r="E133" s="22">
        <f>'Work Progress (%)'!Y142</f>
        <v>0.99750000000000005</v>
      </c>
      <c r="F133" s="22">
        <f>'Work Progress (%)'!AD142</f>
        <v>0</v>
      </c>
      <c r="G133" s="22">
        <f>'Work Progress (%)'!AI142</f>
        <v>0.8899999999999999</v>
      </c>
      <c r="H133" s="22">
        <f>'Work Progress (%)'!AQ142</f>
        <v>0.3</v>
      </c>
      <c r="I133" s="22">
        <f>'Work Progress (%)'!AV142</f>
        <v>0</v>
      </c>
      <c r="J133" s="22">
        <f>'Work Progress (%)'!BD142</f>
        <v>0</v>
      </c>
      <c r="K133" s="22">
        <v>0.7</v>
      </c>
      <c r="L133" s="22">
        <v>1</v>
      </c>
      <c r="M133" s="22">
        <v>0.2</v>
      </c>
      <c r="N133" s="22">
        <v>0.7</v>
      </c>
      <c r="O133" s="23">
        <f t="shared" si="16"/>
        <v>0.59750000000000014</v>
      </c>
      <c r="P133" s="8"/>
    </row>
    <row r="134" spans="1:16" ht="73.5" customHeight="1" x14ac:dyDescent="0.45">
      <c r="A134" s="3">
        <v>811</v>
      </c>
      <c r="B134" s="4" t="s">
        <v>41</v>
      </c>
      <c r="C134" s="22">
        <f>'Work Progress (%)'!G143</f>
        <v>1</v>
      </c>
      <c r="D134" s="22">
        <f>'Work Progress (%)'!L143</f>
        <v>0.7</v>
      </c>
      <c r="E134" s="22">
        <f>'Work Progress (%)'!Y143</f>
        <v>0.99750000000000005</v>
      </c>
      <c r="F134" s="22">
        <f>'Work Progress (%)'!AD143</f>
        <v>0</v>
      </c>
      <c r="G134" s="22">
        <f>'Work Progress (%)'!AI143</f>
        <v>2.0000000000000004E-2</v>
      </c>
      <c r="H134" s="22">
        <f>'Work Progress (%)'!AQ143</f>
        <v>0.3</v>
      </c>
      <c r="I134" s="22">
        <f>'Work Progress (%)'!AV143</f>
        <v>0</v>
      </c>
      <c r="J134" s="22">
        <f>'Work Progress (%)'!BD143</f>
        <v>0</v>
      </c>
      <c r="K134" s="22">
        <v>0.7</v>
      </c>
      <c r="L134" s="22">
        <v>1</v>
      </c>
      <c r="M134" s="22">
        <v>0.2</v>
      </c>
      <c r="N134" s="22">
        <v>0.7</v>
      </c>
      <c r="O134" s="23">
        <f t="shared" si="16"/>
        <v>0.51050000000000006</v>
      </c>
      <c r="P134" s="8"/>
    </row>
    <row r="135" spans="1:16" ht="73.5" customHeight="1" x14ac:dyDescent="0.45">
      <c r="A135" s="3">
        <v>812</v>
      </c>
      <c r="B135" s="4" t="s">
        <v>41</v>
      </c>
      <c r="C135" s="22">
        <f>'Work Progress (%)'!G144</f>
        <v>1</v>
      </c>
      <c r="D135" s="22">
        <f>'Work Progress (%)'!L144</f>
        <v>1</v>
      </c>
      <c r="E135" s="22">
        <f>'Work Progress (%)'!Y144</f>
        <v>0.99750000000000005</v>
      </c>
      <c r="F135" s="22">
        <f>'Work Progress (%)'!AD144</f>
        <v>0</v>
      </c>
      <c r="G135" s="22">
        <f>'Work Progress (%)'!AI144</f>
        <v>0.8899999999999999</v>
      </c>
      <c r="H135" s="22">
        <f>'Work Progress (%)'!AQ144</f>
        <v>0.3</v>
      </c>
      <c r="I135" s="22">
        <f>'Work Progress (%)'!AV144</f>
        <v>0</v>
      </c>
      <c r="J135" s="22">
        <f>'Work Progress (%)'!BD144</f>
        <v>0</v>
      </c>
      <c r="K135" s="22">
        <v>0.7</v>
      </c>
      <c r="L135" s="22">
        <v>1</v>
      </c>
      <c r="M135" s="22">
        <v>0.2</v>
      </c>
      <c r="N135" s="22">
        <v>0.7</v>
      </c>
      <c r="O135" s="23">
        <f t="shared" si="16"/>
        <v>0.64250000000000007</v>
      </c>
      <c r="P135" s="8"/>
    </row>
    <row r="136" spans="1:16" ht="73.5" customHeight="1" x14ac:dyDescent="0.45">
      <c r="A136" s="3">
        <v>813</v>
      </c>
      <c r="B136" s="4" t="s">
        <v>41</v>
      </c>
      <c r="C136" s="22">
        <f>'Work Progress (%)'!G145</f>
        <v>1</v>
      </c>
      <c r="D136" s="22">
        <f>'Work Progress (%)'!L145</f>
        <v>0</v>
      </c>
      <c r="E136" s="22">
        <f>'Work Progress (%)'!Y145</f>
        <v>0.99750000000000005</v>
      </c>
      <c r="F136" s="22">
        <f>'Work Progress (%)'!AD145</f>
        <v>0</v>
      </c>
      <c r="G136" s="22">
        <f>'Work Progress (%)'!AI145</f>
        <v>0.28999999999999998</v>
      </c>
      <c r="H136" s="22">
        <f>'Work Progress (%)'!AQ145</f>
        <v>0.3</v>
      </c>
      <c r="I136" s="22">
        <f>'Work Progress (%)'!AV145</f>
        <v>0</v>
      </c>
      <c r="J136" s="22">
        <f>'Work Progress (%)'!BD145</f>
        <v>0</v>
      </c>
      <c r="K136" s="22">
        <v>0.7</v>
      </c>
      <c r="L136" s="22">
        <v>1</v>
      </c>
      <c r="M136" s="22">
        <v>0.2</v>
      </c>
      <c r="N136" s="22">
        <v>0.7</v>
      </c>
      <c r="O136" s="23">
        <f t="shared" si="16"/>
        <v>0.43250000000000005</v>
      </c>
      <c r="P136" s="8"/>
    </row>
    <row r="137" spans="1:16" ht="73.5" customHeight="1" x14ac:dyDescent="0.45">
      <c r="A137" s="3">
        <v>814</v>
      </c>
      <c r="B137" s="4" t="s">
        <v>41</v>
      </c>
      <c r="C137" s="22">
        <f>'Work Progress (%)'!G146</f>
        <v>1</v>
      </c>
      <c r="D137" s="22">
        <f>'Work Progress (%)'!L146</f>
        <v>0</v>
      </c>
      <c r="E137" s="22">
        <f>'Work Progress (%)'!Y146</f>
        <v>0.99750000000000005</v>
      </c>
      <c r="F137" s="22">
        <f>'Work Progress (%)'!AD146</f>
        <v>0</v>
      </c>
      <c r="G137" s="22">
        <f>'Work Progress (%)'!AI146</f>
        <v>0.99499999999999988</v>
      </c>
      <c r="H137" s="22">
        <f>'Work Progress (%)'!AQ146</f>
        <v>0.3</v>
      </c>
      <c r="I137" s="22">
        <f>'Work Progress (%)'!AV146</f>
        <v>0</v>
      </c>
      <c r="J137" s="22">
        <f>'Work Progress (%)'!BD146</f>
        <v>0</v>
      </c>
      <c r="K137" s="22">
        <v>0.7</v>
      </c>
      <c r="L137" s="22">
        <v>1</v>
      </c>
      <c r="M137" s="22">
        <v>0.2</v>
      </c>
      <c r="N137" s="22">
        <v>0.7</v>
      </c>
      <c r="O137" s="23">
        <f t="shared" si="16"/>
        <v>0.503</v>
      </c>
      <c r="P137" s="8"/>
    </row>
    <row r="138" spans="1:16" ht="73.5" customHeight="1" x14ac:dyDescent="0.45">
      <c r="A138" s="3">
        <v>815</v>
      </c>
      <c r="B138" s="4" t="s">
        <v>41</v>
      </c>
      <c r="C138" s="22">
        <f>'Work Progress (%)'!G147</f>
        <v>1</v>
      </c>
      <c r="D138" s="22">
        <f>'Work Progress (%)'!L147</f>
        <v>0</v>
      </c>
      <c r="E138" s="22">
        <f>'Work Progress (%)'!Y147</f>
        <v>0.99750000000000005</v>
      </c>
      <c r="F138" s="22">
        <f>'Work Progress (%)'!AD147</f>
        <v>0</v>
      </c>
      <c r="G138" s="22">
        <f>'Work Progress (%)'!AI147</f>
        <v>0</v>
      </c>
      <c r="H138" s="22">
        <f>'Work Progress (%)'!AQ147</f>
        <v>0.3</v>
      </c>
      <c r="I138" s="22">
        <f>'Work Progress (%)'!AV147</f>
        <v>0</v>
      </c>
      <c r="J138" s="22">
        <f>'Work Progress (%)'!BD147</f>
        <v>0</v>
      </c>
      <c r="K138" s="22">
        <v>0.7</v>
      </c>
      <c r="L138" s="22">
        <v>1</v>
      </c>
      <c r="M138" s="22">
        <v>0.2</v>
      </c>
      <c r="N138" s="22">
        <v>0.7</v>
      </c>
      <c r="O138" s="23">
        <f t="shared" si="16"/>
        <v>0.40350000000000003</v>
      </c>
      <c r="P138" s="8"/>
    </row>
    <row r="139" spans="1:16" ht="73.5" customHeight="1" x14ac:dyDescent="0.45">
      <c r="A139" s="3">
        <v>816</v>
      </c>
      <c r="B139" s="4" t="s">
        <v>41</v>
      </c>
      <c r="C139" s="22">
        <f>'Work Progress (%)'!G148</f>
        <v>1</v>
      </c>
      <c r="D139" s="22">
        <f>'Work Progress (%)'!L148</f>
        <v>0</v>
      </c>
      <c r="E139" s="22">
        <f>'Work Progress (%)'!Y148</f>
        <v>0.99750000000000005</v>
      </c>
      <c r="F139" s="22">
        <f>'Work Progress (%)'!AD148</f>
        <v>0</v>
      </c>
      <c r="G139" s="22">
        <f>'Work Progress (%)'!AI148</f>
        <v>0.69499999999999995</v>
      </c>
      <c r="H139" s="22">
        <f>'Work Progress (%)'!AQ148</f>
        <v>0.3</v>
      </c>
      <c r="I139" s="22">
        <f>'Work Progress (%)'!AV148</f>
        <v>0</v>
      </c>
      <c r="J139" s="22">
        <f>'Work Progress (%)'!BD148</f>
        <v>0</v>
      </c>
      <c r="K139" s="22">
        <v>0.7</v>
      </c>
      <c r="L139" s="22">
        <v>1</v>
      </c>
      <c r="M139" s="22">
        <v>0.2</v>
      </c>
      <c r="N139" s="22">
        <v>0.7</v>
      </c>
      <c r="O139" s="23">
        <f t="shared" si="16"/>
        <v>0.47300000000000003</v>
      </c>
      <c r="P139" s="8"/>
    </row>
    <row r="140" spans="1:16" ht="73.5" customHeight="1" x14ac:dyDescent="0.45">
      <c r="A140" s="169" t="s">
        <v>42</v>
      </c>
      <c r="B140" s="170"/>
      <c r="C140" s="161">
        <f>AVERAGE(C142:C156)</f>
        <v>1</v>
      </c>
      <c r="D140" s="161">
        <f t="shared" ref="D140:N140" si="17">AVERAGE(D142:D156)</f>
        <v>0.10733333333333332</v>
      </c>
      <c r="E140" s="22">
        <f t="shared" si="17"/>
        <v>0.84566666666666668</v>
      </c>
      <c r="F140" s="161">
        <f t="shared" si="17"/>
        <v>0</v>
      </c>
      <c r="G140" s="161">
        <f t="shared" si="17"/>
        <v>0.36833333333333329</v>
      </c>
      <c r="H140" s="161">
        <f t="shared" si="17"/>
        <v>0.18</v>
      </c>
      <c r="I140" s="161">
        <f t="shared" si="17"/>
        <v>0</v>
      </c>
      <c r="J140" s="161">
        <f t="shared" si="17"/>
        <v>0</v>
      </c>
      <c r="K140" s="161">
        <f t="shared" si="17"/>
        <v>0.69999999999999984</v>
      </c>
      <c r="L140" s="161">
        <f t="shared" si="17"/>
        <v>1</v>
      </c>
      <c r="M140" s="161">
        <f t="shared" si="17"/>
        <v>0.20000000000000004</v>
      </c>
      <c r="N140" s="161">
        <f t="shared" si="17"/>
        <v>0.69999999999999984</v>
      </c>
      <c r="O140" s="16">
        <f>AVERAGE(O141:O156)</f>
        <v>0.40712500000000001</v>
      </c>
      <c r="P140" s="14"/>
    </row>
    <row r="141" spans="1:16" ht="73.5" customHeight="1" x14ac:dyDescent="0.45">
      <c r="A141" s="3">
        <v>901</v>
      </c>
      <c r="B141" s="4" t="s">
        <v>43</v>
      </c>
      <c r="C141" s="22">
        <f>'Work Progress (%)'!G150</f>
        <v>1</v>
      </c>
      <c r="D141" s="22">
        <f>'Work Progress (%)'!L150</f>
        <v>0.7</v>
      </c>
      <c r="E141" s="22">
        <f>'Work Progress (%)'!Y150</f>
        <v>0.84750000000000003</v>
      </c>
      <c r="F141" s="22">
        <f>'Work Progress (%)'!AD150</f>
        <v>0</v>
      </c>
      <c r="G141" s="22">
        <f>'Work Progress (%)'!AI150</f>
        <v>4.5000000000000005E-2</v>
      </c>
      <c r="H141" s="22">
        <f>'Work Progress (%)'!AQ150</f>
        <v>0.3</v>
      </c>
      <c r="I141" s="22">
        <f>'Work Progress (%)'!AV150</f>
        <v>0</v>
      </c>
      <c r="J141" s="22">
        <f>'Work Progress (%)'!BD150</f>
        <v>0</v>
      </c>
      <c r="K141" s="22">
        <v>0.7</v>
      </c>
      <c r="L141" s="22">
        <v>1</v>
      </c>
      <c r="M141" s="22">
        <v>0.2</v>
      </c>
      <c r="N141" s="22">
        <v>0.7</v>
      </c>
      <c r="O141" s="23">
        <f t="shared" ref="O141:O156" si="18">SUMPRODUCT(C141:N141, C$2:N$2)</f>
        <v>0.4830000000000001</v>
      </c>
      <c r="P141" s="8"/>
    </row>
    <row r="142" spans="1:16" ht="73.5" customHeight="1" x14ac:dyDescent="0.45">
      <c r="A142" s="3">
        <v>902</v>
      </c>
      <c r="B142" s="4" t="s">
        <v>43</v>
      </c>
      <c r="C142" s="22">
        <f>'Work Progress (%)'!G151</f>
        <v>1</v>
      </c>
      <c r="D142" s="22">
        <f>'Work Progress (%)'!L151</f>
        <v>0</v>
      </c>
      <c r="E142" s="22">
        <f>'Work Progress (%)'!Y151</f>
        <v>0.79749999999999999</v>
      </c>
      <c r="F142" s="22">
        <f>'Work Progress (%)'!AD151</f>
        <v>0</v>
      </c>
      <c r="G142" s="22">
        <f>'Work Progress (%)'!AI151</f>
        <v>0.21</v>
      </c>
      <c r="H142" s="22">
        <f>'Work Progress (%)'!AQ151</f>
        <v>0.3</v>
      </c>
      <c r="I142" s="22">
        <f>'Work Progress (%)'!AV151</f>
        <v>0</v>
      </c>
      <c r="J142" s="22">
        <f>'Work Progress (%)'!BD151</f>
        <v>0</v>
      </c>
      <c r="K142" s="22">
        <v>0.7</v>
      </c>
      <c r="L142" s="22">
        <v>1</v>
      </c>
      <c r="M142" s="22">
        <v>0.2</v>
      </c>
      <c r="N142" s="22">
        <v>0.7</v>
      </c>
      <c r="O142" s="23">
        <f t="shared" si="18"/>
        <v>0.38450000000000006</v>
      </c>
      <c r="P142" s="8"/>
    </row>
    <row r="143" spans="1:16" ht="73.5" customHeight="1" x14ac:dyDescent="0.45">
      <c r="A143" s="3">
        <v>903</v>
      </c>
      <c r="B143" s="4" t="s">
        <v>43</v>
      </c>
      <c r="C143" s="22">
        <f>'Work Progress (%)'!G152</f>
        <v>1</v>
      </c>
      <c r="D143" s="22">
        <f>'Work Progress (%)'!L152</f>
        <v>0.7</v>
      </c>
      <c r="E143" s="22">
        <f>'Work Progress (%)'!Y152</f>
        <v>0.79749999999999999</v>
      </c>
      <c r="F143" s="22">
        <f>'Work Progress (%)'!AD152</f>
        <v>0</v>
      </c>
      <c r="G143" s="22">
        <f>'Work Progress (%)'!AI152</f>
        <v>0.28999999999999998</v>
      </c>
      <c r="H143" s="22">
        <f>'Work Progress (%)'!AQ152</f>
        <v>0.3</v>
      </c>
      <c r="I143" s="22">
        <f>'Work Progress (%)'!AV152</f>
        <v>0</v>
      </c>
      <c r="J143" s="22">
        <f>'Work Progress (%)'!BD152</f>
        <v>0</v>
      </c>
      <c r="K143" s="22">
        <v>0.7</v>
      </c>
      <c r="L143" s="22">
        <v>1</v>
      </c>
      <c r="M143" s="22">
        <v>0.2</v>
      </c>
      <c r="N143" s="22">
        <v>0.7</v>
      </c>
      <c r="O143" s="23">
        <f t="shared" si="18"/>
        <v>0.49750000000000011</v>
      </c>
      <c r="P143" s="8"/>
    </row>
    <row r="144" spans="1:16" ht="73.5" customHeight="1" x14ac:dyDescent="0.45">
      <c r="A144" s="3">
        <v>904</v>
      </c>
      <c r="B144" s="4" t="s">
        <v>43</v>
      </c>
      <c r="C144" s="22">
        <f>'Work Progress (%)'!G153</f>
        <v>1</v>
      </c>
      <c r="D144" s="22">
        <f>'Work Progress (%)'!L153</f>
        <v>0.21</v>
      </c>
      <c r="E144" s="22">
        <f>'Work Progress (%)'!Y153</f>
        <v>0.79749999999999999</v>
      </c>
      <c r="F144" s="22">
        <f>'Work Progress (%)'!AD153</f>
        <v>0</v>
      </c>
      <c r="G144" s="22">
        <f>'Work Progress (%)'!AI153</f>
        <v>0.245</v>
      </c>
      <c r="H144" s="22">
        <f>'Work Progress (%)'!AQ153</f>
        <v>0.3</v>
      </c>
      <c r="I144" s="22">
        <f>'Work Progress (%)'!AV153</f>
        <v>0</v>
      </c>
      <c r="J144" s="22">
        <f>'Work Progress (%)'!BD153</f>
        <v>0</v>
      </c>
      <c r="K144" s="22">
        <v>0.7</v>
      </c>
      <c r="L144" s="22">
        <v>1</v>
      </c>
      <c r="M144" s="22">
        <v>0.2</v>
      </c>
      <c r="N144" s="22">
        <v>0.7</v>
      </c>
      <c r="O144" s="23">
        <f t="shared" si="18"/>
        <v>0.4195000000000001</v>
      </c>
      <c r="P144" s="8"/>
    </row>
    <row r="145" spans="1:16" ht="73.5" customHeight="1" x14ac:dyDescent="0.45">
      <c r="A145" s="3">
        <v>905</v>
      </c>
      <c r="B145" s="4" t="s">
        <v>43</v>
      </c>
      <c r="C145" s="22">
        <f>'Work Progress (%)'!G154</f>
        <v>1</v>
      </c>
      <c r="D145" s="22">
        <f>'Work Progress (%)'!L154</f>
        <v>0</v>
      </c>
      <c r="E145" s="22">
        <f>'Work Progress (%)'!Y154</f>
        <v>0.99750000000000005</v>
      </c>
      <c r="F145" s="22">
        <f>'Work Progress (%)'!AD154</f>
        <v>0</v>
      </c>
      <c r="G145" s="22">
        <f>'Work Progress (%)'!AI154</f>
        <v>4.5000000000000005E-2</v>
      </c>
      <c r="H145" s="22">
        <f>'Work Progress (%)'!AQ154</f>
        <v>0.3</v>
      </c>
      <c r="I145" s="22">
        <f>'Work Progress (%)'!AV154</f>
        <v>0</v>
      </c>
      <c r="J145" s="22">
        <f>'Work Progress (%)'!BD154</f>
        <v>0</v>
      </c>
      <c r="K145" s="22">
        <v>0.7</v>
      </c>
      <c r="L145" s="22">
        <v>1</v>
      </c>
      <c r="M145" s="22">
        <v>0.2</v>
      </c>
      <c r="N145" s="22">
        <v>0.7</v>
      </c>
      <c r="O145" s="23">
        <f t="shared" si="18"/>
        <v>0.40800000000000003</v>
      </c>
      <c r="P145" s="8"/>
    </row>
    <row r="146" spans="1:16" ht="73.5" customHeight="1" x14ac:dyDescent="0.45">
      <c r="A146" s="3">
        <v>906</v>
      </c>
      <c r="B146" s="4" t="s">
        <v>43</v>
      </c>
      <c r="C146" s="22">
        <f>'Work Progress (%)'!G155</f>
        <v>1</v>
      </c>
      <c r="D146" s="22">
        <f>'Work Progress (%)'!L155</f>
        <v>0</v>
      </c>
      <c r="E146" s="22">
        <f>'Work Progress (%)'!Y155</f>
        <v>0.79749999999999999</v>
      </c>
      <c r="F146" s="22">
        <f>'Work Progress (%)'!AD155</f>
        <v>0</v>
      </c>
      <c r="G146" s="22">
        <f>'Work Progress (%)'!AI155</f>
        <v>0.68499999999999994</v>
      </c>
      <c r="H146" s="22">
        <f>'Work Progress (%)'!AQ155</f>
        <v>0.3</v>
      </c>
      <c r="I146" s="22">
        <f>'Work Progress (%)'!AV155</f>
        <v>0</v>
      </c>
      <c r="J146" s="22">
        <f>'Work Progress (%)'!BD155</f>
        <v>0</v>
      </c>
      <c r="K146" s="22">
        <v>0.7</v>
      </c>
      <c r="L146" s="22">
        <v>1</v>
      </c>
      <c r="M146" s="22">
        <v>0.2</v>
      </c>
      <c r="N146" s="22">
        <v>0.7</v>
      </c>
      <c r="O146" s="23">
        <f t="shared" si="18"/>
        <v>0.43200000000000005</v>
      </c>
      <c r="P146" s="8"/>
    </row>
    <row r="147" spans="1:16" ht="73.5" customHeight="1" x14ac:dyDescent="0.45">
      <c r="A147" s="3">
        <v>907</v>
      </c>
      <c r="B147" s="4" t="s">
        <v>43</v>
      </c>
      <c r="C147" s="22">
        <f>'Work Progress (%)'!G156</f>
        <v>1</v>
      </c>
      <c r="D147" s="22">
        <f>'Work Progress (%)'!L156</f>
        <v>0</v>
      </c>
      <c r="E147" s="22">
        <f>'Work Progress (%)'!Y156</f>
        <v>0.79749999999999999</v>
      </c>
      <c r="F147" s="22">
        <f>'Work Progress (%)'!AD156</f>
        <v>0</v>
      </c>
      <c r="G147" s="22">
        <f>'Work Progress (%)'!AI156</f>
        <v>0.28999999999999998</v>
      </c>
      <c r="H147" s="22">
        <f>'Work Progress (%)'!AQ156</f>
        <v>0.3</v>
      </c>
      <c r="I147" s="22">
        <f>'Work Progress (%)'!AV156</f>
        <v>0</v>
      </c>
      <c r="J147" s="22">
        <f>'Work Progress (%)'!BD156</f>
        <v>0</v>
      </c>
      <c r="K147" s="22">
        <v>0.7</v>
      </c>
      <c r="L147" s="22">
        <v>1</v>
      </c>
      <c r="M147" s="22">
        <v>0.2</v>
      </c>
      <c r="N147" s="22">
        <v>0.7</v>
      </c>
      <c r="O147" s="23">
        <f t="shared" si="18"/>
        <v>0.39250000000000002</v>
      </c>
      <c r="P147" s="8"/>
    </row>
    <row r="148" spans="1:16" ht="73.5" customHeight="1" x14ac:dyDescent="0.45">
      <c r="A148" s="3">
        <v>908</v>
      </c>
      <c r="B148" s="4" t="s">
        <v>43</v>
      </c>
      <c r="C148" s="22">
        <f>'Work Progress (%)'!G157</f>
        <v>1</v>
      </c>
      <c r="D148" s="22">
        <f>'Work Progress (%)'!L157</f>
        <v>0.7</v>
      </c>
      <c r="E148" s="22">
        <f>'Work Progress (%)'!Y157</f>
        <v>0.99750000000000005</v>
      </c>
      <c r="F148" s="22">
        <f>'Work Progress (%)'!AD157</f>
        <v>0</v>
      </c>
      <c r="G148" s="22">
        <f>'Work Progress (%)'!AI157</f>
        <v>0.57999999999999996</v>
      </c>
      <c r="H148" s="22">
        <f>'Work Progress (%)'!AQ157</f>
        <v>0.3</v>
      </c>
      <c r="I148" s="22">
        <f>'Work Progress (%)'!AV157</f>
        <v>0</v>
      </c>
      <c r="J148" s="22">
        <f>'Work Progress (%)'!BD157</f>
        <v>0</v>
      </c>
      <c r="K148" s="22">
        <v>0.7</v>
      </c>
      <c r="L148" s="22">
        <v>1</v>
      </c>
      <c r="M148" s="22">
        <v>0.2</v>
      </c>
      <c r="N148" s="22">
        <v>0.7</v>
      </c>
      <c r="O148" s="23">
        <f t="shared" si="18"/>
        <v>0.5665</v>
      </c>
      <c r="P148" s="8"/>
    </row>
    <row r="149" spans="1:16" ht="73.5" customHeight="1" x14ac:dyDescent="0.45">
      <c r="A149" s="3">
        <v>909</v>
      </c>
      <c r="B149" s="4" t="s">
        <v>43</v>
      </c>
      <c r="C149" s="22">
        <f>'Work Progress (%)'!G158</f>
        <v>1</v>
      </c>
      <c r="D149" s="22">
        <f>'Work Progress (%)'!L158</f>
        <v>0</v>
      </c>
      <c r="E149" s="22">
        <f>'Work Progress (%)'!Y158</f>
        <v>0.79749999999999999</v>
      </c>
      <c r="F149" s="22">
        <f>'Work Progress (%)'!AD158</f>
        <v>0</v>
      </c>
      <c r="G149" s="22">
        <f>'Work Progress (%)'!AI158</f>
        <v>4.5000000000000005E-2</v>
      </c>
      <c r="H149" s="22">
        <f>'Work Progress (%)'!AQ158</f>
        <v>0.3</v>
      </c>
      <c r="I149" s="22">
        <f>'Work Progress (%)'!AV158</f>
        <v>0</v>
      </c>
      <c r="J149" s="22">
        <f>'Work Progress (%)'!BD158</f>
        <v>0</v>
      </c>
      <c r="K149" s="22">
        <v>0.7</v>
      </c>
      <c r="L149" s="22">
        <v>1</v>
      </c>
      <c r="M149" s="22">
        <v>0.2</v>
      </c>
      <c r="N149" s="22">
        <v>0.7</v>
      </c>
      <c r="O149" s="23">
        <f t="shared" si="18"/>
        <v>0.36800000000000005</v>
      </c>
      <c r="P149" s="8"/>
    </row>
    <row r="150" spans="1:16" ht="73.5" customHeight="1" x14ac:dyDescent="0.45">
      <c r="A150" s="3">
        <v>910</v>
      </c>
      <c r="B150" s="4" t="s">
        <v>43</v>
      </c>
      <c r="C150" s="22">
        <f>'Work Progress (%)'!G159</f>
        <v>1</v>
      </c>
      <c r="D150" s="22">
        <f>'Work Progress (%)'!L159</f>
        <v>0</v>
      </c>
      <c r="E150" s="22">
        <f>'Work Progress (%)'!Y159</f>
        <v>0.79749999999999999</v>
      </c>
      <c r="F150" s="22">
        <f>'Work Progress (%)'!AD159</f>
        <v>0</v>
      </c>
      <c r="G150" s="22">
        <f>'Work Progress (%)'!AI159</f>
        <v>0.64500000000000002</v>
      </c>
      <c r="H150" s="22">
        <f>'Work Progress (%)'!AQ159</f>
        <v>0.3</v>
      </c>
      <c r="I150" s="22">
        <f>'Work Progress (%)'!AV159</f>
        <v>0</v>
      </c>
      <c r="J150" s="22">
        <f>'Work Progress (%)'!BD159</f>
        <v>0</v>
      </c>
      <c r="K150" s="22">
        <v>0.7</v>
      </c>
      <c r="L150" s="22">
        <v>1</v>
      </c>
      <c r="M150" s="22">
        <v>0.2</v>
      </c>
      <c r="N150" s="22">
        <v>0.7</v>
      </c>
      <c r="O150" s="23">
        <f t="shared" si="18"/>
        <v>0.42800000000000005</v>
      </c>
      <c r="P150" s="8"/>
    </row>
    <row r="151" spans="1:16" ht="73.5" customHeight="1" x14ac:dyDescent="0.45">
      <c r="A151" s="3">
        <v>911</v>
      </c>
      <c r="B151" s="4" t="s">
        <v>43</v>
      </c>
      <c r="C151" s="22">
        <f>'Work Progress (%)'!G160</f>
        <v>1</v>
      </c>
      <c r="D151" s="22">
        <f>'Work Progress (%)'!L160</f>
        <v>0</v>
      </c>
      <c r="E151" s="22">
        <f>'Work Progress (%)'!Y160</f>
        <v>0.99750000000000005</v>
      </c>
      <c r="F151" s="22">
        <f>'Work Progress (%)'!AD160</f>
        <v>0</v>
      </c>
      <c r="G151" s="22">
        <f>'Work Progress (%)'!AI160</f>
        <v>0.28999999999999998</v>
      </c>
      <c r="H151" s="22">
        <f>'Work Progress (%)'!AQ160</f>
        <v>0</v>
      </c>
      <c r="I151" s="22">
        <f>'Work Progress (%)'!AV160</f>
        <v>0</v>
      </c>
      <c r="J151" s="22">
        <f>'Work Progress (%)'!BD160</f>
        <v>0</v>
      </c>
      <c r="K151" s="22">
        <v>0.7</v>
      </c>
      <c r="L151" s="22">
        <v>1</v>
      </c>
      <c r="M151" s="22">
        <v>0.2</v>
      </c>
      <c r="N151" s="22">
        <v>0.7</v>
      </c>
      <c r="O151" s="23">
        <f t="shared" si="18"/>
        <v>0.37250000000000005</v>
      </c>
      <c r="P151" s="8"/>
    </row>
    <row r="152" spans="1:16" ht="73.5" customHeight="1" x14ac:dyDescent="0.45">
      <c r="A152" s="3">
        <v>912</v>
      </c>
      <c r="B152" s="4" t="s">
        <v>43</v>
      </c>
      <c r="C152" s="22">
        <f>'Work Progress (%)'!G161</f>
        <v>1</v>
      </c>
      <c r="D152" s="22">
        <f>'Work Progress (%)'!L161</f>
        <v>0</v>
      </c>
      <c r="E152" s="22">
        <f>'Work Progress (%)'!Y161</f>
        <v>0.79749999999999999</v>
      </c>
      <c r="F152" s="22">
        <f>'Work Progress (%)'!AD161</f>
        <v>0</v>
      </c>
      <c r="G152" s="22">
        <f>'Work Progress (%)'!AI161</f>
        <v>0.28999999999999998</v>
      </c>
      <c r="H152" s="22">
        <f>'Work Progress (%)'!AQ161</f>
        <v>0</v>
      </c>
      <c r="I152" s="22">
        <f>'Work Progress (%)'!AV161</f>
        <v>0</v>
      </c>
      <c r="J152" s="22">
        <f>'Work Progress (%)'!BD161</f>
        <v>0</v>
      </c>
      <c r="K152" s="22">
        <v>0.7</v>
      </c>
      <c r="L152" s="22">
        <v>1</v>
      </c>
      <c r="M152" s="22">
        <v>0.2</v>
      </c>
      <c r="N152" s="22">
        <v>0.7</v>
      </c>
      <c r="O152" s="23">
        <f t="shared" si="18"/>
        <v>0.33250000000000002</v>
      </c>
      <c r="P152" s="8"/>
    </row>
    <row r="153" spans="1:16" ht="73.5" customHeight="1" x14ac:dyDescent="0.45">
      <c r="A153" s="3">
        <v>913</v>
      </c>
      <c r="B153" s="4" t="s">
        <v>43</v>
      </c>
      <c r="C153" s="22">
        <f>'Work Progress (%)'!G162</f>
        <v>1</v>
      </c>
      <c r="D153" s="22">
        <f>'Work Progress (%)'!L162</f>
        <v>0</v>
      </c>
      <c r="E153" s="22">
        <f>'Work Progress (%)'!Y162</f>
        <v>0.99750000000000005</v>
      </c>
      <c r="F153" s="22">
        <f>'Work Progress (%)'!AD162</f>
        <v>0</v>
      </c>
      <c r="G153" s="22">
        <f>'Work Progress (%)'!AI162</f>
        <v>4.5000000000000005E-2</v>
      </c>
      <c r="H153" s="22">
        <f>'Work Progress (%)'!AQ162</f>
        <v>0</v>
      </c>
      <c r="I153" s="22">
        <f>'Work Progress (%)'!AV162</f>
        <v>0</v>
      </c>
      <c r="J153" s="22">
        <f>'Work Progress (%)'!BD162</f>
        <v>0</v>
      </c>
      <c r="K153" s="22">
        <v>0.7</v>
      </c>
      <c r="L153" s="22">
        <v>1</v>
      </c>
      <c r="M153" s="22">
        <v>0.2</v>
      </c>
      <c r="N153" s="22">
        <v>0.7</v>
      </c>
      <c r="O153" s="23">
        <f t="shared" si="18"/>
        <v>0.34800000000000003</v>
      </c>
      <c r="P153" s="8"/>
    </row>
    <row r="154" spans="1:16" ht="73.5" customHeight="1" x14ac:dyDescent="0.45">
      <c r="A154" s="3">
        <v>914</v>
      </c>
      <c r="B154" s="4" t="s">
        <v>43</v>
      </c>
      <c r="C154" s="22">
        <f>'Work Progress (%)'!G163</f>
        <v>1</v>
      </c>
      <c r="D154" s="22">
        <f>'Work Progress (%)'!L163</f>
        <v>0</v>
      </c>
      <c r="E154" s="22">
        <f>'Work Progress (%)'!Y163</f>
        <v>0.79749999999999999</v>
      </c>
      <c r="F154" s="22">
        <f>'Work Progress (%)'!AD163</f>
        <v>0</v>
      </c>
      <c r="G154" s="22">
        <f>'Work Progress (%)'!AI163</f>
        <v>0.8899999999999999</v>
      </c>
      <c r="H154" s="22">
        <f>'Work Progress (%)'!AQ163</f>
        <v>0</v>
      </c>
      <c r="I154" s="22">
        <f>'Work Progress (%)'!AV163</f>
        <v>0</v>
      </c>
      <c r="J154" s="22">
        <f>'Work Progress (%)'!BD163</f>
        <v>0</v>
      </c>
      <c r="K154" s="22">
        <v>0.7</v>
      </c>
      <c r="L154" s="22">
        <v>1</v>
      </c>
      <c r="M154" s="22">
        <v>0.2</v>
      </c>
      <c r="N154" s="22">
        <v>0.7</v>
      </c>
      <c r="O154" s="23">
        <f t="shared" si="18"/>
        <v>0.39250000000000007</v>
      </c>
      <c r="P154" s="8"/>
    </row>
    <row r="155" spans="1:16" ht="73.5" customHeight="1" x14ac:dyDescent="0.45">
      <c r="A155" s="3">
        <v>915</v>
      </c>
      <c r="B155" s="4" t="s">
        <v>43</v>
      </c>
      <c r="C155" s="22">
        <f>'Work Progress (%)'!G164</f>
        <v>1</v>
      </c>
      <c r="D155" s="22">
        <f>'Work Progress (%)'!L164</f>
        <v>0</v>
      </c>
      <c r="E155" s="22">
        <f>'Work Progress (%)'!Y164</f>
        <v>0.51999999999999991</v>
      </c>
      <c r="F155" s="22">
        <f>'Work Progress (%)'!AD164</f>
        <v>0</v>
      </c>
      <c r="G155" s="22">
        <f>'Work Progress (%)'!AI164</f>
        <v>0.26499999999999996</v>
      </c>
      <c r="H155" s="22">
        <f>'Work Progress (%)'!AQ164</f>
        <v>0</v>
      </c>
      <c r="I155" s="22">
        <f>'Work Progress (%)'!AV164</f>
        <v>0</v>
      </c>
      <c r="J155" s="22">
        <f>'Work Progress (%)'!BD164</f>
        <v>0</v>
      </c>
      <c r="K155" s="22">
        <v>0.7</v>
      </c>
      <c r="L155" s="22">
        <v>1</v>
      </c>
      <c r="M155" s="22">
        <v>0.2</v>
      </c>
      <c r="N155" s="22">
        <v>0.7</v>
      </c>
      <c r="O155" s="23">
        <f t="shared" si="18"/>
        <v>0.27450000000000002</v>
      </c>
      <c r="P155" s="8"/>
    </row>
    <row r="156" spans="1:16" ht="73.5" customHeight="1" x14ac:dyDescent="0.45">
      <c r="A156" s="3">
        <v>916</v>
      </c>
      <c r="B156" s="4" t="s">
        <v>43</v>
      </c>
      <c r="C156" s="22">
        <f>'Work Progress (%)'!G165</f>
        <v>1</v>
      </c>
      <c r="D156" s="22">
        <f>'Work Progress (%)'!L165</f>
        <v>0</v>
      </c>
      <c r="E156" s="22">
        <f>'Work Progress (%)'!Y165</f>
        <v>0.99750000000000005</v>
      </c>
      <c r="F156" s="22">
        <f>'Work Progress (%)'!AD165</f>
        <v>0</v>
      </c>
      <c r="G156" s="22">
        <f>'Work Progress (%)'!AI165</f>
        <v>0.71</v>
      </c>
      <c r="H156" s="22">
        <f>'Work Progress (%)'!AQ165</f>
        <v>0</v>
      </c>
      <c r="I156" s="22">
        <f>'Work Progress (%)'!AV165</f>
        <v>0</v>
      </c>
      <c r="J156" s="22">
        <f>'Work Progress (%)'!BD165</f>
        <v>0</v>
      </c>
      <c r="K156" s="22">
        <v>0.7</v>
      </c>
      <c r="L156" s="22">
        <v>1</v>
      </c>
      <c r="M156" s="22">
        <v>0.2</v>
      </c>
      <c r="N156" s="22">
        <v>0.7</v>
      </c>
      <c r="O156" s="23">
        <f t="shared" si="18"/>
        <v>0.41450000000000004</v>
      </c>
      <c r="P156" s="8"/>
    </row>
    <row r="157" spans="1:16" ht="73.5" customHeight="1" x14ac:dyDescent="0.45">
      <c r="A157" s="169" t="s">
        <v>44</v>
      </c>
      <c r="B157" s="170"/>
      <c r="C157" s="161">
        <f>AVERAGE(C159:C173)</f>
        <v>1</v>
      </c>
      <c r="D157" s="161">
        <f t="shared" ref="D157:N157" si="19">AVERAGE(D159:D173)</f>
        <v>0</v>
      </c>
      <c r="E157" s="22">
        <f t="shared" si="19"/>
        <v>0.33033333333333331</v>
      </c>
      <c r="F157" s="161">
        <f t="shared" si="19"/>
        <v>0</v>
      </c>
      <c r="G157" s="161">
        <f t="shared" si="19"/>
        <v>3.1666666666666662E-2</v>
      </c>
      <c r="H157" s="161">
        <f t="shared" si="19"/>
        <v>0</v>
      </c>
      <c r="I157" s="161">
        <f t="shared" si="19"/>
        <v>0</v>
      </c>
      <c r="J157" s="161">
        <f t="shared" si="19"/>
        <v>0</v>
      </c>
      <c r="K157" s="161">
        <f t="shared" si="19"/>
        <v>0.69999999999999984</v>
      </c>
      <c r="L157" s="161">
        <f t="shared" si="19"/>
        <v>1</v>
      </c>
      <c r="M157" s="161">
        <f t="shared" si="19"/>
        <v>0.20000000000000004</v>
      </c>
      <c r="N157" s="161">
        <f t="shared" si="19"/>
        <v>0.69999999999999984</v>
      </c>
      <c r="O157" s="15">
        <f>AVERAGE(O158:O173)</f>
        <v>0.21106249999999999</v>
      </c>
      <c r="P157" s="14"/>
    </row>
    <row r="158" spans="1:16" ht="73.5" customHeight="1" x14ac:dyDescent="0.45">
      <c r="A158" s="3">
        <v>1001</v>
      </c>
      <c r="B158" s="4" t="s">
        <v>45</v>
      </c>
      <c r="C158" s="22">
        <f>'Work Progress (%)'!G167</f>
        <v>1</v>
      </c>
      <c r="D158" s="22">
        <f>'Work Progress (%)'!L167</f>
        <v>0</v>
      </c>
      <c r="E158" s="22">
        <f>'Work Progress (%)'!Y167</f>
        <v>0.15000000000000002</v>
      </c>
      <c r="F158" s="22">
        <f>'Work Progress (%)'!AD167</f>
        <v>0</v>
      </c>
      <c r="G158" s="22">
        <f>'Work Progress (%)'!AI167</f>
        <v>4.5000000000000005E-2</v>
      </c>
      <c r="H158" s="22">
        <f>'Work Progress (%)'!AQ167</f>
        <v>0</v>
      </c>
      <c r="I158" s="22">
        <f>'Work Progress (%)'!AV167</f>
        <v>0</v>
      </c>
      <c r="J158" s="22">
        <f>'Work Progress (%)'!BD167</f>
        <v>0</v>
      </c>
      <c r="K158" s="22">
        <v>0.7</v>
      </c>
      <c r="L158" s="22">
        <v>1</v>
      </c>
      <c r="M158" s="22">
        <v>0.2</v>
      </c>
      <c r="N158" s="22">
        <v>0.7</v>
      </c>
      <c r="O158" s="23">
        <f t="shared" ref="O158:O173" si="20">SUMPRODUCT(C158:N158, C$2:N$2)</f>
        <v>0.17850000000000002</v>
      </c>
      <c r="P158" s="8"/>
    </row>
    <row r="159" spans="1:16" ht="73.5" customHeight="1" x14ac:dyDescent="0.45">
      <c r="A159" s="3">
        <v>1002</v>
      </c>
      <c r="B159" s="4" t="s">
        <v>45</v>
      </c>
      <c r="C159" s="22">
        <f>'Work Progress (%)'!G168</f>
        <v>1</v>
      </c>
      <c r="D159" s="22">
        <f>'Work Progress (%)'!L168</f>
        <v>0</v>
      </c>
      <c r="E159" s="22">
        <f>'Work Progress (%)'!Y168</f>
        <v>0.39749999999999996</v>
      </c>
      <c r="F159" s="22">
        <f>'Work Progress (%)'!AD168</f>
        <v>0</v>
      </c>
      <c r="G159" s="22">
        <f>'Work Progress (%)'!AI168</f>
        <v>3.4999999999999996E-2</v>
      </c>
      <c r="H159" s="22">
        <f>'Work Progress (%)'!AQ168</f>
        <v>0</v>
      </c>
      <c r="I159" s="22">
        <f>'Work Progress (%)'!AV168</f>
        <v>0</v>
      </c>
      <c r="J159" s="22">
        <f>'Work Progress (%)'!BD168</f>
        <v>0</v>
      </c>
      <c r="K159" s="22">
        <v>0.7</v>
      </c>
      <c r="L159" s="22">
        <v>1</v>
      </c>
      <c r="M159" s="22">
        <v>0.2</v>
      </c>
      <c r="N159" s="22">
        <v>0.7</v>
      </c>
      <c r="O159" s="23">
        <f t="shared" si="20"/>
        <v>0.22700000000000001</v>
      </c>
      <c r="P159" s="8"/>
    </row>
    <row r="160" spans="1:16" ht="73.5" customHeight="1" x14ac:dyDescent="0.45">
      <c r="A160" s="3">
        <v>1003</v>
      </c>
      <c r="B160" s="4" t="s">
        <v>45</v>
      </c>
      <c r="C160" s="22">
        <f>'Work Progress (%)'!G169</f>
        <v>1</v>
      </c>
      <c r="D160" s="22">
        <f>'Work Progress (%)'!L169</f>
        <v>0</v>
      </c>
      <c r="E160" s="22">
        <f>'Work Progress (%)'!Y169</f>
        <v>0</v>
      </c>
      <c r="F160" s="22">
        <f>'Work Progress (%)'!AD169</f>
        <v>0</v>
      </c>
      <c r="G160" s="22">
        <f>'Work Progress (%)'!AI169</f>
        <v>4.5000000000000005E-2</v>
      </c>
      <c r="H160" s="22">
        <f>'Work Progress (%)'!AQ169</f>
        <v>0</v>
      </c>
      <c r="I160" s="22">
        <f>'Work Progress (%)'!AV169</f>
        <v>0</v>
      </c>
      <c r="J160" s="22">
        <f>'Work Progress (%)'!BD169</f>
        <v>0</v>
      </c>
      <c r="K160" s="22">
        <v>0.7</v>
      </c>
      <c r="L160" s="22">
        <v>1</v>
      </c>
      <c r="M160" s="22">
        <v>0.2</v>
      </c>
      <c r="N160" s="22">
        <v>0.7</v>
      </c>
      <c r="O160" s="23">
        <f t="shared" si="20"/>
        <v>0.14850000000000002</v>
      </c>
      <c r="P160" s="8"/>
    </row>
    <row r="161" spans="1:16" ht="73.5" customHeight="1" x14ac:dyDescent="0.45">
      <c r="A161" s="3">
        <v>1004</v>
      </c>
      <c r="B161" s="4" t="s">
        <v>45</v>
      </c>
      <c r="C161" s="22">
        <f>'Work Progress (%)'!G170</f>
        <v>1</v>
      </c>
      <c r="D161" s="22">
        <f>'Work Progress (%)'!L170</f>
        <v>0</v>
      </c>
      <c r="E161" s="22">
        <f>'Work Progress (%)'!Y170</f>
        <v>0.32499999999999996</v>
      </c>
      <c r="F161" s="22">
        <f>'Work Progress (%)'!AD170</f>
        <v>0</v>
      </c>
      <c r="G161" s="22">
        <f>'Work Progress (%)'!AI170</f>
        <v>3.4999999999999996E-2</v>
      </c>
      <c r="H161" s="22">
        <f>'Work Progress (%)'!AQ170</f>
        <v>0</v>
      </c>
      <c r="I161" s="22">
        <f>'Work Progress (%)'!AV170</f>
        <v>0</v>
      </c>
      <c r="J161" s="22">
        <f>'Work Progress (%)'!BD170</f>
        <v>0</v>
      </c>
      <c r="K161" s="22">
        <v>0.7</v>
      </c>
      <c r="L161" s="22">
        <v>1</v>
      </c>
      <c r="M161" s="22">
        <v>0.2</v>
      </c>
      <c r="N161" s="22">
        <v>0.7</v>
      </c>
      <c r="O161" s="23">
        <f t="shared" si="20"/>
        <v>0.21249999999999999</v>
      </c>
      <c r="P161" s="8"/>
    </row>
    <row r="162" spans="1:16" ht="73.5" customHeight="1" x14ac:dyDescent="0.45">
      <c r="A162" s="3">
        <v>1005</v>
      </c>
      <c r="B162" s="4" t="s">
        <v>45</v>
      </c>
      <c r="C162" s="22">
        <f>'Work Progress (%)'!G171</f>
        <v>1</v>
      </c>
      <c r="D162" s="22">
        <f>'Work Progress (%)'!L171</f>
        <v>0</v>
      </c>
      <c r="E162" s="22">
        <f>'Work Progress (%)'!Y171</f>
        <v>0.32499999999999996</v>
      </c>
      <c r="F162" s="22">
        <f>'Work Progress (%)'!AD171</f>
        <v>0</v>
      </c>
      <c r="G162" s="22">
        <f>'Work Progress (%)'!AI171</f>
        <v>4.5000000000000005E-2</v>
      </c>
      <c r="H162" s="22">
        <f>'Work Progress (%)'!AQ171</f>
        <v>0</v>
      </c>
      <c r="I162" s="22">
        <f>'Work Progress (%)'!AV171</f>
        <v>0</v>
      </c>
      <c r="J162" s="22">
        <f>'Work Progress (%)'!BD171</f>
        <v>0</v>
      </c>
      <c r="K162" s="22">
        <v>0.7</v>
      </c>
      <c r="L162" s="22">
        <v>1</v>
      </c>
      <c r="M162" s="22">
        <v>0.2</v>
      </c>
      <c r="N162" s="22">
        <v>0.7</v>
      </c>
      <c r="O162" s="23">
        <f t="shared" si="20"/>
        <v>0.2135</v>
      </c>
      <c r="P162" s="8"/>
    </row>
    <row r="163" spans="1:16" ht="73.5" customHeight="1" x14ac:dyDescent="0.45">
      <c r="A163" s="3">
        <v>1006</v>
      </c>
      <c r="B163" s="4" t="s">
        <v>45</v>
      </c>
      <c r="C163" s="22">
        <f>'Work Progress (%)'!G172</f>
        <v>1</v>
      </c>
      <c r="D163" s="22">
        <f>'Work Progress (%)'!L172</f>
        <v>0</v>
      </c>
      <c r="E163" s="22">
        <f>'Work Progress (%)'!Y172</f>
        <v>0.39749999999999996</v>
      </c>
      <c r="F163" s="22">
        <f>'Work Progress (%)'!AD172</f>
        <v>0</v>
      </c>
      <c r="G163" s="22">
        <f>'Work Progress (%)'!AI172</f>
        <v>3.4999999999999996E-2</v>
      </c>
      <c r="H163" s="22">
        <f>'Work Progress (%)'!AQ172</f>
        <v>0</v>
      </c>
      <c r="I163" s="22">
        <f>'Work Progress (%)'!AV172</f>
        <v>0</v>
      </c>
      <c r="J163" s="22">
        <f>'Work Progress (%)'!BD172</f>
        <v>0</v>
      </c>
      <c r="K163" s="22">
        <v>0.7</v>
      </c>
      <c r="L163" s="22">
        <v>1</v>
      </c>
      <c r="M163" s="22">
        <v>0.2</v>
      </c>
      <c r="N163" s="22">
        <v>0.7</v>
      </c>
      <c r="O163" s="23">
        <f t="shared" si="20"/>
        <v>0.22700000000000001</v>
      </c>
      <c r="P163" s="8"/>
    </row>
    <row r="164" spans="1:16" ht="73.5" customHeight="1" x14ac:dyDescent="0.45">
      <c r="A164" s="3">
        <v>1007</v>
      </c>
      <c r="B164" s="4" t="s">
        <v>45</v>
      </c>
      <c r="C164" s="22">
        <f>'Work Progress (%)'!G173</f>
        <v>1</v>
      </c>
      <c r="D164" s="22">
        <f>'Work Progress (%)'!L173</f>
        <v>0</v>
      </c>
      <c r="E164" s="22">
        <f>'Work Progress (%)'!Y173</f>
        <v>0.32499999999999996</v>
      </c>
      <c r="F164" s="22">
        <f>'Work Progress (%)'!AD173</f>
        <v>0</v>
      </c>
      <c r="G164" s="22">
        <f>'Work Progress (%)'!AI173</f>
        <v>4.5000000000000005E-2</v>
      </c>
      <c r="H164" s="22">
        <f>'Work Progress (%)'!AQ173</f>
        <v>0</v>
      </c>
      <c r="I164" s="22">
        <f>'Work Progress (%)'!AV173</f>
        <v>0</v>
      </c>
      <c r="J164" s="22">
        <f>'Work Progress (%)'!BD173</f>
        <v>0</v>
      </c>
      <c r="K164" s="22">
        <v>0.7</v>
      </c>
      <c r="L164" s="22">
        <v>1</v>
      </c>
      <c r="M164" s="22">
        <v>0.2</v>
      </c>
      <c r="N164" s="22">
        <v>0.7</v>
      </c>
      <c r="O164" s="23">
        <f t="shared" si="20"/>
        <v>0.2135</v>
      </c>
      <c r="P164" s="8"/>
    </row>
    <row r="165" spans="1:16" ht="73.5" customHeight="1" x14ac:dyDescent="0.45">
      <c r="A165" s="3">
        <v>1008</v>
      </c>
      <c r="B165" s="4" t="s">
        <v>45</v>
      </c>
      <c r="C165" s="22">
        <f>'Work Progress (%)'!G174</f>
        <v>1</v>
      </c>
      <c r="D165" s="22">
        <f>'Work Progress (%)'!L174</f>
        <v>0</v>
      </c>
      <c r="E165" s="22">
        <f>'Work Progress (%)'!Y174</f>
        <v>0.39749999999999996</v>
      </c>
      <c r="F165" s="22">
        <f>'Work Progress (%)'!AD174</f>
        <v>0</v>
      </c>
      <c r="G165" s="22">
        <f>'Work Progress (%)'!AI174</f>
        <v>3.4999999999999996E-2</v>
      </c>
      <c r="H165" s="22">
        <f>'Work Progress (%)'!AQ174</f>
        <v>0</v>
      </c>
      <c r="I165" s="22">
        <f>'Work Progress (%)'!AV174</f>
        <v>0</v>
      </c>
      <c r="J165" s="22">
        <f>'Work Progress (%)'!BD174</f>
        <v>0</v>
      </c>
      <c r="K165" s="22">
        <v>0.7</v>
      </c>
      <c r="L165" s="22">
        <v>1</v>
      </c>
      <c r="M165" s="22">
        <v>0.2</v>
      </c>
      <c r="N165" s="22">
        <v>0.7</v>
      </c>
      <c r="O165" s="23">
        <f t="shared" si="20"/>
        <v>0.22700000000000001</v>
      </c>
      <c r="P165" s="8"/>
    </row>
    <row r="166" spans="1:16" ht="73.5" customHeight="1" x14ac:dyDescent="0.45">
      <c r="A166" s="3">
        <v>1009</v>
      </c>
      <c r="B166" s="4" t="s">
        <v>45</v>
      </c>
      <c r="C166" s="22">
        <f>'Work Progress (%)'!G175</f>
        <v>1</v>
      </c>
      <c r="D166" s="22">
        <f>'Work Progress (%)'!L175</f>
        <v>0</v>
      </c>
      <c r="E166" s="22">
        <f>'Work Progress (%)'!Y175</f>
        <v>0.39749999999999996</v>
      </c>
      <c r="F166" s="22">
        <f>'Work Progress (%)'!AD175</f>
        <v>0</v>
      </c>
      <c r="G166" s="22">
        <f>'Work Progress (%)'!AI175</f>
        <v>4.5000000000000005E-2</v>
      </c>
      <c r="H166" s="22">
        <f>'Work Progress (%)'!AQ175</f>
        <v>0</v>
      </c>
      <c r="I166" s="22">
        <f>'Work Progress (%)'!AV175</f>
        <v>0</v>
      </c>
      <c r="J166" s="22">
        <f>'Work Progress (%)'!BD175</f>
        <v>0</v>
      </c>
      <c r="K166" s="22">
        <v>0.7</v>
      </c>
      <c r="L166" s="22">
        <v>1</v>
      </c>
      <c r="M166" s="22">
        <v>0.2</v>
      </c>
      <c r="N166" s="22">
        <v>0.7</v>
      </c>
      <c r="O166" s="23">
        <f t="shared" si="20"/>
        <v>0.22800000000000001</v>
      </c>
      <c r="P166" s="8"/>
    </row>
    <row r="167" spans="1:16" ht="73.5" customHeight="1" x14ac:dyDescent="0.45">
      <c r="A167" s="3">
        <v>1010</v>
      </c>
      <c r="B167" s="4" t="s">
        <v>45</v>
      </c>
      <c r="C167" s="22">
        <f>'Work Progress (%)'!G176</f>
        <v>1</v>
      </c>
      <c r="D167" s="22">
        <f>'Work Progress (%)'!L176</f>
        <v>0</v>
      </c>
      <c r="E167" s="22">
        <f>'Work Progress (%)'!Y176</f>
        <v>0.32499999999999996</v>
      </c>
      <c r="F167" s="22">
        <f>'Work Progress (%)'!AD176</f>
        <v>0</v>
      </c>
      <c r="G167" s="22">
        <f>'Work Progress (%)'!AI176</f>
        <v>4.5000000000000005E-2</v>
      </c>
      <c r="H167" s="22">
        <f>'Work Progress (%)'!AQ176</f>
        <v>0</v>
      </c>
      <c r="I167" s="22">
        <f>'Work Progress (%)'!AV176</f>
        <v>0</v>
      </c>
      <c r="J167" s="22">
        <f>'Work Progress (%)'!BD176</f>
        <v>0</v>
      </c>
      <c r="K167" s="22">
        <v>0.7</v>
      </c>
      <c r="L167" s="22">
        <v>1</v>
      </c>
      <c r="M167" s="22">
        <v>0.2</v>
      </c>
      <c r="N167" s="22">
        <v>0.7</v>
      </c>
      <c r="O167" s="23">
        <f t="shared" si="20"/>
        <v>0.2135</v>
      </c>
      <c r="P167" s="8"/>
    </row>
    <row r="168" spans="1:16" ht="73.5" customHeight="1" x14ac:dyDescent="0.45">
      <c r="A168" s="3">
        <v>1011</v>
      </c>
      <c r="B168" s="4" t="s">
        <v>45</v>
      </c>
      <c r="C168" s="22">
        <f>'Work Progress (%)'!G177</f>
        <v>1</v>
      </c>
      <c r="D168" s="22">
        <f>'Work Progress (%)'!L177</f>
        <v>0</v>
      </c>
      <c r="E168" s="22">
        <f>'Work Progress (%)'!Y177</f>
        <v>0.32499999999999996</v>
      </c>
      <c r="F168" s="22">
        <f>'Work Progress (%)'!AD177</f>
        <v>0</v>
      </c>
      <c r="G168" s="22">
        <f>'Work Progress (%)'!AI177</f>
        <v>4.5000000000000005E-2</v>
      </c>
      <c r="H168" s="22">
        <f>'Work Progress (%)'!AQ177</f>
        <v>0</v>
      </c>
      <c r="I168" s="22">
        <f>'Work Progress (%)'!AV177</f>
        <v>0</v>
      </c>
      <c r="J168" s="22">
        <f>'Work Progress (%)'!BD177</f>
        <v>0</v>
      </c>
      <c r="K168" s="22">
        <v>0.7</v>
      </c>
      <c r="L168" s="22">
        <v>1</v>
      </c>
      <c r="M168" s="22">
        <v>0.2</v>
      </c>
      <c r="N168" s="22">
        <v>0.7</v>
      </c>
      <c r="O168" s="23">
        <f t="shared" si="20"/>
        <v>0.2135</v>
      </c>
      <c r="P168" s="8"/>
    </row>
    <row r="169" spans="1:16" ht="73.5" customHeight="1" x14ac:dyDescent="0.45">
      <c r="A169" s="3">
        <v>1012</v>
      </c>
      <c r="B169" s="4" t="s">
        <v>45</v>
      </c>
      <c r="C169" s="22">
        <f>'Work Progress (%)'!G178</f>
        <v>1</v>
      </c>
      <c r="D169" s="22">
        <f>'Work Progress (%)'!L178</f>
        <v>0</v>
      </c>
      <c r="E169" s="22">
        <f>'Work Progress (%)'!Y178</f>
        <v>0.39749999999999996</v>
      </c>
      <c r="F169" s="22">
        <f>'Work Progress (%)'!AD178</f>
        <v>0</v>
      </c>
      <c r="G169" s="22">
        <f>'Work Progress (%)'!AI178</f>
        <v>0</v>
      </c>
      <c r="H169" s="22">
        <f>'Work Progress (%)'!AQ178</f>
        <v>0</v>
      </c>
      <c r="I169" s="22">
        <f>'Work Progress (%)'!AV178</f>
        <v>0</v>
      </c>
      <c r="J169" s="22">
        <f>'Work Progress (%)'!BD178</f>
        <v>0</v>
      </c>
      <c r="K169" s="22">
        <v>0.7</v>
      </c>
      <c r="L169" s="22">
        <v>1</v>
      </c>
      <c r="M169" s="22">
        <v>0.2</v>
      </c>
      <c r="N169" s="22">
        <v>0.7</v>
      </c>
      <c r="O169" s="23">
        <f t="shared" si="20"/>
        <v>0.2235</v>
      </c>
      <c r="P169" s="8"/>
    </row>
    <row r="170" spans="1:16" ht="73.5" customHeight="1" x14ac:dyDescent="0.45">
      <c r="A170" s="3">
        <v>1013</v>
      </c>
      <c r="B170" s="4" t="s">
        <v>45</v>
      </c>
      <c r="C170" s="22">
        <f>'Work Progress (%)'!G179</f>
        <v>1</v>
      </c>
      <c r="D170" s="22">
        <f>'Work Progress (%)'!L179</f>
        <v>0</v>
      </c>
      <c r="E170" s="22">
        <f>'Work Progress (%)'!Y179</f>
        <v>0.54749999999999999</v>
      </c>
      <c r="F170" s="22">
        <f>'Work Progress (%)'!AD179</f>
        <v>0</v>
      </c>
      <c r="G170" s="22">
        <f>'Work Progress (%)'!AI179</f>
        <v>4.5000000000000005E-2</v>
      </c>
      <c r="H170" s="22">
        <f>'Work Progress (%)'!AQ179</f>
        <v>0</v>
      </c>
      <c r="I170" s="22">
        <f>'Work Progress (%)'!AV179</f>
        <v>0</v>
      </c>
      <c r="J170" s="22">
        <f>'Work Progress (%)'!BD179</f>
        <v>0</v>
      </c>
      <c r="K170" s="22">
        <v>0.7</v>
      </c>
      <c r="L170" s="22">
        <v>1</v>
      </c>
      <c r="M170" s="22">
        <v>0.2</v>
      </c>
      <c r="N170" s="22">
        <v>0.7</v>
      </c>
      <c r="O170" s="23">
        <f t="shared" si="20"/>
        <v>0.25800000000000001</v>
      </c>
      <c r="P170" s="8"/>
    </row>
    <row r="171" spans="1:16" ht="73.5" customHeight="1" x14ac:dyDescent="0.45">
      <c r="A171" s="3">
        <v>1014</v>
      </c>
      <c r="B171" s="4" t="s">
        <v>45</v>
      </c>
      <c r="C171" s="22">
        <f>'Work Progress (%)'!G180</f>
        <v>1</v>
      </c>
      <c r="D171" s="22">
        <f>'Work Progress (%)'!L180</f>
        <v>0</v>
      </c>
      <c r="E171" s="22">
        <f>'Work Progress (%)'!Y180</f>
        <v>0.39749999999999996</v>
      </c>
      <c r="F171" s="22">
        <f>'Work Progress (%)'!AD180</f>
        <v>0</v>
      </c>
      <c r="G171" s="22">
        <f>'Work Progress (%)'!AI180</f>
        <v>0</v>
      </c>
      <c r="H171" s="22">
        <f>'Work Progress (%)'!AQ180</f>
        <v>0</v>
      </c>
      <c r="I171" s="22">
        <f>'Work Progress (%)'!AV180</f>
        <v>0</v>
      </c>
      <c r="J171" s="22">
        <f>'Work Progress (%)'!BD180</f>
        <v>0</v>
      </c>
      <c r="K171" s="22">
        <v>0.7</v>
      </c>
      <c r="L171" s="22">
        <v>1</v>
      </c>
      <c r="M171" s="22">
        <v>0.2</v>
      </c>
      <c r="N171" s="22">
        <v>0.7</v>
      </c>
      <c r="O171" s="23">
        <f t="shared" si="20"/>
        <v>0.2235</v>
      </c>
      <c r="P171" s="8"/>
    </row>
    <row r="172" spans="1:16" ht="73.5" customHeight="1" x14ac:dyDescent="0.45">
      <c r="A172" s="3">
        <v>1015</v>
      </c>
      <c r="B172" s="4" t="s">
        <v>45</v>
      </c>
      <c r="C172" s="22">
        <f>'Work Progress (%)'!G181</f>
        <v>1</v>
      </c>
      <c r="D172" s="22">
        <f>'Work Progress (%)'!L181</f>
        <v>0</v>
      </c>
      <c r="E172" s="22">
        <f>'Work Progress (%)'!Y181</f>
        <v>0</v>
      </c>
      <c r="F172" s="22">
        <f>'Work Progress (%)'!AD181</f>
        <v>0</v>
      </c>
      <c r="G172" s="22">
        <f>'Work Progress (%)'!AI181</f>
        <v>2.0000000000000004E-2</v>
      </c>
      <c r="H172" s="22">
        <f>'Work Progress (%)'!AQ181</f>
        <v>0</v>
      </c>
      <c r="I172" s="22">
        <f>'Work Progress (%)'!AV181</f>
        <v>0</v>
      </c>
      <c r="J172" s="22">
        <f>'Work Progress (%)'!BD181</f>
        <v>0</v>
      </c>
      <c r="K172" s="22">
        <v>0.7</v>
      </c>
      <c r="L172" s="22">
        <v>1</v>
      </c>
      <c r="M172" s="22">
        <v>0.2</v>
      </c>
      <c r="N172" s="22">
        <v>0.7</v>
      </c>
      <c r="O172" s="23">
        <f t="shared" si="20"/>
        <v>0.14600000000000002</v>
      </c>
      <c r="P172" s="8"/>
    </row>
    <row r="173" spans="1:16" ht="73.5" customHeight="1" x14ac:dyDescent="0.45">
      <c r="A173" s="3">
        <v>1016</v>
      </c>
      <c r="B173" s="4" t="s">
        <v>45</v>
      </c>
      <c r="C173" s="22">
        <f>'Work Progress (%)'!G182</f>
        <v>1</v>
      </c>
      <c r="D173" s="22">
        <f>'Work Progress (%)'!L182</f>
        <v>0</v>
      </c>
      <c r="E173" s="22">
        <f>'Work Progress (%)'!Y182</f>
        <v>0.39749999999999996</v>
      </c>
      <c r="F173" s="22">
        <f>'Work Progress (%)'!AD182</f>
        <v>0</v>
      </c>
      <c r="G173" s="22">
        <f>'Work Progress (%)'!AI182</f>
        <v>0</v>
      </c>
      <c r="H173" s="22">
        <f>'Work Progress (%)'!AQ182</f>
        <v>0</v>
      </c>
      <c r="I173" s="22">
        <f>'Work Progress (%)'!AV182</f>
        <v>0</v>
      </c>
      <c r="J173" s="22">
        <f>'Work Progress (%)'!BD182</f>
        <v>0</v>
      </c>
      <c r="K173" s="22">
        <v>0.7</v>
      </c>
      <c r="L173" s="22">
        <v>1</v>
      </c>
      <c r="M173" s="22">
        <v>0.2</v>
      </c>
      <c r="N173" s="22">
        <v>0.7</v>
      </c>
      <c r="O173" s="23">
        <f t="shared" si="20"/>
        <v>0.2235</v>
      </c>
      <c r="P173" s="8"/>
    </row>
    <row r="174" spans="1:16" ht="73.5" customHeight="1" x14ac:dyDescent="0.45">
      <c r="A174" s="169" t="s">
        <v>46</v>
      </c>
      <c r="B174" s="170"/>
      <c r="C174" s="161">
        <f>AVERAGE(C176:C190)</f>
        <v>0.90000000000000024</v>
      </c>
      <c r="D174" s="161">
        <f t="shared" ref="D174:N174" si="21">AVERAGE(D176:D190)</f>
        <v>0</v>
      </c>
      <c r="E174" s="22">
        <f t="shared" si="21"/>
        <v>0</v>
      </c>
      <c r="F174" s="161">
        <f t="shared" si="21"/>
        <v>0</v>
      </c>
      <c r="G174" s="161">
        <f t="shared" si="21"/>
        <v>0</v>
      </c>
      <c r="H174" s="161">
        <f t="shared" si="21"/>
        <v>0</v>
      </c>
      <c r="I174" s="161">
        <f t="shared" si="21"/>
        <v>0</v>
      </c>
      <c r="J174" s="161">
        <f t="shared" si="21"/>
        <v>0</v>
      </c>
      <c r="K174" s="161">
        <f t="shared" si="21"/>
        <v>0.69999999999999984</v>
      </c>
      <c r="L174" s="161">
        <f t="shared" si="21"/>
        <v>1</v>
      </c>
      <c r="M174" s="161">
        <f t="shared" si="21"/>
        <v>0.20000000000000004</v>
      </c>
      <c r="N174" s="161">
        <f t="shared" si="21"/>
        <v>0.69999999999999984</v>
      </c>
      <c r="O174" s="16">
        <f>AVERAGE(O175:O190)</f>
        <v>0.13399999999999995</v>
      </c>
      <c r="P174" s="14"/>
    </row>
    <row r="175" spans="1:16" ht="73.5" customHeight="1" x14ac:dyDescent="0.45">
      <c r="A175" s="3">
        <v>1101</v>
      </c>
      <c r="B175" s="4" t="s">
        <v>47</v>
      </c>
      <c r="C175" s="22">
        <v>0.9</v>
      </c>
      <c r="D175" s="22">
        <v>0</v>
      </c>
      <c r="E175" s="22">
        <v>0</v>
      </c>
      <c r="F175" s="22">
        <v>0</v>
      </c>
      <c r="G175" s="22">
        <v>0</v>
      </c>
      <c r="H175" s="22">
        <v>0</v>
      </c>
      <c r="I175" s="22">
        <v>0</v>
      </c>
      <c r="J175" s="22">
        <v>0</v>
      </c>
      <c r="K175" s="22">
        <v>0.7</v>
      </c>
      <c r="L175" s="22">
        <v>1</v>
      </c>
      <c r="M175" s="22">
        <v>0.2</v>
      </c>
      <c r="N175" s="22">
        <v>0.7</v>
      </c>
      <c r="O175" s="23">
        <f t="shared" ref="O175:O190" si="22">SUMPRODUCT(C175:N175, C$2:N$2)</f>
        <v>0.13400000000000001</v>
      </c>
      <c r="P175" s="8"/>
    </row>
    <row r="176" spans="1:16" ht="73.5" customHeight="1" x14ac:dyDescent="0.45">
      <c r="A176" s="3">
        <v>1102</v>
      </c>
      <c r="B176" s="4" t="s">
        <v>47</v>
      </c>
      <c r="C176" s="22">
        <v>0.9</v>
      </c>
      <c r="D176" s="22">
        <v>0</v>
      </c>
      <c r="E176" s="22">
        <v>0</v>
      </c>
      <c r="F176" s="22">
        <v>0</v>
      </c>
      <c r="G176" s="22">
        <v>0</v>
      </c>
      <c r="H176" s="22">
        <v>0</v>
      </c>
      <c r="I176" s="22">
        <v>0</v>
      </c>
      <c r="J176" s="22">
        <v>0</v>
      </c>
      <c r="K176" s="22">
        <v>0.7</v>
      </c>
      <c r="L176" s="22">
        <v>1</v>
      </c>
      <c r="M176" s="22">
        <v>0.2</v>
      </c>
      <c r="N176" s="22">
        <v>0.7</v>
      </c>
      <c r="O176" s="23">
        <f t="shared" si="22"/>
        <v>0.13400000000000001</v>
      </c>
      <c r="P176" s="8"/>
    </row>
    <row r="177" spans="1:16" ht="73.5" customHeight="1" x14ac:dyDescent="0.45">
      <c r="A177" s="3">
        <v>1103</v>
      </c>
      <c r="B177" s="4" t="s">
        <v>47</v>
      </c>
      <c r="C177" s="22">
        <v>0.9</v>
      </c>
      <c r="D177" s="22">
        <v>0</v>
      </c>
      <c r="E177" s="22">
        <v>0</v>
      </c>
      <c r="F177" s="22">
        <v>0</v>
      </c>
      <c r="G177" s="22">
        <v>0</v>
      </c>
      <c r="H177" s="22">
        <v>0</v>
      </c>
      <c r="I177" s="22">
        <v>0</v>
      </c>
      <c r="J177" s="22">
        <v>0</v>
      </c>
      <c r="K177" s="22">
        <v>0.7</v>
      </c>
      <c r="L177" s="22">
        <v>1</v>
      </c>
      <c r="M177" s="22">
        <v>0.2</v>
      </c>
      <c r="N177" s="22">
        <v>0.7</v>
      </c>
      <c r="O177" s="23">
        <f t="shared" si="22"/>
        <v>0.13400000000000001</v>
      </c>
      <c r="P177" s="8"/>
    </row>
    <row r="178" spans="1:16" ht="73.5" customHeight="1" x14ac:dyDescent="0.45">
      <c r="A178" s="3">
        <v>1104</v>
      </c>
      <c r="B178" s="4" t="s">
        <v>47</v>
      </c>
      <c r="C178" s="22">
        <v>0.9</v>
      </c>
      <c r="D178" s="22">
        <v>0</v>
      </c>
      <c r="E178" s="22">
        <v>0</v>
      </c>
      <c r="F178" s="22">
        <v>0</v>
      </c>
      <c r="G178" s="22">
        <v>0</v>
      </c>
      <c r="H178" s="22">
        <v>0</v>
      </c>
      <c r="I178" s="22">
        <v>0</v>
      </c>
      <c r="J178" s="22">
        <v>0</v>
      </c>
      <c r="K178" s="22">
        <v>0.7</v>
      </c>
      <c r="L178" s="22">
        <v>1</v>
      </c>
      <c r="M178" s="22">
        <v>0.2</v>
      </c>
      <c r="N178" s="22">
        <v>0.7</v>
      </c>
      <c r="O178" s="23">
        <f t="shared" si="22"/>
        <v>0.13400000000000001</v>
      </c>
      <c r="P178" s="8"/>
    </row>
    <row r="179" spans="1:16" ht="73.5" customHeight="1" x14ac:dyDescent="0.45">
      <c r="A179" s="3">
        <v>1105</v>
      </c>
      <c r="B179" s="4" t="s">
        <v>47</v>
      </c>
      <c r="C179" s="22">
        <v>0.9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0.7</v>
      </c>
      <c r="L179" s="22">
        <v>1</v>
      </c>
      <c r="M179" s="22">
        <v>0.2</v>
      </c>
      <c r="N179" s="22">
        <v>0.7</v>
      </c>
      <c r="O179" s="23">
        <f t="shared" si="22"/>
        <v>0.13400000000000001</v>
      </c>
      <c r="P179" s="8"/>
    </row>
    <row r="180" spans="1:16" ht="73.5" customHeight="1" x14ac:dyDescent="0.45">
      <c r="A180" s="3">
        <v>1106</v>
      </c>
      <c r="B180" s="4" t="s">
        <v>47</v>
      </c>
      <c r="C180" s="22">
        <v>0.9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0.7</v>
      </c>
      <c r="L180" s="22">
        <v>1</v>
      </c>
      <c r="M180" s="22">
        <v>0.2</v>
      </c>
      <c r="N180" s="22">
        <v>0.7</v>
      </c>
      <c r="O180" s="23">
        <f t="shared" si="22"/>
        <v>0.13400000000000001</v>
      </c>
      <c r="P180" s="8"/>
    </row>
    <row r="181" spans="1:16" ht="73.5" customHeight="1" x14ac:dyDescent="0.45">
      <c r="A181" s="3">
        <v>1107</v>
      </c>
      <c r="B181" s="4" t="s">
        <v>47</v>
      </c>
      <c r="C181" s="22">
        <v>0.9</v>
      </c>
      <c r="D181" s="22">
        <v>0</v>
      </c>
      <c r="E181" s="22">
        <v>0</v>
      </c>
      <c r="F181" s="22">
        <v>0</v>
      </c>
      <c r="G181" s="22">
        <v>0</v>
      </c>
      <c r="H181" s="22">
        <v>0</v>
      </c>
      <c r="I181" s="22">
        <v>0</v>
      </c>
      <c r="J181" s="22">
        <v>0</v>
      </c>
      <c r="K181" s="22">
        <v>0.7</v>
      </c>
      <c r="L181" s="22">
        <v>1</v>
      </c>
      <c r="M181" s="22">
        <v>0.2</v>
      </c>
      <c r="N181" s="22">
        <v>0.7</v>
      </c>
      <c r="O181" s="23">
        <f t="shared" si="22"/>
        <v>0.13400000000000001</v>
      </c>
      <c r="P181" s="8"/>
    </row>
    <row r="182" spans="1:16" ht="73.5" customHeight="1" x14ac:dyDescent="0.45">
      <c r="A182" s="3">
        <v>1108</v>
      </c>
      <c r="B182" s="4" t="s">
        <v>47</v>
      </c>
      <c r="C182" s="22">
        <v>0.9</v>
      </c>
      <c r="D182" s="22">
        <v>0</v>
      </c>
      <c r="E182" s="22">
        <v>0</v>
      </c>
      <c r="F182" s="22">
        <v>0</v>
      </c>
      <c r="G182" s="22">
        <v>0</v>
      </c>
      <c r="H182" s="22">
        <v>0</v>
      </c>
      <c r="I182" s="22">
        <v>0</v>
      </c>
      <c r="J182" s="22">
        <v>0</v>
      </c>
      <c r="K182" s="22">
        <v>0.7</v>
      </c>
      <c r="L182" s="22">
        <v>1</v>
      </c>
      <c r="M182" s="22">
        <v>0.2</v>
      </c>
      <c r="N182" s="22">
        <v>0.7</v>
      </c>
      <c r="O182" s="23">
        <f t="shared" si="22"/>
        <v>0.13400000000000001</v>
      </c>
      <c r="P182" s="8"/>
    </row>
    <row r="183" spans="1:16" ht="73.5" customHeight="1" x14ac:dyDescent="0.45">
      <c r="A183" s="3">
        <v>1109</v>
      </c>
      <c r="B183" s="4" t="s">
        <v>47</v>
      </c>
      <c r="C183" s="22">
        <v>0.9</v>
      </c>
      <c r="D183" s="22">
        <v>0</v>
      </c>
      <c r="E183" s="22">
        <v>0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0.7</v>
      </c>
      <c r="L183" s="22">
        <v>1</v>
      </c>
      <c r="M183" s="22">
        <v>0.2</v>
      </c>
      <c r="N183" s="22">
        <v>0.7</v>
      </c>
      <c r="O183" s="23">
        <f t="shared" si="22"/>
        <v>0.13400000000000001</v>
      </c>
      <c r="P183" s="8"/>
    </row>
    <row r="184" spans="1:16" ht="73.5" customHeight="1" x14ac:dyDescent="0.45">
      <c r="A184" s="3">
        <v>1110</v>
      </c>
      <c r="B184" s="4" t="s">
        <v>47</v>
      </c>
      <c r="C184" s="22">
        <v>0.9</v>
      </c>
      <c r="D184" s="22">
        <v>0</v>
      </c>
      <c r="E184" s="22">
        <v>0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0.7</v>
      </c>
      <c r="L184" s="22">
        <v>1</v>
      </c>
      <c r="M184" s="22">
        <v>0.2</v>
      </c>
      <c r="N184" s="22">
        <v>0.7</v>
      </c>
      <c r="O184" s="23">
        <f t="shared" si="22"/>
        <v>0.13400000000000001</v>
      </c>
      <c r="P184" s="8"/>
    </row>
    <row r="185" spans="1:16" ht="73.5" customHeight="1" x14ac:dyDescent="0.45">
      <c r="A185" s="3">
        <v>1111</v>
      </c>
      <c r="B185" s="4" t="s">
        <v>47</v>
      </c>
      <c r="C185" s="22">
        <v>0.9</v>
      </c>
      <c r="D185" s="22">
        <v>0</v>
      </c>
      <c r="E185" s="22">
        <v>0</v>
      </c>
      <c r="F185" s="22">
        <v>0</v>
      </c>
      <c r="G185" s="22">
        <v>0</v>
      </c>
      <c r="H185" s="22">
        <v>0</v>
      </c>
      <c r="I185" s="22">
        <v>0</v>
      </c>
      <c r="J185" s="22">
        <v>0</v>
      </c>
      <c r="K185" s="22">
        <v>0.7</v>
      </c>
      <c r="L185" s="22">
        <v>1</v>
      </c>
      <c r="M185" s="22">
        <v>0.2</v>
      </c>
      <c r="N185" s="22">
        <v>0.7</v>
      </c>
      <c r="O185" s="23">
        <f t="shared" si="22"/>
        <v>0.13400000000000001</v>
      </c>
      <c r="P185" s="8"/>
    </row>
    <row r="186" spans="1:16" ht="73.5" customHeight="1" x14ac:dyDescent="0.45">
      <c r="A186" s="3">
        <v>1112</v>
      </c>
      <c r="B186" s="4" t="s">
        <v>47</v>
      </c>
      <c r="C186" s="22">
        <v>0.9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0.7</v>
      </c>
      <c r="L186" s="22">
        <v>1</v>
      </c>
      <c r="M186" s="22">
        <v>0.2</v>
      </c>
      <c r="N186" s="22">
        <v>0.7</v>
      </c>
      <c r="O186" s="23">
        <f t="shared" si="22"/>
        <v>0.13400000000000001</v>
      </c>
      <c r="P186" s="8"/>
    </row>
    <row r="187" spans="1:16" ht="73.5" customHeight="1" x14ac:dyDescent="0.45">
      <c r="A187" s="3">
        <v>1113</v>
      </c>
      <c r="B187" s="4" t="s">
        <v>47</v>
      </c>
      <c r="C187" s="22">
        <v>0.9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0.7</v>
      </c>
      <c r="L187" s="22">
        <v>1</v>
      </c>
      <c r="M187" s="22">
        <v>0.2</v>
      </c>
      <c r="N187" s="22">
        <v>0.7</v>
      </c>
      <c r="O187" s="23">
        <f t="shared" si="22"/>
        <v>0.13400000000000001</v>
      </c>
      <c r="P187" s="8"/>
    </row>
    <row r="188" spans="1:16" ht="73.5" customHeight="1" x14ac:dyDescent="0.45">
      <c r="A188" s="3">
        <v>1114</v>
      </c>
      <c r="B188" s="4" t="s">
        <v>47</v>
      </c>
      <c r="C188" s="22">
        <v>0.9</v>
      </c>
      <c r="D188" s="22">
        <v>0</v>
      </c>
      <c r="E188" s="22">
        <v>0</v>
      </c>
      <c r="F188" s="22">
        <v>0</v>
      </c>
      <c r="G188" s="22">
        <v>0</v>
      </c>
      <c r="H188" s="22">
        <v>0</v>
      </c>
      <c r="I188" s="22">
        <v>0</v>
      </c>
      <c r="J188" s="22">
        <v>0</v>
      </c>
      <c r="K188" s="22">
        <v>0.7</v>
      </c>
      <c r="L188" s="22">
        <v>1</v>
      </c>
      <c r="M188" s="22">
        <v>0.2</v>
      </c>
      <c r="N188" s="22">
        <v>0.7</v>
      </c>
      <c r="O188" s="23">
        <f t="shared" si="22"/>
        <v>0.13400000000000001</v>
      </c>
      <c r="P188" s="8"/>
    </row>
    <row r="189" spans="1:16" ht="73.5" customHeight="1" x14ac:dyDescent="0.45">
      <c r="A189" s="3">
        <v>1115</v>
      </c>
      <c r="B189" s="4" t="s">
        <v>47</v>
      </c>
      <c r="C189" s="22">
        <v>0.9</v>
      </c>
      <c r="D189" s="22">
        <v>0</v>
      </c>
      <c r="E189" s="22">
        <v>0</v>
      </c>
      <c r="F189" s="22">
        <v>0</v>
      </c>
      <c r="G189" s="22">
        <v>0</v>
      </c>
      <c r="H189" s="22">
        <v>0</v>
      </c>
      <c r="I189" s="22">
        <v>0</v>
      </c>
      <c r="J189" s="22">
        <v>0</v>
      </c>
      <c r="K189" s="22">
        <v>0.7</v>
      </c>
      <c r="L189" s="22">
        <v>1</v>
      </c>
      <c r="M189" s="22">
        <v>0.2</v>
      </c>
      <c r="N189" s="22">
        <v>0.7</v>
      </c>
      <c r="O189" s="23">
        <f t="shared" si="22"/>
        <v>0.13400000000000001</v>
      </c>
      <c r="P189" s="8"/>
    </row>
    <row r="190" spans="1:16" ht="73.5" customHeight="1" thickBot="1" x14ac:dyDescent="0.5">
      <c r="A190" s="5">
        <v>1116</v>
      </c>
      <c r="B190" s="6" t="s">
        <v>47</v>
      </c>
      <c r="C190" s="22">
        <v>0.9</v>
      </c>
      <c r="D190" s="22">
        <v>0</v>
      </c>
      <c r="E190" s="22">
        <v>0</v>
      </c>
      <c r="F190" s="22">
        <v>0</v>
      </c>
      <c r="G190" s="22">
        <v>0</v>
      </c>
      <c r="H190" s="22">
        <v>0</v>
      </c>
      <c r="I190" s="22">
        <v>0</v>
      </c>
      <c r="J190" s="22">
        <v>0</v>
      </c>
      <c r="K190" s="22">
        <v>0.7</v>
      </c>
      <c r="L190" s="22">
        <v>1</v>
      </c>
      <c r="M190" s="22">
        <v>0.2</v>
      </c>
      <c r="N190" s="22">
        <v>0.7</v>
      </c>
      <c r="O190" s="23">
        <f t="shared" si="22"/>
        <v>0.13400000000000001</v>
      </c>
      <c r="P190" s="9"/>
    </row>
    <row r="191" spans="1:16" ht="30.75" customHeight="1" x14ac:dyDescent="0.4">
      <c r="K191" s="17"/>
    </row>
    <row r="192" spans="1:16" ht="30.75" customHeight="1" x14ac:dyDescent="0.4">
      <c r="K192" s="17"/>
    </row>
    <row r="193" spans="11:11" ht="30.75" customHeight="1" x14ac:dyDescent="0.4">
      <c r="K193" s="17"/>
    </row>
    <row r="194" spans="11:11" ht="30.75" customHeight="1" x14ac:dyDescent="0.4">
      <c r="K194" s="17"/>
    </row>
    <row r="195" spans="11:11" ht="30.75" customHeight="1" x14ac:dyDescent="0.4">
      <c r="K195" s="17"/>
    </row>
    <row r="196" spans="11:11" ht="30.75" customHeight="1" x14ac:dyDescent="0.4">
      <c r="K196" s="17"/>
    </row>
    <row r="197" spans="11:11" ht="30.75" customHeight="1" x14ac:dyDescent="0.4">
      <c r="K197" s="17"/>
    </row>
    <row r="198" spans="11:11" ht="30.75" customHeight="1" x14ac:dyDescent="0.4">
      <c r="K198" s="17"/>
    </row>
    <row r="199" spans="11:11" ht="30.75" customHeight="1" x14ac:dyDescent="0.4">
      <c r="K199" s="17"/>
    </row>
    <row r="200" spans="11:11" ht="30.75" customHeight="1" x14ac:dyDescent="0.4">
      <c r="K200" s="17"/>
    </row>
    <row r="201" spans="11:11" ht="30.75" customHeight="1" x14ac:dyDescent="0.4">
      <c r="K201" s="17"/>
    </row>
    <row r="202" spans="11:11" ht="30.75" customHeight="1" x14ac:dyDescent="0.4">
      <c r="K202" s="17"/>
    </row>
    <row r="203" spans="11:11" ht="30.75" customHeight="1" x14ac:dyDescent="0.4">
      <c r="K203" s="17"/>
    </row>
    <row r="204" spans="11:11" ht="30.75" customHeight="1" x14ac:dyDescent="0.4">
      <c r="K204" s="17"/>
    </row>
    <row r="205" spans="11:11" ht="30.75" customHeight="1" x14ac:dyDescent="0.4">
      <c r="K205" s="17"/>
    </row>
    <row r="206" spans="11:11" ht="30.75" customHeight="1" x14ac:dyDescent="0.4">
      <c r="K206" s="17"/>
    </row>
    <row r="207" spans="11:11" ht="30.75" customHeight="1" x14ac:dyDescent="0.4">
      <c r="K207" s="17"/>
    </row>
    <row r="208" spans="11:11" ht="30.75" customHeight="1" x14ac:dyDescent="0.4">
      <c r="K208" s="17"/>
    </row>
    <row r="209" spans="11:11" ht="30.75" customHeight="1" x14ac:dyDescent="0.4">
      <c r="K209" s="17"/>
    </row>
  </sheetData>
  <mergeCells count="12">
    <mergeCell ref="A72:B72"/>
    <mergeCell ref="A89:B89"/>
    <mergeCell ref="A3:B3"/>
    <mergeCell ref="A4:B4"/>
    <mergeCell ref="A21:B21"/>
    <mergeCell ref="A38:B38"/>
    <mergeCell ref="A55:B55"/>
    <mergeCell ref="A106:B106"/>
    <mergeCell ref="A123:B123"/>
    <mergeCell ref="A140:B140"/>
    <mergeCell ref="A157:B157"/>
    <mergeCell ref="A174:B174"/>
  </mergeCells>
  <pageMargins left="0.75" right="0.75" top="1" bottom="1" header="0.5" footer="0.5"/>
  <pageSetup scale="2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7C8-EACD-4E01-A18C-39746F4CBCEE}">
  <dimension ref="B1:BG186"/>
  <sheetViews>
    <sheetView view="pageBreakPreview" topLeftCell="A158" zoomScale="60" zoomScaleNormal="46" workbookViewId="0">
      <selection activeCell="A167" sqref="A167:XFD169"/>
    </sheetView>
  </sheetViews>
  <sheetFormatPr defaultRowHeight="24" x14ac:dyDescent="0.35"/>
  <cols>
    <col min="1" max="1" width="2.85546875" style="34" customWidth="1"/>
    <col min="2" max="2" width="21.28515625" style="34" customWidth="1"/>
    <col min="3" max="6" width="12.28515625" style="34" customWidth="1"/>
    <col min="7" max="7" width="15.42578125" style="34" customWidth="1"/>
    <col min="8" max="8" width="12.42578125" style="34" customWidth="1"/>
    <col min="9" max="9" width="11.42578125" style="34" customWidth="1"/>
    <col min="10" max="12" width="12.42578125" style="34" customWidth="1"/>
    <col min="13" max="16" width="13.42578125" style="34" customWidth="1"/>
    <col min="17" max="19" width="11.28515625" style="34" bestFit="1" customWidth="1"/>
    <col min="20" max="20" width="11.28515625" style="34" customWidth="1"/>
    <col min="21" max="24" width="10.85546875" style="34" customWidth="1"/>
    <col min="25" max="25" width="10.7109375" style="34" customWidth="1"/>
    <col min="26" max="30" width="11.28515625" style="34" customWidth="1"/>
    <col min="31" max="35" width="13.42578125" style="34" customWidth="1"/>
    <col min="36" max="37" width="12" style="34" customWidth="1"/>
    <col min="38" max="38" width="13.42578125" style="34" hidden="1" customWidth="1"/>
    <col min="39" max="43" width="12.85546875" style="34" customWidth="1"/>
    <col min="44" max="44" width="12" style="34" customWidth="1"/>
    <col min="45" max="45" width="13.28515625" style="34" customWidth="1"/>
    <col min="46" max="56" width="12" style="34" customWidth="1"/>
    <col min="57" max="57" width="18.85546875" style="34" customWidth="1"/>
    <col min="58" max="58" width="19.7109375" style="34" customWidth="1"/>
    <col min="59" max="59" width="66.85546875" style="35" customWidth="1"/>
    <col min="60" max="16384" width="9.140625" style="34"/>
  </cols>
  <sheetData>
    <row r="1" spans="2:59" ht="24.75" hidden="1" thickBot="1" x14ac:dyDescent="0.4">
      <c r="I1" s="34">
        <v>12</v>
      </c>
    </row>
    <row r="2" spans="2:59" ht="24.75" hidden="1" thickBot="1" x14ac:dyDescent="0.4">
      <c r="C2" s="185" t="s">
        <v>10</v>
      </c>
      <c r="D2" s="186"/>
      <c r="E2" s="187"/>
      <c r="F2" s="188"/>
      <c r="G2" s="36"/>
      <c r="H2" s="189" t="s">
        <v>48</v>
      </c>
      <c r="I2" s="186"/>
      <c r="J2" s="187"/>
      <c r="K2" s="187"/>
      <c r="L2" s="36"/>
      <c r="M2" s="185" t="s">
        <v>49</v>
      </c>
      <c r="N2" s="186"/>
      <c r="O2" s="187"/>
      <c r="P2" s="188"/>
      <c r="Q2" s="185" t="s">
        <v>50</v>
      </c>
      <c r="R2" s="186"/>
      <c r="S2" s="187"/>
      <c r="T2" s="188"/>
      <c r="U2" s="185" t="s">
        <v>51</v>
      </c>
      <c r="V2" s="186"/>
      <c r="W2" s="187"/>
      <c r="X2" s="188"/>
      <c r="Y2" s="36"/>
      <c r="Z2" s="180" t="s">
        <v>52</v>
      </c>
      <c r="AA2" s="177"/>
      <c r="AB2" s="177"/>
      <c r="AC2" s="181"/>
      <c r="AD2" s="36"/>
      <c r="AE2" s="177" t="s">
        <v>53</v>
      </c>
      <c r="AF2" s="177"/>
      <c r="AG2" s="177"/>
      <c r="AH2" s="177"/>
      <c r="AI2" s="36"/>
      <c r="AJ2" s="178" t="s">
        <v>54</v>
      </c>
      <c r="AK2" s="179"/>
      <c r="AL2" s="179"/>
      <c r="AM2" s="180" t="s">
        <v>55</v>
      </c>
      <c r="AN2" s="177"/>
      <c r="AO2" s="177"/>
      <c r="AP2" s="181"/>
      <c r="AQ2" s="36"/>
      <c r="AR2" s="180" t="s">
        <v>56</v>
      </c>
      <c r="AS2" s="177"/>
      <c r="AT2" s="177"/>
      <c r="AU2" s="181"/>
      <c r="AV2" s="36"/>
      <c r="AW2" s="182" t="s">
        <v>57</v>
      </c>
      <c r="AX2" s="183"/>
      <c r="AY2" s="184"/>
      <c r="AZ2" s="37"/>
      <c r="BA2" s="182"/>
      <c r="BB2" s="183"/>
      <c r="BC2" s="184"/>
      <c r="BD2" s="38"/>
    </row>
    <row r="3" spans="2:59" ht="30.75" hidden="1" thickBot="1" x14ac:dyDescent="0.4">
      <c r="C3" s="39" t="s">
        <v>58</v>
      </c>
      <c r="D3" s="40" t="s">
        <v>59</v>
      </c>
      <c r="E3" s="40" t="s">
        <v>60</v>
      </c>
      <c r="F3" s="41" t="s">
        <v>61</v>
      </c>
      <c r="G3" s="42"/>
      <c r="H3" s="43" t="s">
        <v>62</v>
      </c>
      <c r="I3" s="40" t="s">
        <v>63</v>
      </c>
      <c r="J3" s="40" t="s">
        <v>64</v>
      </c>
      <c r="K3" s="44" t="s">
        <v>65</v>
      </c>
      <c r="L3" s="42"/>
      <c r="M3" s="45" t="s">
        <v>66</v>
      </c>
      <c r="N3" s="40" t="s">
        <v>67</v>
      </c>
      <c r="O3" s="40" t="s">
        <v>68</v>
      </c>
      <c r="P3" s="46" t="s">
        <v>65</v>
      </c>
      <c r="Q3" s="45">
        <v>1</v>
      </c>
      <c r="R3" s="40">
        <v>2</v>
      </c>
      <c r="S3" s="40">
        <v>3</v>
      </c>
      <c r="T3" s="46">
        <v>4</v>
      </c>
      <c r="U3" s="45">
        <v>1</v>
      </c>
      <c r="V3" s="40">
        <v>2</v>
      </c>
      <c r="W3" s="40">
        <v>3</v>
      </c>
      <c r="X3" s="46">
        <v>4</v>
      </c>
      <c r="Y3" s="42"/>
      <c r="Z3" s="45" t="s">
        <v>62</v>
      </c>
      <c r="AA3" s="40" t="s">
        <v>67</v>
      </c>
      <c r="AB3" s="40" t="s">
        <v>68</v>
      </c>
      <c r="AC3" s="46" t="s">
        <v>65</v>
      </c>
      <c r="AD3" s="42"/>
      <c r="AE3" s="43" t="s">
        <v>69</v>
      </c>
      <c r="AF3" s="40" t="s">
        <v>62</v>
      </c>
      <c r="AG3" s="40" t="s">
        <v>67</v>
      </c>
      <c r="AH3" s="44" t="s">
        <v>65</v>
      </c>
      <c r="AI3" s="47"/>
      <c r="AJ3" s="48" t="s">
        <v>70</v>
      </c>
      <c r="AK3" s="49" t="s">
        <v>71</v>
      </c>
      <c r="AL3" s="50"/>
      <c r="AM3" s="45" t="s">
        <v>72</v>
      </c>
      <c r="AN3" s="40" t="s">
        <v>68</v>
      </c>
      <c r="AO3" s="40" t="s">
        <v>73</v>
      </c>
      <c r="AP3" s="46" t="s">
        <v>74</v>
      </c>
      <c r="AQ3" s="51"/>
      <c r="AR3" s="52" t="s">
        <v>75</v>
      </c>
      <c r="AS3" s="53" t="s">
        <v>76</v>
      </c>
      <c r="AT3" s="54" t="s">
        <v>64</v>
      </c>
      <c r="AU3" s="55" t="s">
        <v>77</v>
      </c>
      <c r="AV3" s="56"/>
      <c r="AW3" s="56" t="s">
        <v>70</v>
      </c>
      <c r="AX3" s="56" t="s">
        <v>11</v>
      </c>
      <c r="AY3" s="56" t="s">
        <v>78</v>
      </c>
      <c r="AZ3" s="56"/>
      <c r="BA3" s="54" t="s">
        <v>79</v>
      </c>
      <c r="BB3" s="57" t="s">
        <v>80</v>
      </c>
      <c r="BC3" s="55" t="s">
        <v>81</v>
      </c>
      <c r="BD3" s="51"/>
    </row>
    <row r="4" spans="2:59" ht="24.75" hidden="1" thickBot="1" x14ac:dyDescent="0.4">
      <c r="C4" s="34">
        <v>2</v>
      </c>
      <c r="D4" s="34">
        <v>4</v>
      </c>
      <c r="E4" s="34">
        <v>1</v>
      </c>
      <c r="F4" s="34">
        <v>2</v>
      </c>
      <c r="H4" s="34">
        <f>I1*0.16</f>
        <v>1.92</v>
      </c>
      <c r="I4" s="34">
        <f>I1*0.28</f>
        <v>3.3600000000000003</v>
      </c>
      <c r="J4" s="34">
        <f>I1*0.14</f>
        <v>1.6800000000000002</v>
      </c>
      <c r="K4" s="34">
        <f>I1*0.16</f>
        <v>1.92</v>
      </c>
      <c r="AK4" s="34">
        <f>I1*0.07</f>
        <v>0.84000000000000008</v>
      </c>
      <c r="AX4" s="34">
        <f>I1*0.12</f>
        <v>1.44</v>
      </c>
    </row>
    <row r="5" spans="2:59" ht="24.75" hidden="1" thickBot="1" x14ac:dyDescent="0.4"/>
    <row r="6" spans="2:59" ht="24.75" hidden="1" thickBot="1" x14ac:dyDescent="0.4"/>
    <row r="7" spans="2:59" ht="24.75" hidden="1" thickBot="1" x14ac:dyDescent="0.4"/>
    <row r="8" spans="2:59" ht="63" customHeight="1" thickBot="1" x14ac:dyDescent="0.4">
      <c r="B8" s="58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190"/>
      <c r="V8" s="190"/>
      <c r="W8" s="190"/>
      <c r="X8" s="19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191">
        <f ca="1">NOW()</f>
        <v>45995.931029629632</v>
      </c>
      <c r="AN8" s="190"/>
      <c r="AO8" s="190"/>
      <c r="AP8" s="190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190"/>
      <c r="BB8" s="190"/>
      <c r="BC8" s="62"/>
      <c r="BD8" s="62"/>
      <c r="BE8" s="192"/>
      <c r="BF8" s="192"/>
      <c r="BG8" s="63" t="s">
        <v>82</v>
      </c>
    </row>
    <row r="9" spans="2:59" ht="43.5" customHeight="1" thickBot="1" x14ac:dyDescent="0.35">
      <c r="B9" s="193" t="s">
        <v>83</v>
      </c>
      <c r="C9" s="194"/>
      <c r="D9" s="194"/>
      <c r="E9" s="194"/>
      <c r="F9" s="194"/>
      <c r="G9" s="194"/>
      <c r="H9" s="194"/>
      <c r="I9" s="194"/>
      <c r="J9" s="194"/>
      <c r="K9" s="194"/>
      <c r="L9" s="194"/>
      <c r="M9" s="195"/>
      <c r="N9" s="195"/>
      <c r="O9" s="195"/>
      <c r="P9" s="195"/>
      <c r="Q9" s="196"/>
      <c r="R9" s="196"/>
      <c r="S9" s="196"/>
      <c r="T9" s="196"/>
      <c r="U9" s="196"/>
      <c r="V9" s="196"/>
      <c r="W9" s="196"/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  <c r="AL9" s="196"/>
      <c r="AM9" s="196"/>
      <c r="AN9" s="196"/>
      <c r="AO9" s="196"/>
      <c r="AP9" s="196"/>
      <c r="AQ9" s="196"/>
      <c r="AR9" s="196"/>
      <c r="AS9" s="196"/>
      <c r="AT9" s="196"/>
      <c r="AU9" s="196"/>
      <c r="AV9" s="196"/>
      <c r="AW9" s="196"/>
      <c r="AX9" s="196"/>
      <c r="AY9" s="196"/>
      <c r="AZ9" s="196"/>
      <c r="BA9" s="196"/>
      <c r="BB9" s="196"/>
      <c r="BC9" s="196"/>
      <c r="BD9" s="196"/>
      <c r="BE9" s="196"/>
      <c r="BF9" s="196"/>
      <c r="BG9" s="197"/>
    </row>
    <row r="10" spans="2:59" ht="30" thickBot="1" x14ac:dyDescent="0.35">
      <c r="B10" s="173" t="s">
        <v>84</v>
      </c>
      <c r="C10" s="174"/>
      <c r="D10" s="174"/>
      <c r="E10" s="174"/>
      <c r="F10" s="174"/>
      <c r="G10" s="174"/>
      <c r="H10" s="174"/>
      <c r="I10" s="174"/>
      <c r="J10" s="174"/>
      <c r="K10" s="174"/>
      <c r="L10" s="174"/>
      <c r="M10" s="174"/>
      <c r="N10" s="174"/>
      <c r="O10" s="174"/>
      <c r="P10" s="174"/>
      <c r="Q10" s="174"/>
      <c r="R10" s="174"/>
      <c r="S10" s="174"/>
      <c r="T10" s="174"/>
      <c r="U10" s="174"/>
      <c r="V10" s="174"/>
      <c r="W10" s="174"/>
      <c r="X10" s="174"/>
      <c r="Y10" s="175"/>
      <c r="Z10" s="175"/>
      <c r="AA10" s="175"/>
      <c r="AB10" s="175"/>
      <c r="AC10" s="175"/>
      <c r="AD10" s="175"/>
      <c r="AE10" s="175"/>
      <c r="AF10" s="175"/>
      <c r="AG10" s="175"/>
      <c r="AH10" s="175"/>
      <c r="AI10" s="175"/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5"/>
      <c r="AU10" s="175"/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175"/>
      <c r="BG10" s="176"/>
    </row>
    <row r="11" spans="2:59" ht="30" thickBot="1" x14ac:dyDescent="0.35">
      <c r="B11" s="64"/>
      <c r="C11" s="201" t="s">
        <v>85</v>
      </c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3"/>
      <c r="AQ11" s="65"/>
      <c r="AR11" s="201"/>
      <c r="AS11" s="202"/>
      <c r="AT11" s="202"/>
      <c r="AU11" s="202"/>
      <c r="AV11" s="202"/>
      <c r="AW11" s="202"/>
      <c r="AX11" s="202"/>
      <c r="AY11" s="202"/>
      <c r="AZ11" s="202"/>
      <c r="BA11" s="202"/>
      <c r="BB11" s="202"/>
      <c r="BC11" s="203"/>
      <c r="BD11" s="66"/>
      <c r="BE11" s="67"/>
      <c r="BF11" s="68"/>
      <c r="BG11" s="69" t="s">
        <v>86</v>
      </c>
    </row>
    <row r="12" spans="2:59" ht="43.5" customHeight="1" thickBot="1" x14ac:dyDescent="0.35">
      <c r="B12" s="70"/>
      <c r="C12" s="185" t="s">
        <v>10</v>
      </c>
      <c r="D12" s="186"/>
      <c r="E12" s="187"/>
      <c r="F12" s="188"/>
      <c r="G12" s="71"/>
      <c r="H12" s="189" t="s">
        <v>48</v>
      </c>
      <c r="I12" s="186"/>
      <c r="J12" s="187"/>
      <c r="K12" s="187"/>
      <c r="L12" s="71"/>
      <c r="M12" s="185" t="s">
        <v>49</v>
      </c>
      <c r="N12" s="186"/>
      <c r="O12" s="187"/>
      <c r="P12" s="188"/>
      <c r="Q12" s="185" t="s">
        <v>50</v>
      </c>
      <c r="R12" s="186"/>
      <c r="S12" s="187"/>
      <c r="T12" s="188"/>
      <c r="U12" s="185" t="s">
        <v>51</v>
      </c>
      <c r="V12" s="186"/>
      <c r="W12" s="187"/>
      <c r="X12" s="188"/>
      <c r="Y12" s="36"/>
      <c r="Z12" s="180" t="s">
        <v>52</v>
      </c>
      <c r="AA12" s="177"/>
      <c r="AB12" s="177"/>
      <c r="AC12" s="181"/>
      <c r="AD12" s="71"/>
      <c r="AE12" s="177" t="s">
        <v>53</v>
      </c>
      <c r="AF12" s="177"/>
      <c r="AG12" s="177"/>
      <c r="AH12" s="177"/>
      <c r="AI12" s="36"/>
      <c r="AJ12" s="178" t="s">
        <v>54</v>
      </c>
      <c r="AK12" s="179"/>
      <c r="AL12" s="179"/>
      <c r="AM12" s="180" t="s">
        <v>55</v>
      </c>
      <c r="AN12" s="177"/>
      <c r="AO12" s="177"/>
      <c r="AP12" s="177"/>
      <c r="AQ12" s="181"/>
      <c r="AR12" s="182" t="s">
        <v>87</v>
      </c>
      <c r="AS12" s="183"/>
      <c r="AT12" s="183"/>
      <c r="AU12" s="183"/>
      <c r="AV12" s="184"/>
      <c r="AW12" s="182" t="s">
        <v>57</v>
      </c>
      <c r="AX12" s="183"/>
      <c r="AY12" s="184"/>
      <c r="AZ12" s="37"/>
      <c r="BA12" s="209" t="s">
        <v>104</v>
      </c>
      <c r="BB12" s="210"/>
      <c r="BC12" s="210"/>
      <c r="BD12" s="210"/>
      <c r="BE12" s="38"/>
      <c r="BF12" s="72"/>
      <c r="BG12" s="73"/>
    </row>
    <row r="13" spans="2:59" s="79" customFormat="1" ht="32.25" customHeight="1" thickBot="1" x14ac:dyDescent="0.3">
      <c r="B13" s="39" t="s">
        <v>88</v>
      </c>
      <c r="C13" s="39" t="s">
        <v>58</v>
      </c>
      <c r="D13" s="40" t="s">
        <v>59</v>
      </c>
      <c r="E13" s="40" t="s">
        <v>60</v>
      </c>
      <c r="F13" s="41" t="s">
        <v>89</v>
      </c>
      <c r="G13" s="74"/>
      <c r="H13" s="43" t="s">
        <v>62</v>
      </c>
      <c r="I13" s="40" t="s">
        <v>63</v>
      </c>
      <c r="J13" s="40" t="s">
        <v>64</v>
      </c>
      <c r="K13" s="44" t="s">
        <v>65</v>
      </c>
      <c r="L13" s="75"/>
      <c r="M13" s="45" t="s">
        <v>66</v>
      </c>
      <c r="N13" s="40" t="s">
        <v>67</v>
      </c>
      <c r="O13" s="40" t="s">
        <v>68</v>
      </c>
      <c r="P13" s="46" t="s">
        <v>65</v>
      </c>
      <c r="Q13" s="45">
        <v>1</v>
      </c>
      <c r="R13" s="40">
        <v>2</v>
      </c>
      <c r="S13" s="40">
        <v>3</v>
      </c>
      <c r="T13" s="46">
        <v>4</v>
      </c>
      <c r="U13" s="45">
        <v>1</v>
      </c>
      <c r="V13" s="40">
        <v>2</v>
      </c>
      <c r="W13" s="40">
        <v>3</v>
      </c>
      <c r="X13" s="46">
        <v>4</v>
      </c>
      <c r="Y13" s="42"/>
      <c r="Z13" s="45" t="s">
        <v>62</v>
      </c>
      <c r="AA13" s="40" t="s">
        <v>67</v>
      </c>
      <c r="AB13" s="40" t="s">
        <v>68</v>
      </c>
      <c r="AC13" s="46" t="s">
        <v>65</v>
      </c>
      <c r="AD13" s="76"/>
      <c r="AE13" s="43" t="s">
        <v>69</v>
      </c>
      <c r="AF13" s="40" t="s">
        <v>62</v>
      </c>
      <c r="AG13" s="40" t="s">
        <v>67</v>
      </c>
      <c r="AH13" s="44" t="s">
        <v>65</v>
      </c>
      <c r="AI13" s="47"/>
      <c r="AJ13" s="48" t="s">
        <v>70</v>
      </c>
      <c r="AK13" s="49" t="s">
        <v>71</v>
      </c>
      <c r="AL13" s="50"/>
      <c r="AM13" s="45" t="s">
        <v>72</v>
      </c>
      <c r="AN13" s="40" t="s">
        <v>68</v>
      </c>
      <c r="AO13" s="40" t="s">
        <v>73</v>
      </c>
      <c r="AP13" s="46" t="s">
        <v>74</v>
      </c>
      <c r="AQ13" s="51"/>
      <c r="AR13" s="52" t="s">
        <v>75</v>
      </c>
      <c r="AS13" s="53" t="s">
        <v>76</v>
      </c>
      <c r="AT13" s="54" t="s">
        <v>64</v>
      </c>
      <c r="AU13" s="55" t="s">
        <v>77</v>
      </c>
      <c r="AV13" s="56"/>
      <c r="AW13" s="56" t="s">
        <v>70</v>
      </c>
      <c r="AX13" s="56" t="s">
        <v>11</v>
      </c>
      <c r="AY13" s="56" t="s">
        <v>78</v>
      </c>
      <c r="AZ13" s="56"/>
      <c r="BA13" s="54" t="s">
        <v>79</v>
      </c>
      <c r="BB13" s="57" t="s">
        <v>80</v>
      </c>
      <c r="BC13" s="55" t="s">
        <v>81</v>
      </c>
      <c r="BD13" s="51"/>
      <c r="BE13" s="51"/>
      <c r="BF13" s="77" t="s">
        <v>90</v>
      </c>
      <c r="BG13" s="78" t="s">
        <v>91</v>
      </c>
    </row>
    <row r="14" spans="2:59" s="94" customFormat="1" ht="43.5" customHeight="1" thickBot="1" x14ac:dyDescent="0.4">
      <c r="B14" s="80">
        <v>101</v>
      </c>
      <c r="C14" s="81">
        <v>1</v>
      </c>
      <c r="D14" s="82">
        <v>1</v>
      </c>
      <c r="E14" s="82">
        <v>1</v>
      </c>
      <c r="F14" s="83">
        <v>1</v>
      </c>
      <c r="G14" s="84">
        <f xml:space="preserve"> C14*45% + D14*45% + E14*5% + F14*5%</f>
        <v>1</v>
      </c>
      <c r="H14" s="85">
        <v>1</v>
      </c>
      <c r="I14" s="86">
        <v>1</v>
      </c>
      <c r="J14" s="82">
        <v>1</v>
      </c>
      <c r="K14" s="87">
        <v>1</v>
      </c>
      <c r="L14" s="84">
        <f xml:space="preserve"> H14*30% + I14*30% + J14*10% + K14*30%</f>
        <v>1</v>
      </c>
      <c r="M14" s="88">
        <v>1</v>
      </c>
      <c r="N14" s="86">
        <v>1</v>
      </c>
      <c r="O14" s="82">
        <v>1</v>
      </c>
      <c r="P14" s="89">
        <v>1</v>
      </c>
      <c r="Q14" s="88">
        <v>1</v>
      </c>
      <c r="R14" s="86">
        <v>1</v>
      </c>
      <c r="S14" s="82">
        <v>1</v>
      </c>
      <c r="T14" s="89"/>
      <c r="U14" s="88">
        <v>1</v>
      </c>
      <c r="V14" s="86">
        <v>1</v>
      </c>
      <c r="W14" s="82">
        <v>1</v>
      </c>
      <c r="X14" s="89"/>
      <c r="Y14" s="90">
        <f xml:space="preserve"> (U14*10% + V14*10% + W14*10% + X14*10%+ Q14*5% + R14*5% + S14*5% + T14*5%+M14*10% + N14*15% + O14*5% + P14*10%)/0.85</f>
        <v>1.0000000000000002</v>
      </c>
      <c r="Z14" s="88">
        <v>0.7</v>
      </c>
      <c r="AA14" s="86">
        <v>0.7</v>
      </c>
      <c r="AB14" s="82">
        <v>0.7</v>
      </c>
      <c r="AC14" s="89">
        <v>0.7</v>
      </c>
      <c r="AD14" s="90">
        <f xml:space="preserve"> Z14*45% + AA14*45% + AB14*5% + AC14*5%</f>
        <v>0.70000000000000007</v>
      </c>
      <c r="AE14" s="85">
        <v>1</v>
      </c>
      <c r="AF14" s="86">
        <v>0.5</v>
      </c>
      <c r="AG14" s="82">
        <v>1</v>
      </c>
      <c r="AH14" s="87">
        <v>0</v>
      </c>
      <c r="AI14" s="84">
        <f xml:space="preserve"> AE14*5% + AF14*30% + AG14*35% + AH14*30%</f>
        <v>0.55000000000000004</v>
      </c>
      <c r="AJ14" s="88">
        <v>1</v>
      </c>
      <c r="AK14" s="86">
        <v>1</v>
      </c>
      <c r="AL14" s="87"/>
      <c r="AM14" s="88">
        <v>0</v>
      </c>
      <c r="AN14" s="86">
        <v>1</v>
      </c>
      <c r="AO14" s="82">
        <v>1</v>
      </c>
      <c r="AP14" s="89">
        <v>1</v>
      </c>
      <c r="AQ14" s="84">
        <f xml:space="preserve"> AM14*15% + AN14*35% + AO14*15% + AP14*35%</f>
        <v>0.85</v>
      </c>
      <c r="AR14" s="88">
        <v>1</v>
      </c>
      <c r="AS14" s="86">
        <v>0.5</v>
      </c>
      <c r="AT14" s="82">
        <v>0</v>
      </c>
      <c r="AU14" s="89">
        <v>1</v>
      </c>
      <c r="AV14" s="84">
        <f xml:space="preserve"> AR14*30% + AS14*30% + AT14*15% + AU14*25%</f>
        <v>0.7</v>
      </c>
      <c r="AW14" s="87">
        <v>1</v>
      </c>
      <c r="AX14" s="87">
        <v>0.8</v>
      </c>
      <c r="AY14" s="87">
        <v>0</v>
      </c>
      <c r="AZ14" s="84">
        <f t="shared" ref="AZ14:AZ29" si="0" xml:space="preserve">  AW14*30% + AX14*45% + AY14*25%</f>
        <v>0.66</v>
      </c>
      <c r="BA14" s="86">
        <v>0</v>
      </c>
      <c r="BB14" s="82">
        <v>0</v>
      </c>
      <c r="BC14" s="89">
        <v>0</v>
      </c>
      <c r="BD14" s="84">
        <f t="shared" ref="BD14:BD29" si="1" xml:space="preserve">  BA14*30% + BB14*45% + BC14*25%</f>
        <v>0</v>
      </c>
      <c r="BE14" s="91"/>
      <c r="BF14" s="92" t="e">
        <f t="shared" ref="BF14:BF29" si="2">(
(COUNTIF(B14:E14,"✓")/(COUNTIF(B14:E14,"✓")+COUNTIF(B14:E14,"x")))*0.2 +
(COUNTIF(F14:J14,"✓")/(COUNTIF(F14:J14,"✓")+COUNTIF(F14:J14,"x")))*0.15+
(COUNTIF(K14:O14,"✓")/(COUNTIF(K14:O14,"✓")+COUNTIF(K14:O14,"x")))*0.05 +
(COUNTIF(P14:S14,"✓")/(COUNTIF(P14:S14,"✓")+COUNTIF(P14:S14,"x")))*0.1 +
(COUNTIF(T14:W14,"✓")/(COUNTIF(T14:W14,"✓")+COUNTIF(T14:W14,"x")))*0.1 +
(COUNTIF(X14:AB14,"✓")/(COUNTIF(X14:AB14,"✓")+COUNTIF(X14:AB14,"x")))*0.1 +
(COUNTIF(AC14:AO14,"✓")/(COUNTIF(AC14:AO14,"✓")+COUNTIF(AC14:AO14,"x")))*0.1 +
(COUNTIF(AP14:AT14,"✓")/(COUNTIF(AP14:AT14,"✓")+COUNTIF(AP14:AT14,"x")))*0.05 +
(COUNTIF(AU14:BB14,"✓")/(COUNTIF(AU14:BB14,"✓")+COUNTIF(AU14:BB14,"x")))*0.1 +
(COUNTIF(BC14:BC14,"✓")/(COUNTIF(BC14:BC14,"✓")+COUNTIF(BC14:BC14,"x")))*0.05
)</f>
        <v>#DIV/0!</v>
      </c>
      <c r="BG14" s="93"/>
    </row>
    <row r="15" spans="2:59" s="101" customFormat="1" ht="43.5" customHeight="1" thickBot="1" x14ac:dyDescent="0.4">
      <c r="B15" s="95">
        <v>102</v>
      </c>
      <c r="C15" s="81">
        <v>1</v>
      </c>
      <c r="D15" s="82">
        <v>1</v>
      </c>
      <c r="E15" s="82">
        <v>1</v>
      </c>
      <c r="F15" s="83">
        <v>1</v>
      </c>
      <c r="G15" s="96">
        <f t="shared" ref="G15:G29" si="3" xml:space="preserve"> C15*45% + D15*45% + E15*5% + F15*5%</f>
        <v>1</v>
      </c>
      <c r="H15" s="85">
        <v>1</v>
      </c>
      <c r="I15" s="86">
        <v>1</v>
      </c>
      <c r="J15" s="82">
        <v>1</v>
      </c>
      <c r="K15" s="87">
        <v>1</v>
      </c>
      <c r="L15" s="90">
        <f t="shared" ref="L15:L29" si="4" xml:space="preserve"> H15*30% + I15*30% + J15*10% + K15*30%</f>
        <v>1</v>
      </c>
      <c r="M15" s="88">
        <v>1</v>
      </c>
      <c r="N15" s="86">
        <v>1</v>
      </c>
      <c r="O15" s="82">
        <v>1</v>
      </c>
      <c r="P15" s="89">
        <v>1</v>
      </c>
      <c r="Q15" s="88">
        <v>1</v>
      </c>
      <c r="R15" s="86">
        <v>1</v>
      </c>
      <c r="S15" s="82">
        <v>1</v>
      </c>
      <c r="T15" s="89">
        <v>1</v>
      </c>
      <c r="U15" s="88">
        <v>1</v>
      </c>
      <c r="V15" s="86">
        <v>1</v>
      </c>
      <c r="W15" s="82">
        <v>1</v>
      </c>
      <c r="X15" s="89">
        <v>1</v>
      </c>
      <c r="Y15" s="90">
        <f xml:space="preserve"> (U15*10% + V15*10% + W15*10% + X15*10%+ Q15*5% + R15*5% + S15*5% + T15*5%+M15*10% + N15*15% + O15*5% + P15*10%)</f>
        <v>1.0000000000000002</v>
      </c>
      <c r="Z15" s="88">
        <v>0.7</v>
      </c>
      <c r="AA15" s="86">
        <v>0.7</v>
      </c>
      <c r="AB15" s="82">
        <v>0.7</v>
      </c>
      <c r="AC15" s="89">
        <v>0.7</v>
      </c>
      <c r="AD15" s="90">
        <f t="shared" ref="AD15:AD29" si="5" xml:space="preserve"> Z15*45% + AA15*45% + AB15*5% + AC15*5%</f>
        <v>0.70000000000000007</v>
      </c>
      <c r="AE15" s="85">
        <v>0.7</v>
      </c>
      <c r="AF15" s="86">
        <v>1</v>
      </c>
      <c r="AG15" s="82">
        <v>1</v>
      </c>
      <c r="AH15" s="87">
        <v>0</v>
      </c>
      <c r="AI15" s="84">
        <f t="shared" ref="AI15:AI29" si="6" xml:space="preserve"> AE15*5% + AF15*30% + AG15*35% + AH15*30%</f>
        <v>0.68499999999999994</v>
      </c>
      <c r="AJ15" s="97">
        <v>1</v>
      </c>
      <c r="AK15" s="98">
        <v>1</v>
      </c>
      <c r="AL15" s="99"/>
      <c r="AM15" s="88">
        <v>1</v>
      </c>
      <c r="AN15" s="86">
        <v>1</v>
      </c>
      <c r="AO15" s="82">
        <v>1</v>
      </c>
      <c r="AP15" s="89">
        <v>1</v>
      </c>
      <c r="AQ15" s="84">
        <f t="shared" ref="AQ15:AQ29" si="7" xml:space="preserve"> AM15*15% + AN15*35% + AO15*15% + AP15*35%</f>
        <v>1</v>
      </c>
      <c r="AR15" s="88">
        <v>1</v>
      </c>
      <c r="AS15" s="86">
        <v>0.5</v>
      </c>
      <c r="AT15" s="82">
        <v>0</v>
      </c>
      <c r="AU15" s="89">
        <v>1</v>
      </c>
      <c r="AV15" s="84">
        <f t="shared" ref="AV15:AV29" si="8" xml:space="preserve"> AR15*30% + AS15*30% + AT15*15% + AU15*25%</f>
        <v>0.7</v>
      </c>
      <c r="AW15" s="87">
        <v>1</v>
      </c>
      <c r="AX15" s="87">
        <v>0.8</v>
      </c>
      <c r="AY15" s="87">
        <v>0</v>
      </c>
      <c r="AZ15" s="84">
        <f t="shared" si="0"/>
        <v>0.66</v>
      </c>
      <c r="BA15" s="86">
        <v>0</v>
      </c>
      <c r="BB15" s="82">
        <v>0</v>
      </c>
      <c r="BC15" s="89">
        <v>0</v>
      </c>
      <c r="BD15" s="84">
        <f t="shared" si="1"/>
        <v>0</v>
      </c>
      <c r="BE15" s="91"/>
      <c r="BF15" s="92" t="e">
        <f t="shared" si="2"/>
        <v>#DIV/0!</v>
      </c>
      <c r="BG15" s="100"/>
    </row>
    <row r="16" spans="2:59" s="94" customFormat="1" ht="43.5" customHeight="1" thickBot="1" x14ac:dyDescent="0.4">
      <c r="B16" s="80">
        <v>103</v>
      </c>
      <c r="C16" s="81">
        <v>1</v>
      </c>
      <c r="D16" s="82">
        <v>1</v>
      </c>
      <c r="E16" s="82">
        <v>1</v>
      </c>
      <c r="F16" s="83">
        <v>1</v>
      </c>
      <c r="G16" s="96">
        <f t="shared" si="3"/>
        <v>1</v>
      </c>
      <c r="H16" s="85">
        <v>1</v>
      </c>
      <c r="I16" s="86">
        <v>1</v>
      </c>
      <c r="J16" s="82">
        <v>1</v>
      </c>
      <c r="K16" s="87">
        <v>1</v>
      </c>
      <c r="L16" s="90">
        <f t="shared" si="4"/>
        <v>1</v>
      </c>
      <c r="M16" s="88">
        <v>1</v>
      </c>
      <c r="N16" s="86">
        <v>1</v>
      </c>
      <c r="O16" s="82">
        <v>1</v>
      </c>
      <c r="P16" s="89">
        <v>1</v>
      </c>
      <c r="Q16" s="88">
        <v>1</v>
      </c>
      <c r="R16" s="86">
        <v>1</v>
      </c>
      <c r="S16" s="82">
        <v>1</v>
      </c>
      <c r="T16" s="89">
        <v>1</v>
      </c>
      <c r="U16" s="88">
        <v>1</v>
      </c>
      <c r="V16" s="86">
        <v>1</v>
      </c>
      <c r="W16" s="82">
        <v>1</v>
      </c>
      <c r="X16" s="89">
        <v>1</v>
      </c>
      <c r="Y16" s="90">
        <f t="shared" ref="Y16:Y29" si="9" xml:space="preserve"> (U16*10% + V16*10% + W16*10% + X16*10%+ Q16*5% + R16*5% + S16*5% + T16*5%+M16*10% + N16*15% + O16*5% + P16*10%)</f>
        <v>1.0000000000000002</v>
      </c>
      <c r="Z16" s="88">
        <v>0.7</v>
      </c>
      <c r="AA16" s="86">
        <v>0.7</v>
      </c>
      <c r="AB16" s="82">
        <v>0.7</v>
      </c>
      <c r="AC16" s="89">
        <v>0.7</v>
      </c>
      <c r="AD16" s="90">
        <f t="shared" si="5"/>
        <v>0.70000000000000007</v>
      </c>
      <c r="AE16" s="85">
        <v>1</v>
      </c>
      <c r="AF16" s="86">
        <v>1</v>
      </c>
      <c r="AG16" s="82">
        <v>1</v>
      </c>
      <c r="AH16" s="87">
        <v>1</v>
      </c>
      <c r="AI16" s="84">
        <f t="shared" si="6"/>
        <v>1</v>
      </c>
      <c r="AJ16" s="97">
        <v>1</v>
      </c>
      <c r="AK16" s="98">
        <v>1</v>
      </c>
      <c r="AL16" s="99"/>
      <c r="AM16" s="88">
        <v>1</v>
      </c>
      <c r="AN16" s="86">
        <v>1</v>
      </c>
      <c r="AO16" s="82">
        <v>1</v>
      </c>
      <c r="AP16" s="89">
        <v>1</v>
      </c>
      <c r="AQ16" s="84">
        <f t="shared" si="7"/>
        <v>1</v>
      </c>
      <c r="AR16" s="88">
        <v>1</v>
      </c>
      <c r="AS16" s="86">
        <v>0.5</v>
      </c>
      <c r="AT16" s="82">
        <v>0</v>
      </c>
      <c r="AU16" s="89">
        <v>1</v>
      </c>
      <c r="AV16" s="84">
        <f t="shared" si="8"/>
        <v>0.7</v>
      </c>
      <c r="AW16" s="87">
        <v>1</v>
      </c>
      <c r="AX16" s="87">
        <v>0.8</v>
      </c>
      <c r="AY16" s="87">
        <v>0</v>
      </c>
      <c r="AZ16" s="84">
        <f t="shared" si="0"/>
        <v>0.66</v>
      </c>
      <c r="BA16" s="86">
        <v>0</v>
      </c>
      <c r="BB16" s="82">
        <v>0</v>
      </c>
      <c r="BC16" s="89">
        <v>0</v>
      </c>
      <c r="BD16" s="84">
        <f t="shared" si="1"/>
        <v>0</v>
      </c>
      <c r="BE16" s="91"/>
      <c r="BF16" s="92" t="e">
        <f t="shared" si="2"/>
        <v>#DIV/0!</v>
      </c>
      <c r="BG16" s="93"/>
    </row>
    <row r="17" spans="2:59" s="94" customFormat="1" ht="43.5" customHeight="1" thickBot="1" x14ac:dyDescent="0.4">
      <c r="B17" s="80">
        <v>104</v>
      </c>
      <c r="C17" s="81">
        <v>1</v>
      </c>
      <c r="D17" s="82">
        <v>1</v>
      </c>
      <c r="E17" s="82">
        <v>1</v>
      </c>
      <c r="F17" s="83">
        <v>1</v>
      </c>
      <c r="G17" s="96">
        <f t="shared" si="3"/>
        <v>1</v>
      </c>
      <c r="H17" s="85">
        <v>1</v>
      </c>
      <c r="I17" s="86">
        <v>1</v>
      </c>
      <c r="J17" s="82">
        <v>1</v>
      </c>
      <c r="K17" s="87">
        <v>1</v>
      </c>
      <c r="L17" s="90">
        <f t="shared" si="4"/>
        <v>1</v>
      </c>
      <c r="M17" s="88">
        <v>1</v>
      </c>
      <c r="N17" s="86">
        <v>1</v>
      </c>
      <c r="O17" s="82">
        <v>1</v>
      </c>
      <c r="P17" s="89">
        <v>1</v>
      </c>
      <c r="Q17" s="88">
        <v>1</v>
      </c>
      <c r="R17" s="86">
        <v>1</v>
      </c>
      <c r="S17" s="82">
        <v>1</v>
      </c>
      <c r="T17" s="89">
        <v>1</v>
      </c>
      <c r="U17" s="88">
        <v>1</v>
      </c>
      <c r="V17" s="86">
        <v>1</v>
      </c>
      <c r="W17" s="82">
        <v>1</v>
      </c>
      <c r="X17" s="89">
        <v>1</v>
      </c>
      <c r="Y17" s="90">
        <f t="shared" si="9"/>
        <v>1.0000000000000002</v>
      </c>
      <c r="Z17" s="88">
        <v>0.5</v>
      </c>
      <c r="AA17" s="86">
        <v>0.5</v>
      </c>
      <c r="AB17" s="82">
        <v>0.5</v>
      </c>
      <c r="AC17" s="89">
        <v>0.5</v>
      </c>
      <c r="AD17" s="90">
        <f t="shared" si="5"/>
        <v>0.5</v>
      </c>
      <c r="AE17" s="85">
        <v>0.9</v>
      </c>
      <c r="AF17" s="86">
        <v>1</v>
      </c>
      <c r="AG17" s="82">
        <v>1</v>
      </c>
      <c r="AH17" s="87">
        <v>0</v>
      </c>
      <c r="AI17" s="84">
        <f t="shared" si="6"/>
        <v>0.69499999999999995</v>
      </c>
      <c r="AJ17" s="97">
        <v>1</v>
      </c>
      <c r="AK17" s="98">
        <v>1</v>
      </c>
      <c r="AL17" s="99"/>
      <c r="AM17" s="88">
        <v>1</v>
      </c>
      <c r="AN17" s="86">
        <v>1</v>
      </c>
      <c r="AO17" s="82">
        <v>1</v>
      </c>
      <c r="AP17" s="89">
        <v>1</v>
      </c>
      <c r="AQ17" s="84">
        <f t="shared" si="7"/>
        <v>1</v>
      </c>
      <c r="AR17" s="88">
        <v>1</v>
      </c>
      <c r="AS17" s="86">
        <v>0.5</v>
      </c>
      <c r="AT17" s="82">
        <v>0</v>
      </c>
      <c r="AU17" s="89">
        <v>1</v>
      </c>
      <c r="AV17" s="84">
        <f t="shared" si="8"/>
        <v>0.7</v>
      </c>
      <c r="AW17" s="87">
        <v>1</v>
      </c>
      <c r="AX17" s="87">
        <v>0.8</v>
      </c>
      <c r="AY17" s="87">
        <v>0</v>
      </c>
      <c r="AZ17" s="84">
        <f t="shared" si="0"/>
        <v>0.66</v>
      </c>
      <c r="BA17" s="86">
        <v>0</v>
      </c>
      <c r="BB17" s="82">
        <v>0</v>
      </c>
      <c r="BC17" s="89">
        <v>0</v>
      </c>
      <c r="BD17" s="84">
        <f t="shared" si="1"/>
        <v>0</v>
      </c>
      <c r="BE17" s="91"/>
      <c r="BF17" s="92" t="e">
        <f t="shared" si="2"/>
        <v>#DIV/0!</v>
      </c>
      <c r="BG17" s="102"/>
    </row>
    <row r="18" spans="2:59" s="94" customFormat="1" ht="43.5" customHeight="1" thickBot="1" x14ac:dyDescent="0.4">
      <c r="B18" s="95">
        <v>105</v>
      </c>
      <c r="C18" s="81">
        <v>1</v>
      </c>
      <c r="D18" s="82">
        <v>1</v>
      </c>
      <c r="E18" s="82">
        <v>1</v>
      </c>
      <c r="F18" s="83">
        <v>1</v>
      </c>
      <c r="G18" s="96">
        <f t="shared" si="3"/>
        <v>1</v>
      </c>
      <c r="H18" s="85">
        <v>1</v>
      </c>
      <c r="I18" s="86">
        <v>1</v>
      </c>
      <c r="J18" s="82">
        <v>1</v>
      </c>
      <c r="K18" s="87">
        <v>1</v>
      </c>
      <c r="L18" s="90">
        <f t="shared" si="4"/>
        <v>1</v>
      </c>
      <c r="M18" s="88">
        <v>1</v>
      </c>
      <c r="N18" s="86">
        <v>1</v>
      </c>
      <c r="O18" s="82">
        <v>1</v>
      </c>
      <c r="P18" s="89">
        <v>1</v>
      </c>
      <c r="Q18" s="88">
        <v>1</v>
      </c>
      <c r="R18" s="86">
        <v>1</v>
      </c>
      <c r="S18" s="82">
        <v>1</v>
      </c>
      <c r="T18" s="89">
        <v>1</v>
      </c>
      <c r="U18" s="88">
        <v>1</v>
      </c>
      <c r="V18" s="86">
        <v>1</v>
      </c>
      <c r="W18" s="82">
        <v>1</v>
      </c>
      <c r="X18" s="89">
        <v>1</v>
      </c>
      <c r="Y18" s="90">
        <f t="shared" si="9"/>
        <v>1.0000000000000002</v>
      </c>
      <c r="Z18" s="88">
        <v>0.7</v>
      </c>
      <c r="AA18" s="86">
        <v>0.7</v>
      </c>
      <c r="AB18" s="82">
        <v>0.7</v>
      </c>
      <c r="AC18" s="89">
        <v>0.7</v>
      </c>
      <c r="AD18" s="90">
        <f t="shared" si="5"/>
        <v>0.70000000000000007</v>
      </c>
      <c r="AE18" s="85">
        <v>1</v>
      </c>
      <c r="AF18" s="86">
        <v>0.7</v>
      </c>
      <c r="AG18" s="82">
        <v>0.9</v>
      </c>
      <c r="AH18" s="87">
        <v>0.7</v>
      </c>
      <c r="AI18" s="84">
        <f t="shared" si="6"/>
        <v>0.78499999999999992</v>
      </c>
      <c r="AJ18" s="97">
        <v>1</v>
      </c>
      <c r="AK18" s="98">
        <v>1</v>
      </c>
      <c r="AL18" s="99"/>
      <c r="AM18" s="88">
        <v>1</v>
      </c>
      <c r="AN18" s="86">
        <v>1</v>
      </c>
      <c r="AO18" s="82">
        <v>1</v>
      </c>
      <c r="AP18" s="89">
        <v>1</v>
      </c>
      <c r="AQ18" s="84">
        <f t="shared" si="7"/>
        <v>1</v>
      </c>
      <c r="AR18" s="88">
        <v>1</v>
      </c>
      <c r="AS18" s="86">
        <v>0.5</v>
      </c>
      <c r="AT18" s="82">
        <v>0</v>
      </c>
      <c r="AU18" s="89">
        <v>1</v>
      </c>
      <c r="AV18" s="84">
        <f t="shared" si="8"/>
        <v>0.7</v>
      </c>
      <c r="AW18" s="87">
        <v>1</v>
      </c>
      <c r="AX18" s="87">
        <v>0.8</v>
      </c>
      <c r="AY18" s="87">
        <v>0</v>
      </c>
      <c r="AZ18" s="84">
        <f t="shared" si="0"/>
        <v>0.66</v>
      </c>
      <c r="BA18" s="86">
        <v>0</v>
      </c>
      <c r="BB18" s="82">
        <v>0</v>
      </c>
      <c r="BC18" s="89">
        <v>0</v>
      </c>
      <c r="BD18" s="84">
        <f t="shared" si="1"/>
        <v>0</v>
      </c>
      <c r="BE18" s="91"/>
      <c r="BF18" s="92" t="e">
        <f t="shared" si="2"/>
        <v>#DIV/0!</v>
      </c>
      <c r="BG18" s="103"/>
    </row>
    <row r="19" spans="2:59" s="94" customFormat="1" ht="43.5" customHeight="1" thickBot="1" x14ac:dyDescent="0.4">
      <c r="B19" s="80">
        <v>106</v>
      </c>
      <c r="C19" s="81">
        <v>1</v>
      </c>
      <c r="D19" s="82">
        <v>1</v>
      </c>
      <c r="E19" s="82">
        <v>1</v>
      </c>
      <c r="F19" s="83">
        <v>1</v>
      </c>
      <c r="G19" s="96">
        <f t="shared" si="3"/>
        <v>1</v>
      </c>
      <c r="H19" s="85">
        <v>1</v>
      </c>
      <c r="I19" s="86">
        <v>1</v>
      </c>
      <c r="J19" s="82">
        <v>1</v>
      </c>
      <c r="K19" s="87">
        <v>1</v>
      </c>
      <c r="L19" s="90">
        <f t="shared" si="4"/>
        <v>1</v>
      </c>
      <c r="M19" s="88">
        <v>1</v>
      </c>
      <c r="N19" s="86">
        <v>1</v>
      </c>
      <c r="O19" s="82">
        <v>1</v>
      </c>
      <c r="P19" s="89">
        <v>1</v>
      </c>
      <c r="Q19" s="88">
        <v>1</v>
      </c>
      <c r="R19" s="86">
        <v>1</v>
      </c>
      <c r="S19" s="82">
        <v>1</v>
      </c>
      <c r="T19" s="89">
        <v>1</v>
      </c>
      <c r="U19" s="88">
        <v>1</v>
      </c>
      <c r="V19" s="86">
        <v>1</v>
      </c>
      <c r="W19" s="82">
        <v>1</v>
      </c>
      <c r="X19" s="89">
        <v>1</v>
      </c>
      <c r="Y19" s="90">
        <f t="shared" si="9"/>
        <v>1.0000000000000002</v>
      </c>
      <c r="Z19" s="88">
        <v>0.7</v>
      </c>
      <c r="AA19" s="86">
        <v>0.7</v>
      </c>
      <c r="AB19" s="82">
        <v>0.7</v>
      </c>
      <c r="AC19" s="89">
        <v>0.7</v>
      </c>
      <c r="AD19" s="90">
        <f t="shared" si="5"/>
        <v>0.70000000000000007</v>
      </c>
      <c r="AE19" s="85">
        <v>1</v>
      </c>
      <c r="AF19" s="86">
        <v>1</v>
      </c>
      <c r="AG19" s="82">
        <v>1</v>
      </c>
      <c r="AH19" s="87">
        <v>1</v>
      </c>
      <c r="AI19" s="84">
        <f t="shared" si="6"/>
        <v>1</v>
      </c>
      <c r="AJ19" s="97">
        <v>1</v>
      </c>
      <c r="AK19" s="98">
        <v>1</v>
      </c>
      <c r="AL19" s="99"/>
      <c r="AM19" s="88">
        <v>1</v>
      </c>
      <c r="AN19" s="86">
        <v>1</v>
      </c>
      <c r="AO19" s="82">
        <v>1</v>
      </c>
      <c r="AP19" s="89">
        <v>1</v>
      </c>
      <c r="AQ19" s="84">
        <f t="shared" si="7"/>
        <v>1</v>
      </c>
      <c r="AR19" s="88">
        <v>1</v>
      </c>
      <c r="AS19" s="86">
        <v>0.5</v>
      </c>
      <c r="AT19" s="82">
        <v>1</v>
      </c>
      <c r="AU19" s="89">
        <v>1</v>
      </c>
      <c r="AV19" s="84">
        <f t="shared" si="8"/>
        <v>0.85</v>
      </c>
      <c r="AW19" s="87">
        <v>1</v>
      </c>
      <c r="AX19" s="87">
        <v>0.8</v>
      </c>
      <c r="AY19" s="87">
        <v>0</v>
      </c>
      <c r="AZ19" s="84">
        <f t="shared" si="0"/>
        <v>0.66</v>
      </c>
      <c r="BA19" s="86">
        <v>0</v>
      </c>
      <c r="BB19" s="82">
        <v>0</v>
      </c>
      <c r="BC19" s="89">
        <v>0</v>
      </c>
      <c r="BD19" s="84">
        <f t="shared" si="1"/>
        <v>0</v>
      </c>
      <c r="BE19" s="91"/>
      <c r="BF19" s="92" t="e">
        <f t="shared" si="2"/>
        <v>#DIV/0!</v>
      </c>
      <c r="BG19" s="104"/>
    </row>
    <row r="20" spans="2:59" s="94" customFormat="1" ht="43.5" customHeight="1" thickBot="1" x14ac:dyDescent="0.4">
      <c r="B20" s="80">
        <v>107</v>
      </c>
      <c r="C20" s="81">
        <v>1</v>
      </c>
      <c r="D20" s="82">
        <v>1</v>
      </c>
      <c r="E20" s="82">
        <v>1</v>
      </c>
      <c r="F20" s="83">
        <v>1</v>
      </c>
      <c r="G20" s="96">
        <f t="shared" si="3"/>
        <v>1</v>
      </c>
      <c r="H20" s="85">
        <v>1</v>
      </c>
      <c r="I20" s="86">
        <v>1</v>
      </c>
      <c r="J20" s="82">
        <v>1</v>
      </c>
      <c r="K20" s="87">
        <v>1</v>
      </c>
      <c r="L20" s="90">
        <f t="shared" si="4"/>
        <v>1</v>
      </c>
      <c r="M20" s="88">
        <v>1</v>
      </c>
      <c r="N20" s="86">
        <v>1</v>
      </c>
      <c r="O20" s="82">
        <v>1</v>
      </c>
      <c r="P20" s="89">
        <v>1</v>
      </c>
      <c r="Q20" s="88">
        <v>1</v>
      </c>
      <c r="R20" s="86">
        <v>1</v>
      </c>
      <c r="S20" s="82">
        <v>1</v>
      </c>
      <c r="T20" s="89">
        <v>1</v>
      </c>
      <c r="U20" s="88">
        <v>1</v>
      </c>
      <c r="V20" s="86">
        <v>1</v>
      </c>
      <c r="W20" s="82">
        <v>1</v>
      </c>
      <c r="X20" s="89">
        <v>1</v>
      </c>
      <c r="Y20" s="90">
        <f t="shared" si="9"/>
        <v>1.0000000000000002</v>
      </c>
      <c r="Z20" s="88">
        <v>0.7</v>
      </c>
      <c r="AA20" s="86">
        <v>0.7</v>
      </c>
      <c r="AB20" s="82">
        <v>0.7</v>
      </c>
      <c r="AC20" s="89">
        <v>0.7</v>
      </c>
      <c r="AD20" s="90">
        <f t="shared" si="5"/>
        <v>0.70000000000000007</v>
      </c>
      <c r="AE20" s="85">
        <v>1</v>
      </c>
      <c r="AF20" s="86">
        <v>1</v>
      </c>
      <c r="AG20" s="82">
        <v>1</v>
      </c>
      <c r="AH20" s="87">
        <v>1</v>
      </c>
      <c r="AI20" s="84">
        <f t="shared" si="6"/>
        <v>1</v>
      </c>
      <c r="AJ20" s="97">
        <v>1</v>
      </c>
      <c r="AK20" s="98">
        <v>0</v>
      </c>
      <c r="AL20" s="99"/>
      <c r="AM20" s="88">
        <v>1</v>
      </c>
      <c r="AN20" s="86">
        <v>1</v>
      </c>
      <c r="AO20" s="82">
        <v>1</v>
      </c>
      <c r="AP20" s="89">
        <v>1</v>
      </c>
      <c r="AQ20" s="84">
        <f t="shared" si="7"/>
        <v>1</v>
      </c>
      <c r="AR20" s="88">
        <v>1</v>
      </c>
      <c r="AS20" s="86">
        <v>0.5</v>
      </c>
      <c r="AT20" s="82">
        <v>0</v>
      </c>
      <c r="AU20" s="89">
        <v>1</v>
      </c>
      <c r="AV20" s="84">
        <f t="shared" si="8"/>
        <v>0.7</v>
      </c>
      <c r="AW20" s="87">
        <v>1</v>
      </c>
      <c r="AX20" s="87">
        <v>0.35</v>
      </c>
      <c r="AY20" s="87">
        <v>0</v>
      </c>
      <c r="AZ20" s="84">
        <f t="shared" si="0"/>
        <v>0.45750000000000002</v>
      </c>
      <c r="BA20" s="86">
        <v>0</v>
      </c>
      <c r="BB20" s="82">
        <v>0</v>
      </c>
      <c r="BC20" s="89">
        <v>0</v>
      </c>
      <c r="BD20" s="84">
        <f t="shared" si="1"/>
        <v>0</v>
      </c>
      <c r="BE20" s="91"/>
      <c r="BF20" s="92" t="e">
        <f t="shared" si="2"/>
        <v>#DIV/0!</v>
      </c>
      <c r="BG20" s="103"/>
    </row>
    <row r="21" spans="2:59" s="94" customFormat="1" ht="43.5" customHeight="1" thickBot="1" x14ac:dyDescent="0.4">
      <c r="B21" s="95">
        <v>108</v>
      </c>
      <c r="C21" s="81">
        <v>1</v>
      </c>
      <c r="D21" s="82">
        <v>1</v>
      </c>
      <c r="E21" s="82">
        <v>1</v>
      </c>
      <c r="F21" s="83">
        <v>1</v>
      </c>
      <c r="G21" s="96">
        <f t="shared" si="3"/>
        <v>1</v>
      </c>
      <c r="H21" s="85">
        <v>1</v>
      </c>
      <c r="I21" s="86">
        <v>1</v>
      </c>
      <c r="J21" s="82">
        <v>1</v>
      </c>
      <c r="K21" s="87">
        <v>1</v>
      </c>
      <c r="L21" s="90">
        <f t="shared" si="4"/>
        <v>1</v>
      </c>
      <c r="M21" s="88">
        <v>1</v>
      </c>
      <c r="N21" s="86">
        <v>1</v>
      </c>
      <c r="O21" s="82">
        <v>1</v>
      </c>
      <c r="P21" s="89">
        <v>1</v>
      </c>
      <c r="Q21" s="88">
        <v>1</v>
      </c>
      <c r="R21" s="86">
        <v>1</v>
      </c>
      <c r="S21" s="82">
        <v>1</v>
      </c>
      <c r="T21" s="89">
        <v>1</v>
      </c>
      <c r="U21" s="88">
        <v>1</v>
      </c>
      <c r="V21" s="86">
        <v>1</v>
      </c>
      <c r="W21" s="82">
        <v>1</v>
      </c>
      <c r="X21" s="89">
        <v>1</v>
      </c>
      <c r="Y21" s="90">
        <f t="shared" si="9"/>
        <v>1.0000000000000002</v>
      </c>
      <c r="Z21" s="88">
        <v>0.8</v>
      </c>
      <c r="AA21" s="86">
        <v>0.8</v>
      </c>
      <c r="AB21" s="82">
        <v>0.8</v>
      </c>
      <c r="AC21" s="89">
        <v>0.8</v>
      </c>
      <c r="AD21" s="90">
        <f t="shared" si="5"/>
        <v>0.80000000000000016</v>
      </c>
      <c r="AE21" s="85">
        <v>1</v>
      </c>
      <c r="AF21" s="86">
        <v>1</v>
      </c>
      <c r="AG21" s="82">
        <v>1</v>
      </c>
      <c r="AH21" s="87">
        <v>1</v>
      </c>
      <c r="AI21" s="84">
        <f t="shared" si="6"/>
        <v>1</v>
      </c>
      <c r="AJ21" s="97">
        <v>1</v>
      </c>
      <c r="AK21" s="98">
        <v>1</v>
      </c>
      <c r="AL21" s="99"/>
      <c r="AM21" s="88">
        <v>1</v>
      </c>
      <c r="AN21" s="86">
        <v>1</v>
      </c>
      <c r="AO21" s="82">
        <v>1</v>
      </c>
      <c r="AP21" s="89">
        <v>1</v>
      </c>
      <c r="AQ21" s="84">
        <f t="shared" si="7"/>
        <v>1</v>
      </c>
      <c r="AR21" s="88">
        <v>1</v>
      </c>
      <c r="AS21" s="86">
        <v>0.5</v>
      </c>
      <c r="AT21" s="82">
        <v>1</v>
      </c>
      <c r="AU21" s="89">
        <v>1</v>
      </c>
      <c r="AV21" s="84">
        <f t="shared" si="8"/>
        <v>0.85</v>
      </c>
      <c r="AW21" s="87">
        <v>1</v>
      </c>
      <c r="AX21" s="87">
        <v>0.35</v>
      </c>
      <c r="AY21" s="87">
        <v>0</v>
      </c>
      <c r="AZ21" s="84">
        <f t="shared" si="0"/>
        <v>0.45750000000000002</v>
      </c>
      <c r="BA21" s="86">
        <v>0</v>
      </c>
      <c r="BB21" s="82">
        <v>0</v>
      </c>
      <c r="BC21" s="89">
        <v>0</v>
      </c>
      <c r="BD21" s="84">
        <f t="shared" si="1"/>
        <v>0</v>
      </c>
      <c r="BE21" s="91"/>
      <c r="BF21" s="92" t="e">
        <f t="shared" si="2"/>
        <v>#DIV/0!</v>
      </c>
      <c r="BG21" s="104"/>
    </row>
    <row r="22" spans="2:59" s="94" customFormat="1" ht="43.5" customHeight="1" thickBot="1" x14ac:dyDescent="0.4">
      <c r="B22" s="80">
        <v>109</v>
      </c>
      <c r="C22" s="81">
        <v>1</v>
      </c>
      <c r="D22" s="82">
        <v>1</v>
      </c>
      <c r="E22" s="82">
        <v>1</v>
      </c>
      <c r="F22" s="83">
        <v>1</v>
      </c>
      <c r="G22" s="96">
        <f t="shared" si="3"/>
        <v>1</v>
      </c>
      <c r="H22" s="85">
        <v>1</v>
      </c>
      <c r="I22" s="86">
        <v>1</v>
      </c>
      <c r="J22" s="82">
        <v>1</v>
      </c>
      <c r="K22" s="87">
        <v>1</v>
      </c>
      <c r="L22" s="90">
        <f t="shared" si="4"/>
        <v>1</v>
      </c>
      <c r="M22" s="88">
        <v>1</v>
      </c>
      <c r="N22" s="86">
        <v>1</v>
      </c>
      <c r="O22" s="82">
        <v>1</v>
      </c>
      <c r="P22" s="89">
        <v>1</v>
      </c>
      <c r="Q22" s="88">
        <v>1</v>
      </c>
      <c r="R22" s="86">
        <v>1</v>
      </c>
      <c r="S22" s="82">
        <v>1</v>
      </c>
      <c r="T22" s="89">
        <v>1</v>
      </c>
      <c r="U22" s="88">
        <v>1</v>
      </c>
      <c r="V22" s="86">
        <v>1</v>
      </c>
      <c r="W22" s="82">
        <v>1</v>
      </c>
      <c r="X22" s="89">
        <v>1</v>
      </c>
      <c r="Y22" s="90">
        <f t="shared" si="9"/>
        <v>1.0000000000000002</v>
      </c>
      <c r="Z22" s="88">
        <v>0.7</v>
      </c>
      <c r="AA22" s="86">
        <v>0.7</v>
      </c>
      <c r="AB22" s="82">
        <v>0.7</v>
      </c>
      <c r="AC22" s="89">
        <v>0.7</v>
      </c>
      <c r="AD22" s="90">
        <f t="shared" si="5"/>
        <v>0.70000000000000007</v>
      </c>
      <c r="AE22" s="85">
        <v>1</v>
      </c>
      <c r="AF22" s="86">
        <v>1</v>
      </c>
      <c r="AG22" s="82">
        <v>1</v>
      </c>
      <c r="AH22" s="87">
        <v>1</v>
      </c>
      <c r="AI22" s="84">
        <f t="shared" si="6"/>
        <v>1</v>
      </c>
      <c r="AJ22" s="97">
        <v>1</v>
      </c>
      <c r="AK22" s="98">
        <v>1</v>
      </c>
      <c r="AL22" s="99"/>
      <c r="AM22" s="88">
        <v>1</v>
      </c>
      <c r="AN22" s="86">
        <v>1</v>
      </c>
      <c r="AO22" s="82">
        <v>1</v>
      </c>
      <c r="AP22" s="89">
        <v>1</v>
      </c>
      <c r="AQ22" s="84">
        <f t="shared" si="7"/>
        <v>1</v>
      </c>
      <c r="AR22" s="88">
        <v>1</v>
      </c>
      <c r="AS22" s="86">
        <v>0.5</v>
      </c>
      <c r="AT22" s="82">
        <v>0</v>
      </c>
      <c r="AU22" s="89">
        <v>1</v>
      </c>
      <c r="AV22" s="84">
        <f t="shared" si="8"/>
        <v>0.7</v>
      </c>
      <c r="AW22" s="87">
        <v>1</v>
      </c>
      <c r="AX22" s="87">
        <v>0.35</v>
      </c>
      <c r="AY22" s="87">
        <v>0</v>
      </c>
      <c r="AZ22" s="84">
        <f t="shared" si="0"/>
        <v>0.45750000000000002</v>
      </c>
      <c r="BA22" s="86">
        <v>0</v>
      </c>
      <c r="BB22" s="82">
        <v>0</v>
      </c>
      <c r="BC22" s="89">
        <v>0</v>
      </c>
      <c r="BD22" s="84">
        <f t="shared" si="1"/>
        <v>0</v>
      </c>
      <c r="BE22" s="91"/>
      <c r="BF22" s="92" t="e">
        <f t="shared" si="2"/>
        <v>#DIV/0!</v>
      </c>
      <c r="BG22" s="105"/>
    </row>
    <row r="23" spans="2:59" s="94" customFormat="1" ht="43.5" customHeight="1" thickBot="1" x14ac:dyDescent="0.4">
      <c r="B23" s="80">
        <v>110</v>
      </c>
      <c r="C23" s="81">
        <v>1</v>
      </c>
      <c r="D23" s="82">
        <v>1</v>
      </c>
      <c r="E23" s="82">
        <v>1</v>
      </c>
      <c r="F23" s="83">
        <v>1</v>
      </c>
      <c r="G23" s="96">
        <f t="shared" si="3"/>
        <v>1</v>
      </c>
      <c r="H23" s="85">
        <v>1</v>
      </c>
      <c r="I23" s="86">
        <v>1</v>
      </c>
      <c r="J23" s="82">
        <v>1</v>
      </c>
      <c r="K23" s="87">
        <v>1</v>
      </c>
      <c r="L23" s="90">
        <f t="shared" si="4"/>
        <v>1</v>
      </c>
      <c r="M23" s="88">
        <v>1</v>
      </c>
      <c r="N23" s="86">
        <v>1</v>
      </c>
      <c r="O23" s="82">
        <v>1</v>
      </c>
      <c r="P23" s="89">
        <v>1</v>
      </c>
      <c r="Q23" s="88">
        <v>1</v>
      </c>
      <c r="R23" s="86">
        <v>1</v>
      </c>
      <c r="S23" s="82">
        <v>1</v>
      </c>
      <c r="T23" s="89">
        <v>1</v>
      </c>
      <c r="U23" s="88">
        <v>1</v>
      </c>
      <c r="V23" s="86">
        <v>1</v>
      </c>
      <c r="W23" s="82">
        <v>1</v>
      </c>
      <c r="X23" s="89">
        <v>1</v>
      </c>
      <c r="Y23" s="90">
        <f t="shared" si="9"/>
        <v>1.0000000000000002</v>
      </c>
      <c r="Z23" s="88">
        <v>0.8</v>
      </c>
      <c r="AA23" s="86">
        <v>0.8</v>
      </c>
      <c r="AB23" s="82">
        <v>0.8</v>
      </c>
      <c r="AC23" s="89">
        <v>0.8</v>
      </c>
      <c r="AD23" s="90">
        <f t="shared" si="5"/>
        <v>0.80000000000000016</v>
      </c>
      <c r="AE23" s="85">
        <v>1</v>
      </c>
      <c r="AF23" s="86">
        <v>0.7</v>
      </c>
      <c r="AG23" s="82">
        <v>1</v>
      </c>
      <c r="AH23" s="87">
        <v>1</v>
      </c>
      <c r="AI23" s="84">
        <f t="shared" si="6"/>
        <v>0.90999999999999992</v>
      </c>
      <c r="AJ23" s="97">
        <v>1</v>
      </c>
      <c r="AK23" s="98">
        <v>1</v>
      </c>
      <c r="AL23" s="99"/>
      <c r="AM23" s="88">
        <v>1</v>
      </c>
      <c r="AN23" s="86">
        <v>1</v>
      </c>
      <c r="AO23" s="82">
        <v>1</v>
      </c>
      <c r="AP23" s="89">
        <v>1</v>
      </c>
      <c r="AQ23" s="84">
        <f t="shared" si="7"/>
        <v>1</v>
      </c>
      <c r="AR23" s="88">
        <v>1</v>
      </c>
      <c r="AS23" s="86">
        <v>0.5</v>
      </c>
      <c r="AT23" s="82">
        <v>0</v>
      </c>
      <c r="AU23" s="89">
        <v>1</v>
      </c>
      <c r="AV23" s="84">
        <f t="shared" si="8"/>
        <v>0.7</v>
      </c>
      <c r="AW23" s="87">
        <v>1</v>
      </c>
      <c r="AX23" s="87">
        <v>0.35</v>
      </c>
      <c r="AY23" s="87">
        <v>0</v>
      </c>
      <c r="AZ23" s="84">
        <f t="shared" si="0"/>
        <v>0.45750000000000002</v>
      </c>
      <c r="BA23" s="86">
        <v>0</v>
      </c>
      <c r="BB23" s="82">
        <v>1</v>
      </c>
      <c r="BC23" s="89">
        <v>0</v>
      </c>
      <c r="BD23" s="84">
        <f t="shared" si="1"/>
        <v>0.45</v>
      </c>
      <c r="BE23" s="91"/>
      <c r="BF23" s="92" t="e">
        <f t="shared" si="2"/>
        <v>#DIV/0!</v>
      </c>
      <c r="BG23" s="103"/>
    </row>
    <row r="24" spans="2:59" s="94" customFormat="1" ht="43.5" customHeight="1" thickBot="1" x14ac:dyDescent="0.4">
      <c r="B24" s="95">
        <v>111</v>
      </c>
      <c r="C24" s="81">
        <v>1</v>
      </c>
      <c r="D24" s="82">
        <v>1</v>
      </c>
      <c r="E24" s="82">
        <v>1</v>
      </c>
      <c r="F24" s="83">
        <v>1</v>
      </c>
      <c r="G24" s="96">
        <f t="shared" si="3"/>
        <v>1</v>
      </c>
      <c r="H24" s="85">
        <v>1</v>
      </c>
      <c r="I24" s="86">
        <v>1</v>
      </c>
      <c r="J24" s="82">
        <v>1</v>
      </c>
      <c r="K24" s="87">
        <v>1</v>
      </c>
      <c r="L24" s="90">
        <f t="shared" si="4"/>
        <v>1</v>
      </c>
      <c r="M24" s="88">
        <v>1</v>
      </c>
      <c r="N24" s="86">
        <v>1</v>
      </c>
      <c r="O24" s="82">
        <v>1</v>
      </c>
      <c r="P24" s="89">
        <v>1</v>
      </c>
      <c r="Q24" s="88">
        <v>1</v>
      </c>
      <c r="R24" s="86">
        <v>1</v>
      </c>
      <c r="S24" s="82">
        <v>1</v>
      </c>
      <c r="T24" s="89">
        <v>1</v>
      </c>
      <c r="U24" s="88">
        <v>1</v>
      </c>
      <c r="V24" s="86">
        <v>1</v>
      </c>
      <c r="W24" s="82">
        <v>1</v>
      </c>
      <c r="X24" s="89">
        <v>1</v>
      </c>
      <c r="Y24" s="90">
        <f t="shared" si="9"/>
        <v>1.0000000000000002</v>
      </c>
      <c r="Z24" s="88">
        <v>0.7</v>
      </c>
      <c r="AA24" s="86">
        <v>0.7</v>
      </c>
      <c r="AB24" s="82">
        <v>0.7</v>
      </c>
      <c r="AC24" s="89">
        <v>0.7</v>
      </c>
      <c r="AD24" s="90">
        <f t="shared" si="5"/>
        <v>0.70000000000000007</v>
      </c>
      <c r="AE24" s="85">
        <v>1</v>
      </c>
      <c r="AF24" s="86">
        <v>0.7</v>
      </c>
      <c r="AG24" s="82">
        <v>1</v>
      </c>
      <c r="AH24" s="87">
        <v>1</v>
      </c>
      <c r="AI24" s="84">
        <f t="shared" si="6"/>
        <v>0.90999999999999992</v>
      </c>
      <c r="AJ24" s="97">
        <v>1</v>
      </c>
      <c r="AK24" s="98">
        <v>1</v>
      </c>
      <c r="AL24" s="99"/>
      <c r="AM24" s="88">
        <v>1</v>
      </c>
      <c r="AN24" s="86">
        <v>1</v>
      </c>
      <c r="AO24" s="82">
        <v>1</v>
      </c>
      <c r="AP24" s="89">
        <v>1</v>
      </c>
      <c r="AQ24" s="84">
        <f t="shared" si="7"/>
        <v>1</v>
      </c>
      <c r="AR24" s="88">
        <v>1</v>
      </c>
      <c r="AS24" s="86">
        <v>0.5</v>
      </c>
      <c r="AT24" s="82">
        <v>0</v>
      </c>
      <c r="AU24" s="89">
        <v>1</v>
      </c>
      <c r="AV24" s="84">
        <f t="shared" si="8"/>
        <v>0.7</v>
      </c>
      <c r="AW24" s="87">
        <v>1</v>
      </c>
      <c r="AX24" s="87">
        <v>0.35</v>
      </c>
      <c r="AY24" s="87">
        <v>0</v>
      </c>
      <c r="AZ24" s="84">
        <f t="shared" si="0"/>
        <v>0.45750000000000002</v>
      </c>
      <c r="BA24" s="86">
        <v>0</v>
      </c>
      <c r="BB24" s="82">
        <v>0</v>
      </c>
      <c r="BC24" s="89">
        <v>0</v>
      </c>
      <c r="BD24" s="84">
        <f t="shared" si="1"/>
        <v>0</v>
      </c>
      <c r="BE24" s="91"/>
      <c r="BF24" s="92" t="e">
        <f t="shared" si="2"/>
        <v>#DIV/0!</v>
      </c>
      <c r="BG24" s="102"/>
    </row>
    <row r="25" spans="2:59" s="94" customFormat="1" ht="43.5" customHeight="1" thickBot="1" x14ac:dyDescent="0.4">
      <c r="B25" s="80">
        <v>112</v>
      </c>
      <c r="C25" s="81">
        <v>1</v>
      </c>
      <c r="D25" s="82">
        <v>1</v>
      </c>
      <c r="E25" s="82">
        <v>1</v>
      </c>
      <c r="F25" s="83">
        <v>1</v>
      </c>
      <c r="G25" s="96">
        <f t="shared" si="3"/>
        <v>1</v>
      </c>
      <c r="H25" s="85">
        <v>1</v>
      </c>
      <c r="I25" s="86">
        <v>1</v>
      </c>
      <c r="J25" s="82">
        <v>1</v>
      </c>
      <c r="K25" s="87">
        <v>1</v>
      </c>
      <c r="L25" s="90">
        <f t="shared" si="4"/>
        <v>1</v>
      </c>
      <c r="M25" s="88">
        <v>1</v>
      </c>
      <c r="N25" s="86">
        <v>1</v>
      </c>
      <c r="O25" s="82">
        <v>1</v>
      </c>
      <c r="P25" s="89">
        <v>1</v>
      </c>
      <c r="Q25" s="88">
        <v>1</v>
      </c>
      <c r="R25" s="86">
        <v>1</v>
      </c>
      <c r="S25" s="82">
        <v>1</v>
      </c>
      <c r="T25" s="89">
        <v>1</v>
      </c>
      <c r="U25" s="88">
        <v>1</v>
      </c>
      <c r="V25" s="86">
        <v>1</v>
      </c>
      <c r="W25" s="82">
        <v>1</v>
      </c>
      <c r="X25" s="89">
        <v>1</v>
      </c>
      <c r="Y25" s="90">
        <f t="shared" si="9"/>
        <v>1.0000000000000002</v>
      </c>
      <c r="Z25" s="88">
        <v>0.8</v>
      </c>
      <c r="AA25" s="86">
        <v>0.8</v>
      </c>
      <c r="AB25" s="82">
        <v>0.8</v>
      </c>
      <c r="AC25" s="89">
        <v>0.8</v>
      </c>
      <c r="AD25" s="90">
        <f t="shared" si="5"/>
        <v>0.80000000000000016</v>
      </c>
      <c r="AE25" s="85">
        <v>1</v>
      </c>
      <c r="AF25" s="86">
        <v>1</v>
      </c>
      <c r="AG25" s="82">
        <v>1</v>
      </c>
      <c r="AH25" s="87">
        <v>1</v>
      </c>
      <c r="AI25" s="84">
        <f t="shared" si="6"/>
        <v>1</v>
      </c>
      <c r="AJ25" s="97">
        <v>1</v>
      </c>
      <c r="AK25" s="98">
        <v>1</v>
      </c>
      <c r="AL25" s="99"/>
      <c r="AM25" s="88">
        <v>1</v>
      </c>
      <c r="AN25" s="86">
        <v>1</v>
      </c>
      <c r="AO25" s="82">
        <v>1</v>
      </c>
      <c r="AP25" s="89">
        <v>1</v>
      </c>
      <c r="AQ25" s="84">
        <f t="shared" si="7"/>
        <v>1</v>
      </c>
      <c r="AR25" s="88">
        <v>1</v>
      </c>
      <c r="AS25" s="86">
        <v>0.5</v>
      </c>
      <c r="AT25" s="82">
        <v>0</v>
      </c>
      <c r="AU25" s="89">
        <v>1</v>
      </c>
      <c r="AV25" s="84">
        <f t="shared" si="8"/>
        <v>0.7</v>
      </c>
      <c r="AW25" s="87">
        <v>1</v>
      </c>
      <c r="AX25" s="87">
        <v>0.35</v>
      </c>
      <c r="AY25" s="87">
        <v>0</v>
      </c>
      <c r="AZ25" s="84">
        <f t="shared" si="0"/>
        <v>0.45750000000000002</v>
      </c>
      <c r="BA25" s="86">
        <v>0</v>
      </c>
      <c r="BB25" s="82">
        <v>0</v>
      </c>
      <c r="BC25" s="89">
        <v>0</v>
      </c>
      <c r="BD25" s="84">
        <f t="shared" si="1"/>
        <v>0</v>
      </c>
      <c r="BE25" s="91"/>
      <c r="BF25" s="92" t="e">
        <f t="shared" si="2"/>
        <v>#DIV/0!</v>
      </c>
      <c r="BG25" s="102"/>
    </row>
    <row r="26" spans="2:59" s="94" customFormat="1" ht="43.5" customHeight="1" thickBot="1" x14ac:dyDescent="0.4">
      <c r="B26" s="80">
        <v>113</v>
      </c>
      <c r="C26" s="81">
        <v>1</v>
      </c>
      <c r="D26" s="82">
        <v>1</v>
      </c>
      <c r="E26" s="82">
        <v>1</v>
      </c>
      <c r="F26" s="83">
        <v>1</v>
      </c>
      <c r="G26" s="96">
        <f t="shared" si="3"/>
        <v>1</v>
      </c>
      <c r="H26" s="85">
        <v>1</v>
      </c>
      <c r="I26" s="86">
        <v>1</v>
      </c>
      <c r="J26" s="82">
        <v>1</v>
      </c>
      <c r="K26" s="87">
        <v>1</v>
      </c>
      <c r="L26" s="90">
        <f t="shared" si="4"/>
        <v>1</v>
      </c>
      <c r="M26" s="88">
        <v>1</v>
      </c>
      <c r="N26" s="86">
        <v>1</v>
      </c>
      <c r="O26" s="82">
        <v>1</v>
      </c>
      <c r="P26" s="89">
        <v>1</v>
      </c>
      <c r="Q26" s="88">
        <v>1</v>
      </c>
      <c r="R26" s="86">
        <v>1</v>
      </c>
      <c r="S26" s="82">
        <v>1</v>
      </c>
      <c r="T26" s="89">
        <v>1</v>
      </c>
      <c r="U26" s="88">
        <v>1</v>
      </c>
      <c r="V26" s="86">
        <v>1</v>
      </c>
      <c r="W26" s="82">
        <v>1</v>
      </c>
      <c r="X26" s="89">
        <v>1</v>
      </c>
      <c r="Y26" s="90">
        <f t="shared" si="9"/>
        <v>1.0000000000000002</v>
      </c>
      <c r="Z26" s="88">
        <v>0.7</v>
      </c>
      <c r="AA26" s="86">
        <v>0.7</v>
      </c>
      <c r="AB26" s="82">
        <v>0.7</v>
      </c>
      <c r="AC26" s="89">
        <v>0.7</v>
      </c>
      <c r="AD26" s="90">
        <f t="shared" si="5"/>
        <v>0.70000000000000007</v>
      </c>
      <c r="AE26" s="85">
        <v>1</v>
      </c>
      <c r="AF26" s="86">
        <v>1</v>
      </c>
      <c r="AG26" s="82">
        <v>1</v>
      </c>
      <c r="AH26" s="87">
        <v>1</v>
      </c>
      <c r="AI26" s="84">
        <f t="shared" si="6"/>
        <v>1</v>
      </c>
      <c r="AJ26" s="97">
        <v>1</v>
      </c>
      <c r="AK26" s="98">
        <v>1</v>
      </c>
      <c r="AL26" s="99"/>
      <c r="AM26" s="88">
        <v>0</v>
      </c>
      <c r="AN26" s="86">
        <v>1</v>
      </c>
      <c r="AO26" s="82">
        <v>1</v>
      </c>
      <c r="AP26" s="89">
        <v>1</v>
      </c>
      <c r="AQ26" s="84">
        <f t="shared" si="7"/>
        <v>0.85</v>
      </c>
      <c r="AR26" s="88">
        <v>1</v>
      </c>
      <c r="AS26" s="86">
        <v>0.5</v>
      </c>
      <c r="AT26" s="82">
        <v>0</v>
      </c>
      <c r="AU26" s="89">
        <v>1</v>
      </c>
      <c r="AV26" s="84">
        <f t="shared" si="8"/>
        <v>0.7</v>
      </c>
      <c r="AW26" s="87">
        <v>1</v>
      </c>
      <c r="AX26" s="87">
        <v>0.35</v>
      </c>
      <c r="AY26" s="87">
        <v>0</v>
      </c>
      <c r="AZ26" s="84">
        <f t="shared" si="0"/>
        <v>0.45750000000000002</v>
      </c>
      <c r="BA26" s="86">
        <v>0</v>
      </c>
      <c r="BB26" s="82">
        <v>0</v>
      </c>
      <c r="BC26" s="89">
        <v>0</v>
      </c>
      <c r="BD26" s="84">
        <f t="shared" si="1"/>
        <v>0</v>
      </c>
      <c r="BE26" s="91"/>
      <c r="BF26" s="92" t="e">
        <f t="shared" si="2"/>
        <v>#DIV/0!</v>
      </c>
      <c r="BG26" s="105"/>
    </row>
    <row r="27" spans="2:59" s="94" customFormat="1" ht="43.5" customHeight="1" thickBot="1" x14ac:dyDescent="0.4">
      <c r="B27" s="95">
        <v>114</v>
      </c>
      <c r="C27" s="81">
        <v>1</v>
      </c>
      <c r="D27" s="82">
        <v>1</v>
      </c>
      <c r="E27" s="82">
        <v>1</v>
      </c>
      <c r="F27" s="83">
        <v>1</v>
      </c>
      <c r="G27" s="96">
        <f t="shared" si="3"/>
        <v>1</v>
      </c>
      <c r="H27" s="85">
        <v>1</v>
      </c>
      <c r="I27" s="86">
        <v>1</v>
      </c>
      <c r="J27" s="82">
        <v>1</v>
      </c>
      <c r="K27" s="87">
        <v>1</v>
      </c>
      <c r="L27" s="90">
        <f t="shared" si="4"/>
        <v>1</v>
      </c>
      <c r="M27" s="88">
        <v>1</v>
      </c>
      <c r="N27" s="86">
        <v>1</v>
      </c>
      <c r="O27" s="82">
        <v>1</v>
      </c>
      <c r="P27" s="89">
        <v>1</v>
      </c>
      <c r="Q27" s="88">
        <v>1</v>
      </c>
      <c r="R27" s="86">
        <v>1</v>
      </c>
      <c r="S27" s="82">
        <v>1</v>
      </c>
      <c r="T27" s="89">
        <v>1</v>
      </c>
      <c r="U27" s="88">
        <v>1</v>
      </c>
      <c r="V27" s="86">
        <v>1</v>
      </c>
      <c r="W27" s="82">
        <v>1</v>
      </c>
      <c r="X27" s="89">
        <v>1</v>
      </c>
      <c r="Y27" s="90">
        <f t="shared" si="9"/>
        <v>1.0000000000000002</v>
      </c>
      <c r="Z27" s="88">
        <v>0.8</v>
      </c>
      <c r="AA27" s="86">
        <v>0.8</v>
      </c>
      <c r="AB27" s="82">
        <v>0.8</v>
      </c>
      <c r="AC27" s="89">
        <v>0.8</v>
      </c>
      <c r="AD27" s="90">
        <f t="shared" si="5"/>
        <v>0.80000000000000016</v>
      </c>
      <c r="AE27" s="85">
        <v>1</v>
      </c>
      <c r="AF27" s="86">
        <v>1</v>
      </c>
      <c r="AG27" s="82">
        <v>1</v>
      </c>
      <c r="AH27" s="87">
        <v>1</v>
      </c>
      <c r="AI27" s="84">
        <f t="shared" si="6"/>
        <v>1</v>
      </c>
      <c r="AJ27" s="97">
        <v>1</v>
      </c>
      <c r="AK27" s="98">
        <v>1</v>
      </c>
      <c r="AL27" s="99"/>
      <c r="AM27" s="88">
        <v>1</v>
      </c>
      <c r="AN27" s="86">
        <v>1</v>
      </c>
      <c r="AO27" s="82">
        <v>1</v>
      </c>
      <c r="AP27" s="89">
        <v>1</v>
      </c>
      <c r="AQ27" s="84">
        <f t="shared" si="7"/>
        <v>1</v>
      </c>
      <c r="AR27" s="88">
        <v>1</v>
      </c>
      <c r="AS27" s="86">
        <v>0.5</v>
      </c>
      <c r="AT27" s="82">
        <v>0</v>
      </c>
      <c r="AU27" s="89">
        <v>1</v>
      </c>
      <c r="AV27" s="84">
        <f t="shared" si="8"/>
        <v>0.7</v>
      </c>
      <c r="AW27" s="87">
        <v>1</v>
      </c>
      <c r="AX27" s="87">
        <v>0.35</v>
      </c>
      <c r="AY27" s="87">
        <v>0</v>
      </c>
      <c r="AZ27" s="84">
        <f t="shared" si="0"/>
        <v>0.45750000000000002</v>
      </c>
      <c r="BA27" s="86">
        <v>0</v>
      </c>
      <c r="BB27" s="82">
        <v>0</v>
      </c>
      <c r="BC27" s="89">
        <v>0</v>
      </c>
      <c r="BD27" s="84">
        <f t="shared" si="1"/>
        <v>0</v>
      </c>
      <c r="BE27" s="91"/>
      <c r="BF27" s="92" t="e">
        <f t="shared" si="2"/>
        <v>#DIV/0!</v>
      </c>
      <c r="BG27" s="103"/>
    </row>
    <row r="28" spans="2:59" s="94" customFormat="1" ht="43.5" customHeight="1" thickBot="1" x14ac:dyDescent="0.4">
      <c r="B28" s="80">
        <v>115</v>
      </c>
      <c r="C28" s="81">
        <v>1</v>
      </c>
      <c r="D28" s="82">
        <v>1</v>
      </c>
      <c r="E28" s="82">
        <v>1</v>
      </c>
      <c r="F28" s="83">
        <v>1</v>
      </c>
      <c r="G28" s="96">
        <f t="shared" si="3"/>
        <v>1</v>
      </c>
      <c r="H28" s="85">
        <v>1</v>
      </c>
      <c r="I28" s="86">
        <v>1</v>
      </c>
      <c r="J28" s="82">
        <v>1</v>
      </c>
      <c r="K28" s="87">
        <v>1</v>
      </c>
      <c r="L28" s="90">
        <f t="shared" si="4"/>
        <v>1</v>
      </c>
      <c r="M28" s="88">
        <v>1</v>
      </c>
      <c r="N28" s="86">
        <v>1</v>
      </c>
      <c r="O28" s="82">
        <v>1</v>
      </c>
      <c r="P28" s="89">
        <v>1</v>
      </c>
      <c r="Q28" s="88">
        <v>1</v>
      </c>
      <c r="R28" s="86">
        <v>1</v>
      </c>
      <c r="S28" s="82">
        <v>1</v>
      </c>
      <c r="T28" s="89">
        <v>1</v>
      </c>
      <c r="U28" s="88">
        <v>1</v>
      </c>
      <c r="V28" s="86">
        <v>1</v>
      </c>
      <c r="W28" s="82">
        <v>1</v>
      </c>
      <c r="X28" s="89">
        <v>1</v>
      </c>
      <c r="Y28" s="90">
        <f t="shared" si="9"/>
        <v>1.0000000000000002</v>
      </c>
      <c r="Z28" s="88">
        <v>0.5</v>
      </c>
      <c r="AA28" s="86">
        <v>0.5</v>
      </c>
      <c r="AB28" s="82">
        <v>0.5</v>
      </c>
      <c r="AC28" s="89">
        <v>0.5</v>
      </c>
      <c r="AD28" s="90">
        <f t="shared" si="5"/>
        <v>0.5</v>
      </c>
      <c r="AE28" s="85">
        <v>0.7</v>
      </c>
      <c r="AF28" s="86">
        <v>0</v>
      </c>
      <c r="AG28" s="82">
        <v>1</v>
      </c>
      <c r="AH28" s="87">
        <v>1</v>
      </c>
      <c r="AI28" s="84">
        <f t="shared" si="6"/>
        <v>0.68499999999999994</v>
      </c>
      <c r="AJ28" s="97">
        <v>1</v>
      </c>
      <c r="AK28" s="98">
        <v>1</v>
      </c>
      <c r="AL28" s="99"/>
      <c r="AM28" s="88">
        <v>1</v>
      </c>
      <c r="AN28" s="86">
        <v>1</v>
      </c>
      <c r="AO28" s="82">
        <v>1</v>
      </c>
      <c r="AP28" s="89">
        <v>1</v>
      </c>
      <c r="AQ28" s="84">
        <f t="shared" si="7"/>
        <v>1</v>
      </c>
      <c r="AR28" s="88">
        <v>1</v>
      </c>
      <c r="AS28" s="86">
        <v>0.5</v>
      </c>
      <c r="AT28" s="82">
        <v>0</v>
      </c>
      <c r="AU28" s="89">
        <v>1</v>
      </c>
      <c r="AV28" s="84">
        <f t="shared" si="8"/>
        <v>0.7</v>
      </c>
      <c r="AW28" s="87">
        <v>1</v>
      </c>
      <c r="AX28" s="87">
        <v>0.35</v>
      </c>
      <c r="AY28" s="87">
        <v>0</v>
      </c>
      <c r="AZ28" s="84">
        <f t="shared" si="0"/>
        <v>0.45750000000000002</v>
      </c>
      <c r="BA28" s="86">
        <v>0</v>
      </c>
      <c r="BB28" s="82">
        <v>0</v>
      </c>
      <c r="BC28" s="89">
        <v>0</v>
      </c>
      <c r="BD28" s="84">
        <f t="shared" si="1"/>
        <v>0</v>
      </c>
      <c r="BE28" s="91"/>
      <c r="BF28" s="92" t="e">
        <f t="shared" si="2"/>
        <v>#DIV/0!</v>
      </c>
      <c r="BG28" s="103"/>
    </row>
    <row r="29" spans="2:59" s="94" customFormat="1" ht="43.5" customHeight="1" thickBot="1" x14ac:dyDescent="0.4">
      <c r="B29" s="106">
        <v>116</v>
      </c>
      <c r="C29" s="81">
        <v>1</v>
      </c>
      <c r="D29" s="82">
        <v>1</v>
      </c>
      <c r="E29" s="82">
        <v>1</v>
      </c>
      <c r="F29" s="83">
        <v>1</v>
      </c>
      <c r="G29" s="107">
        <f t="shared" si="3"/>
        <v>1</v>
      </c>
      <c r="H29" s="85">
        <v>1</v>
      </c>
      <c r="I29" s="86">
        <v>1</v>
      </c>
      <c r="J29" s="82">
        <v>1</v>
      </c>
      <c r="K29" s="87">
        <v>1</v>
      </c>
      <c r="L29" s="90">
        <f t="shared" si="4"/>
        <v>1</v>
      </c>
      <c r="M29" s="108">
        <v>1</v>
      </c>
      <c r="N29" s="109">
        <v>1</v>
      </c>
      <c r="O29" s="110">
        <v>1</v>
      </c>
      <c r="P29" s="111">
        <v>1</v>
      </c>
      <c r="Q29" s="108">
        <v>1</v>
      </c>
      <c r="R29" s="109">
        <v>1</v>
      </c>
      <c r="S29" s="110">
        <v>1</v>
      </c>
      <c r="T29" s="111">
        <v>1</v>
      </c>
      <c r="U29" s="108">
        <v>1</v>
      </c>
      <c r="V29" s="86">
        <v>1</v>
      </c>
      <c r="W29" s="110">
        <v>1</v>
      </c>
      <c r="X29" s="111">
        <v>1</v>
      </c>
      <c r="Y29" s="90">
        <f t="shared" si="9"/>
        <v>1.0000000000000002</v>
      </c>
      <c r="Z29" s="108">
        <v>0.7</v>
      </c>
      <c r="AA29" s="109">
        <v>0.7</v>
      </c>
      <c r="AB29" s="110">
        <v>0.7</v>
      </c>
      <c r="AC29" s="111">
        <v>0.7</v>
      </c>
      <c r="AD29" s="90">
        <f t="shared" si="5"/>
        <v>0.70000000000000007</v>
      </c>
      <c r="AE29" s="112">
        <v>1</v>
      </c>
      <c r="AF29" s="109">
        <v>1</v>
      </c>
      <c r="AG29" s="110">
        <v>1</v>
      </c>
      <c r="AH29" s="113">
        <v>1</v>
      </c>
      <c r="AI29" s="84">
        <f t="shared" si="6"/>
        <v>1</v>
      </c>
      <c r="AJ29" s="114">
        <v>1</v>
      </c>
      <c r="AK29" s="115">
        <v>1</v>
      </c>
      <c r="AL29" s="116"/>
      <c r="AM29" s="108">
        <v>1</v>
      </c>
      <c r="AN29" s="109">
        <v>1</v>
      </c>
      <c r="AO29" s="110">
        <v>1</v>
      </c>
      <c r="AP29" s="111">
        <v>1</v>
      </c>
      <c r="AQ29" s="84">
        <f t="shared" si="7"/>
        <v>1</v>
      </c>
      <c r="AR29" s="108">
        <v>1</v>
      </c>
      <c r="AS29" s="109">
        <v>0.5</v>
      </c>
      <c r="AT29" s="110">
        <v>0</v>
      </c>
      <c r="AU29" s="111">
        <v>1</v>
      </c>
      <c r="AV29" s="84">
        <f t="shared" si="8"/>
        <v>0.7</v>
      </c>
      <c r="AW29" s="113">
        <v>1</v>
      </c>
      <c r="AX29" s="113">
        <v>0.35</v>
      </c>
      <c r="AY29" s="113">
        <v>0</v>
      </c>
      <c r="AZ29" s="84">
        <f t="shared" si="0"/>
        <v>0.45750000000000002</v>
      </c>
      <c r="BA29" s="109">
        <v>0</v>
      </c>
      <c r="BB29" s="110">
        <v>0</v>
      </c>
      <c r="BC29" s="111">
        <v>0</v>
      </c>
      <c r="BD29" s="84">
        <f t="shared" si="1"/>
        <v>0</v>
      </c>
      <c r="BE29" s="117"/>
      <c r="BF29" s="92" t="e">
        <f t="shared" si="2"/>
        <v>#DIV/0!</v>
      </c>
      <c r="BG29" s="118"/>
    </row>
    <row r="30" spans="2:59" s="94" customFormat="1" ht="43.5" customHeight="1" thickBot="1" x14ac:dyDescent="0.4">
      <c r="B30" s="173" t="s">
        <v>92</v>
      </c>
      <c r="C30" s="174"/>
      <c r="D30" s="174"/>
      <c r="E30" s="174"/>
      <c r="F30" s="174"/>
      <c r="G30" s="174"/>
      <c r="H30" s="174"/>
      <c r="I30" s="174"/>
      <c r="J30" s="174"/>
      <c r="K30" s="174"/>
      <c r="L30" s="174"/>
      <c r="M30" s="174"/>
      <c r="N30" s="174"/>
      <c r="O30" s="174"/>
      <c r="P30" s="174"/>
      <c r="Q30" s="174"/>
      <c r="R30" s="174"/>
      <c r="S30" s="174"/>
      <c r="T30" s="174"/>
      <c r="U30" s="174"/>
      <c r="V30" s="174"/>
      <c r="W30" s="174"/>
      <c r="X30" s="174"/>
      <c r="Y30" s="174"/>
      <c r="Z30" s="174"/>
      <c r="AA30" s="174"/>
      <c r="AB30" s="174"/>
      <c r="AC30" s="174"/>
      <c r="AD30" s="174"/>
      <c r="AE30" s="174"/>
      <c r="AF30" s="174"/>
      <c r="AG30" s="174"/>
      <c r="AH30" s="174"/>
      <c r="AI30" s="174"/>
      <c r="AJ30" s="174"/>
      <c r="AK30" s="174"/>
      <c r="AL30" s="174"/>
      <c r="AM30" s="174"/>
      <c r="AN30" s="174"/>
      <c r="AO30" s="174"/>
      <c r="AP30" s="174"/>
      <c r="AQ30" s="174"/>
      <c r="AR30" s="174"/>
      <c r="AS30" s="174"/>
      <c r="AT30" s="174"/>
      <c r="AU30" s="174"/>
      <c r="AV30" s="174"/>
      <c r="AW30" s="174"/>
      <c r="AX30" s="174"/>
      <c r="AY30" s="174"/>
      <c r="AZ30" s="174"/>
      <c r="BA30" s="174"/>
      <c r="BB30" s="174"/>
      <c r="BC30" s="174"/>
      <c r="BD30" s="174"/>
      <c r="BE30" s="174"/>
      <c r="BF30" s="174"/>
      <c r="BG30" s="176"/>
    </row>
    <row r="31" spans="2:59" s="94" customFormat="1" ht="43.5" customHeight="1" thickBot="1" x14ac:dyDescent="0.4">
      <c r="B31" s="80">
        <v>201</v>
      </c>
      <c r="C31" s="81">
        <v>1</v>
      </c>
      <c r="D31" s="82">
        <v>1</v>
      </c>
      <c r="E31" s="82">
        <v>1</v>
      </c>
      <c r="F31" s="83">
        <v>1</v>
      </c>
      <c r="G31" s="133">
        <f t="shared" ref="G31:G46" si="10" xml:space="preserve"> C31*45% + D31*45% + E31*5% + F31*5%</f>
        <v>1</v>
      </c>
      <c r="H31" s="88">
        <v>1</v>
      </c>
      <c r="I31" s="86">
        <v>1</v>
      </c>
      <c r="J31" s="82">
        <v>1</v>
      </c>
      <c r="K31" s="89">
        <v>1</v>
      </c>
      <c r="L31" s="90">
        <f t="shared" ref="L31:L46" si="11" xml:space="preserve"> H31*30% + I31*30% + J31*10% + K31*30%</f>
        <v>1</v>
      </c>
      <c r="M31" s="85">
        <v>1</v>
      </c>
      <c r="N31" s="86">
        <v>1</v>
      </c>
      <c r="O31" s="82">
        <v>0.95</v>
      </c>
      <c r="P31" s="87">
        <v>1</v>
      </c>
      <c r="Q31" s="88">
        <v>1</v>
      </c>
      <c r="R31" s="86">
        <v>1</v>
      </c>
      <c r="S31" s="82">
        <v>1</v>
      </c>
      <c r="T31" s="89">
        <v>1</v>
      </c>
      <c r="U31" s="88">
        <v>1</v>
      </c>
      <c r="V31" s="86">
        <v>1</v>
      </c>
      <c r="W31" s="82">
        <v>1</v>
      </c>
      <c r="X31" s="89">
        <v>1</v>
      </c>
      <c r="Y31" s="90">
        <f t="shared" ref="Y31:Y46" si="12" xml:space="preserve"> (U31*10% + V31*10% + W31*10% + X31*10%+ Q31*5% + R31*5% + S31*5% + T31*5%+M31*10% + N31*15% + O31*5% + P31*10%)</f>
        <v>0.99750000000000005</v>
      </c>
      <c r="Z31" s="88">
        <v>0.5</v>
      </c>
      <c r="AA31" s="86">
        <v>0.5</v>
      </c>
      <c r="AB31" s="82">
        <v>0.5</v>
      </c>
      <c r="AC31" s="89">
        <v>0.5</v>
      </c>
      <c r="AD31" s="90">
        <f t="shared" ref="AD31:AD46" si="13" xml:space="preserve"> Z31*45% + AA31*45% + AB31*5% + AC31*5%</f>
        <v>0.5</v>
      </c>
      <c r="AE31" s="88">
        <v>1</v>
      </c>
      <c r="AF31" s="86">
        <v>0.5</v>
      </c>
      <c r="AG31" s="134">
        <v>0.5</v>
      </c>
      <c r="AH31" s="87">
        <v>0</v>
      </c>
      <c r="AI31" s="84">
        <f xml:space="preserve"> AE31*5% + AF31*30% + AG31*35% + AH31*30%</f>
        <v>0.375</v>
      </c>
      <c r="AJ31" s="88">
        <v>1</v>
      </c>
      <c r="AK31" s="86">
        <v>1</v>
      </c>
      <c r="AL31" s="87"/>
      <c r="AM31" s="88">
        <v>0</v>
      </c>
      <c r="AN31" s="86">
        <v>1</v>
      </c>
      <c r="AO31" s="82">
        <v>1</v>
      </c>
      <c r="AP31" s="89">
        <v>1</v>
      </c>
      <c r="AQ31" s="84">
        <f t="shared" ref="AQ31:AQ46" si="14" xml:space="preserve"> AM31*15% + AN31*35% + AO31*15% + AP31*35%</f>
        <v>0.85</v>
      </c>
      <c r="AR31" s="88">
        <v>1</v>
      </c>
      <c r="AS31" s="86">
        <v>0</v>
      </c>
      <c r="AT31" s="82">
        <v>0</v>
      </c>
      <c r="AU31" s="89">
        <v>1</v>
      </c>
      <c r="AV31" s="84">
        <f t="shared" ref="AV31:AV46" si="15" xml:space="preserve"> AR31*30% + AS31*30% + AT31*15% + AU31*25%</f>
        <v>0.55000000000000004</v>
      </c>
      <c r="AW31" s="87">
        <v>0.7</v>
      </c>
      <c r="AX31" s="87">
        <v>0.8</v>
      </c>
      <c r="AY31" s="87">
        <v>0</v>
      </c>
      <c r="AZ31" s="84">
        <f t="shared" ref="AZ31:AZ46" si="16" xml:space="preserve">  AW31*30% + AX31*45% + AY31*25%</f>
        <v>0.57000000000000006</v>
      </c>
      <c r="BA31" s="88">
        <v>0</v>
      </c>
      <c r="BB31" s="82">
        <v>0</v>
      </c>
      <c r="BC31" s="89">
        <v>0</v>
      </c>
      <c r="BD31" s="84">
        <f t="shared" ref="BD31:BD46" si="17" xml:space="preserve">  BA31*30% + BB31*45% + BC31*25%</f>
        <v>0</v>
      </c>
      <c r="BE31" s="135"/>
      <c r="BF31" s="92" t="e">
        <f t="shared" ref="BF31:BF46" si="18">(
(COUNTIF(B31:E31,"✓")/(COUNTIF(B31:E31,"✓")+COUNTIF(B31:E31,"x")))*0.2 +
(COUNTIF(F31:J31,"✓")/(COUNTIF(F31:J31,"✓")+COUNTIF(F31:J31,"x")))*0.1 +
(COUNTIF(K31:O31,"✓")/(COUNTIF(K31:O31,"✓")+COUNTIF(K31:O31,"x")))*0.1 +
(COUNTIF(P31:S31,"✓")/(COUNTIF(P31:S31,"✓")+COUNTIF(P31:S31,"x")))*0.1 +
(COUNTIF(T31:W31,"✓")/(COUNTIF(T31:W31,"✓")+COUNTIF(T31:W31,"x")))*0.1 +
(COUNTIF(X31:AB31,"✓")/(COUNTIF(X31:AB31,"✓")+COUNTIF(X31:AB31,"x")))*0.1 +
(COUNTIF(AC31:AO31,"✓")/(COUNTIF(AC31:AO31,"✓")+COUNTIF(AC31:AO31,"x")))*0.1 +
(COUNTIF(AP31:AT31,"✓")/(COUNTIF(AP31:AT31,"✓")+COUNTIF(AP31:AT31,"x")))*0.05 +
(COUNTIF(AU31:BB31,"✓")/(COUNTIF(AU31:BB31,"✓")+COUNTIF(AU31:BB31,"x")))*0.1 +
(COUNTIF(BC31:BC31,"✓")/(COUNTIF(BC31:BC31,"✓")+COUNTIF(BC31:BC31,"x")))*0.05
)</f>
        <v>#DIV/0!</v>
      </c>
      <c r="BG31" s="132"/>
    </row>
    <row r="32" spans="2:59" s="101" customFormat="1" ht="43.5" customHeight="1" thickBot="1" x14ac:dyDescent="0.4">
      <c r="B32" s="95">
        <v>202</v>
      </c>
      <c r="C32" s="81">
        <v>1</v>
      </c>
      <c r="D32" s="82">
        <v>1</v>
      </c>
      <c r="E32" s="82">
        <v>1</v>
      </c>
      <c r="F32" s="83">
        <v>1</v>
      </c>
      <c r="G32" s="133">
        <f t="shared" si="10"/>
        <v>1</v>
      </c>
      <c r="H32" s="88">
        <v>1</v>
      </c>
      <c r="I32" s="86">
        <v>1</v>
      </c>
      <c r="J32" s="82">
        <v>1</v>
      </c>
      <c r="K32" s="89">
        <v>1</v>
      </c>
      <c r="L32" s="90">
        <f t="shared" si="11"/>
        <v>1</v>
      </c>
      <c r="M32" s="85">
        <v>1</v>
      </c>
      <c r="N32" s="86">
        <v>1</v>
      </c>
      <c r="O32" s="82">
        <v>0.95</v>
      </c>
      <c r="P32" s="87">
        <v>1</v>
      </c>
      <c r="Q32" s="88">
        <v>1</v>
      </c>
      <c r="R32" s="86">
        <v>1</v>
      </c>
      <c r="S32" s="82">
        <v>1</v>
      </c>
      <c r="T32" s="89">
        <v>1</v>
      </c>
      <c r="U32" s="88">
        <v>1</v>
      </c>
      <c r="V32" s="86">
        <v>1</v>
      </c>
      <c r="W32" s="82">
        <v>1</v>
      </c>
      <c r="X32" s="89">
        <v>1</v>
      </c>
      <c r="Y32" s="90">
        <f t="shared" si="12"/>
        <v>0.99750000000000005</v>
      </c>
      <c r="Z32" s="88">
        <v>0.5</v>
      </c>
      <c r="AA32" s="86">
        <v>0.5</v>
      </c>
      <c r="AB32" s="82">
        <v>0.5</v>
      </c>
      <c r="AC32" s="89">
        <v>0.5</v>
      </c>
      <c r="AD32" s="90">
        <f t="shared" si="13"/>
        <v>0.5</v>
      </c>
      <c r="AE32" s="88">
        <v>1</v>
      </c>
      <c r="AF32" s="86">
        <v>0.5</v>
      </c>
      <c r="AG32" s="82">
        <v>1</v>
      </c>
      <c r="AH32" s="87">
        <v>0</v>
      </c>
      <c r="AI32" s="84">
        <f t="shared" ref="AI32:AI46" si="19" xml:space="preserve"> AE32*5% + AF32*30% + AG32*35% + AH32*30%</f>
        <v>0.55000000000000004</v>
      </c>
      <c r="AJ32" s="97">
        <v>1</v>
      </c>
      <c r="AK32" s="98">
        <v>1</v>
      </c>
      <c r="AL32" s="99"/>
      <c r="AM32" s="88">
        <v>1</v>
      </c>
      <c r="AN32" s="86">
        <v>1</v>
      </c>
      <c r="AO32" s="82">
        <v>1</v>
      </c>
      <c r="AP32" s="89">
        <v>1</v>
      </c>
      <c r="AQ32" s="84">
        <f t="shared" si="14"/>
        <v>1</v>
      </c>
      <c r="AR32" s="88">
        <v>1</v>
      </c>
      <c r="AS32" s="86">
        <v>0</v>
      </c>
      <c r="AT32" s="82">
        <v>0</v>
      </c>
      <c r="AU32" s="89">
        <v>1</v>
      </c>
      <c r="AV32" s="84">
        <f t="shared" si="15"/>
        <v>0.55000000000000004</v>
      </c>
      <c r="AW32" s="87">
        <v>0.7</v>
      </c>
      <c r="AX32" s="87">
        <v>0.8</v>
      </c>
      <c r="AY32" s="87">
        <v>0</v>
      </c>
      <c r="AZ32" s="84">
        <f t="shared" si="16"/>
        <v>0.57000000000000006</v>
      </c>
      <c r="BA32" s="88">
        <v>0</v>
      </c>
      <c r="BB32" s="82">
        <v>0</v>
      </c>
      <c r="BC32" s="89">
        <v>0</v>
      </c>
      <c r="BD32" s="84">
        <f t="shared" si="17"/>
        <v>0</v>
      </c>
      <c r="BE32" s="135"/>
      <c r="BF32" s="92" t="e">
        <f t="shared" si="18"/>
        <v>#DIV/0!</v>
      </c>
      <c r="BG32" s="132"/>
    </row>
    <row r="33" spans="2:59" s="94" customFormat="1" ht="43.5" customHeight="1" thickBot="1" x14ac:dyDescent="0.4">
      <c r="B33" s="80">
        <v>203</v>
      </c>
      <c r="C33" s="81">
        <v>1</v>
      </c>
      <c r="D33" s="82">
        <v>1</v>
      </c>
      <c r="E33" s="82">
        <v>1</v>
      </c>
      <c r="F33" s="83">
        <v>1</v>
      </c>
      <c r="G33" s="133">
        <f t="shared" si="10"/>
        <v>1</v>
      </c>
      <c r="H33" s="88">
        <v>1</v>
      </c>
      <c r="I33" s="86">
        <v>1</v>
      </c>
      <c r="J33" s="82">
        <v>1</v>
      </c>
      <c r="K33" s="89">
        <v>1</v>
      </c>
      <c r="L33" s="90">
        <f t="shared" si="11"/>
        <v>1</v>
      </c>
      <c r="M33" s="85">
        <v>1</v>
      </c>
      <c r="N33" s="86">
        <v>1</v>
      </c>
      <c r="O33" s="82">
        <v>0.95</v>
      </c>
      <c r="P33" s="87">
        <v>1</v>
      </c>
      <c r="Q33" s="88">
        <v>1</v>
      </c>
      <c r="R33" s="86">
        <v>1</v>
      </c>
      <c r="S33" s="82">
        <v>1</v>
      </c>
      <c r="T33" s="89">
        <v>1</v>
      </c>
      <c r="U33" s="88">
        <v>1</v>
      </c>
      <c r="V33" s="86">
        <v>1</v>
      </c>
      <c r="W33" s="82">
        <v>1</v>
      </c>
      <c r="X33" s="89">
        <v>1</v>
      </c>
      <c r="Y33" s="90">
        <f t="shared" si="12"/>
        <v>0.99750000000000005</v>
      </c>
      <c r="Z33" s="88">
        <v>0.5</v>
      </c>
      <c r="AA33" s="86">
        <v>0.5</v>
      </c>
      <c r="AB33" s="82">
        <v>0.5</v>
      </c>
      <c r="AC33" s="89">
        <v>0.5</v>
      </c>
      <c r="AD33" s="90">
        <f t="shared" si="13"/>
        <v>0.5</v>
      </c>
      <c r="AE33" s="88">
        <v>1</v>
      </c>
      <c r="AF33" s="86">
        <v>0.5</v>
      </c>
      <c r="AG33" s="82">
        <v>0.7</v>
      </c>
      <c r="AH33" s="87">
        <v>0.5</v>
      </c>
      <c r="AI33" s="84">
        <f t="shared" si="19"/>
        <v>0.59499999999999997</v>
      </c>
      <c r="AJ33" s="97">
        <v>1</v>
      </c>
      <c r="AK33" s="98">
        <v>1</v>
      </c>
      <c r="AL33" s="99"/>
      <c r="AM33" s="88">
        <v>1</v>
      </c>
      <c r="AN33" s="86">
        <v>1</v>
      </c>
      <c r="AO33" s="82">
        <v>1</v>
      </c>
      <c r="AP33" s="89">
        <v>1</v>
      </c>
      <c r="AQ33" s="84">
        <f t="shared" si="14"/>
        <v>1</v>
      </c>
      <c r="AR33" s="88">
        <v>1</v>
      </c>
      <c r="AS33" s="86">
        <v>0</v>
      </c>
      <c r="AT33" s="82">
        <v>0</v>
      </c>
      <c r="AU33" s="89">
        <v>1</v>
      </c>
      <c r="AV33" s="84">
        <f t="shared" si="15"/>
        <v>0.55000000000000004</v>
      </c>
      <c r="AW33" s="87">
        <v>0.7</v>
      </c>
      <c r="AX33" s="87">
        <v>0.7</v>
      </c>
      <c r="AY33" s="87">
        <v>0</v>
      </c>
      <c r="AZ33" s="84">
        <f t="shared" si="16"/>
        <v>0.52500000000000002</v>
      </c>
      <c r="BA33" s="88">
        <v>0</v>
      </c>
      <c r="BB33" s="82">
        <v>0</v>
      </c>
      <c r="BC33" s="89">
        <v>0</v>
      </c>
      <c r="BD33" s="84">
        <f t="shared" si="17"/>
        <v>0</v>
      </c>
      <c r="BE33" s="135"/>
      <c r="BF33" s="92" t="e">
        <f t="shared" si="18"/>
        <v>#DIV/0!</v>
      </c>
      <c r="BG33" s="132"/>
    </row>
    <row r="34" spans="2:59" s="94" customFormat="1" ht="43.5" customHeight="1" thickBot="1" x14ac:dyDescent="0.4">
      <c r="B34" s="95">
        <v>204</v>
      </c>
      <c r="C34" s="81">
        <v>1</v>
      </c>
      <c r="D34" s="82">
        <v>1</v>
      </c>
      <c r="E34" s="82">
        <v>1</v>
      </c>
      <c r="F34" s="83">
        <v>1</v>
      </c>
      <c r="G34" s="133">
        <f t="shared" si="10"/>
        <v>1</v>
      </c>
      <c r="H34" s="88">
        <v>1</v>
      </c>
      <c r="I34" s="86">
        <v>1</v>
      </c>
      <c r="J34" s="82">
        <v>1</v>
      </c>
      <c r="K34" s="89">
        <v>1</v>
      </c>
      <c r="L34" s="90">
        <f t="shared" si="11"/>
        <v>1</v>
      </c>
      <c r="M34" s="85">
        <v>1</v>
      </c>
      <c r="N34" s="86">
        <v>1</v>
      </c>
      <c r="O34" s="82">
        <v>0.95</v>
      </c>
      <c r="P34" s="87">
        <v>1</v>
      </c>
      <c r="Q34" s="88">
        <v>1</v>
      </c>
      <c r="R34" s="86">
        <v>1</v>
      </c>
      <c r="S34" s="82">
        <v>1</v>
      </c>
      <c r="T34" s="89">
        <v>1</v>
      </c>
      <c r="U34" s="88">
        <v>1</v>
      </c>
      <c r="V34" s="86">
        <v>1</v>
      </c>
      <c r="W34" s="82">
        <v>1</v>
      </c>
      <c r="X34" s="89">
        <v>1</v>
      </c>
      <c r="Y34" s="90">
        <f t="shared" si="12"/>
        <v>0.99750000000000005</v>
      </c>
      <c r="Z34" s="88">
        <v>0.5</v>
      </c>
      <c r="AA34" s="86">
        <v>0.5</v>
      </c>
      <c r="AB34" s="82">
        <v>0.5</v>
      </c>
      <c r="AC34" s="89">
        <v>0.5</v>
      </c>
      <c r="AD34" s="90">
        <f t="shared" si="13"/>
        <v>0.5</v>
      </c>
      <c r="AE34" s="88">
        <v>1</v>
      </c>
      <c r="AF34" s="86">
        <v>1</v>
      </c>
      <c r="AG34" s="82">
        <v>1</v>
      </c>
      <c r="AH34" s="87">
        <v>0</v>
      </c>
      <c r="AI34" s="84">
        <f t="shared" si="19"/>
        <v>0.7</v>
      </c>
      <c r="AJ34" s="97">
        <v>1</v>
      </c>
      <c r="AK34" s="98">
        <v>1</v>
      </c>
      <c r="AL34" s="99"/>
      <c r="AM34" s="88">
        <v>1</v>
      </c>
      <c r="AN34" s="86">
        <v>1</v>
      </c>
      <c r="AO34" s="82">
        <v>1</v>
      </c>
      <c r="AP34" s="89">
        <v>1</v>
      </c>
      <c r="AQ34" s="84">
        <f t="shared" si="14"/>
        <v>1</v>
      </c>
      <c r="AR34" s="88">
        <v>1</v>
      </c>
      <c r="AS34" s="86">
        <v>0</v>
      </c>
      <c r="AT34" s="82">
        <v>0</v>
      </c>
      <c r="AU34" s="89">
        <v>1</v>
      </c>
      <c r="AV34" s="84">
        <f t="shared" si="15"/>
        <v>0.55000000000000004</v>
      </c>
      <c r="AW34" s="87">
        <v>0.7</v>
      </c>
      <c r="AX34" s="87">
        <v>0.7</v>
      </c>
      <c r="AY34" s="87">
        <v>0</v>
      </c>
      <c r="AZ34" s="84">
        <f t="shared" si="16"/>
        <v>0.52500000000000002</v>
      </c>
      <c r="BA34" s="88">
        <v>0</v>
      </c>
      <c r="BB34" s="82">
        <v>0</v>
      </c>
      <c r="BC34" s="89">
        <v>0</v>
      </c>
      <c r="BD34" s="84">
        <f t="shared" si="17"/>
        <v>0</v>
      </c>
      <c r="BE34" s="135"/>
      <c r="BF34" s="92" t="e">
        <f t="shared" si="18"/>
        <v>#DIV/0!</v>
      </c>
      <c r="BG34" s="102"/>
    </row>
    <row r="35" spans="2:59" s="94" customFormat="1" ht="43.5" customHeight="1" thickBot="1" x14ac:dyDescent="0.4">
      <c r="B35" s="80">
        <v>205</v>
      </c>
      <c r="C35" s="81">
        <v>1</v>
      </c>
      <c r="D35" s="82">
        <v>1</v>
      </c>
      <c r="E35" s="82">
        <v>1</v>
      </c>
      <c r="F35" s="83">
        <v>1</v>
      </c>
      <c r="G35" s="133">
        <f t="shared" si="10"/>
        <v>1</v>
      </c>
      <c r="H35" s="88">
        <v>1</v>
      </c>
      <c r="I35" s="86">
        <v>1</v>
      </c>
      <c r="J35" s="82">
        <v>1</v>
      </c>
      <c r="K35" s="89">
        <v>1</v>
      </c>
      <c r="L35" s="90">
        <f t="shared" si="11"/>
        <v>1</v>
      </c>
      <c r="M35" s="85">
        <v>1</v>
      </c>
      <c r="N35" s="86">
        <v>1</v>
      </c>
      <c r="O35" s="82">
        <v>0.95</v>
      </c>
      <c r="P35" s="87">
        <v>1</v>
      </c>
      <c r="Q35" s="88">
        <v>1</v>
      </c>
      <c r="R35" s="86">
        <v>1</v>
      </c>
      <c r="S35" s="82">
        <v>1</v>
      </c>
      <c r="T35" s="89">
        <v>1</v>
      </c>
      <c r="U35" s="88">
        <v>1</v>
      </c>
      <c r="V35" s="86">
        <v>1</v>
      </c>
      <c r="W35" s="82">
        <v>1</v>
      </c>
      <c r="X35" s="89">
        <v>1</v>
      </c>
      <c r="Y35" s="90">
        <f t="shared" si="12"/>
        <v>0.99750000000000005</v>
      </c>
      <c r="Z35" s="88">
        <v>0.5</v>
      </c>
      <c r="AA35" s="86">
        <v>0.5</v>
      </c>
      <c r="AB35" s="82">
        <v>0.5</v>
      </c>
      <c r="AC35" s="89">
        <v>0.5</v>
      </c>
      <c r="AD35" s="90">
        <f t="shared" si="13"/>
        <v>0.5</v>
      </c>
      <c r="AE35" s="88">
        <v>1</v>
      </c>
      <c r="AF35" s="86">
        <v>1</v>
      </c>
      <c r="AG35" s="82">
        <v>1</v>
      </c>
      <c r="AH35" s="87">
        <v>0.5</v>
      </c>
      <c r="AI35" s="84">
        <f t="shared" si="19"/>
        <v>0.85</v>
      </c>
      <c r="AJ35" s="97">
        <v>1</v>
      </c>
      <c r="AK35" s="98">
        <v>1</v>
      </c>
      <c r="AL35" s="99"/>
      <c r="AM35" s="88">
        <v>1</v>
      </c>
      <c r="AN35" s="86">
        <v>1</v>
      </c>
      <c r="AO35" s="82">
        <v>1</v>
      </c>
      <c r="AP35" s="89">
        <v>1</v>
      </c>
      <c r="AQ35" s="84">
        <f t="shared" si="14"/>
        <v>1</v>
      </c>
      <c r="AR35" s="88">
        <v>1</v>
      </c>
      <c r="AS35" s="86">
        <v>0</v>
      </c>
      <c r="AT35" s="82">
        <v>0</v>
      </c>
      <c r="AU35" s="89">
        <v>1</v>
      </c>
      <c r="AV35" s="84">
        <f t="shared" si="15"/>
        <v>0.55000000000000004</v>
      </c>
      <c r="AW35" s="87">
        <v>0.7</v>
      </c>
      <c r="AX35" s="87">
        <v>0.8</v>
      </c>
      <c r="AY35" s="87">
        <v>0</v>
      </c>
      <c r="AZ35" s="84">
        <f t="shared" si="16"/>
        <v>0.57000000000000006</v>
      </c>
      <c r="BA35" s="88">
        <v>0</v>
      </c>
      <c r="BB35" s="82">
        <v>0</v>
      </c>
      <c r="BC35" s="89">
        <v>0</v>
      </c>
      <c r="BD35" s="84">
        <f t="shared" si="17"/>
        <v>0</v>
      </c>
      <c r="BE35" s="135"/>
      <c r="BF35" s="92" t="e">
        <f t="shared" si="18"/>
        <v>#DIV/0!</v>
      </c>
      <c r="BG35" s="103"/>
    </row>
    <row r="36" spans="2:59" s="94" customFormat="1" ht="43.5" customHeight="1" thickBot="1" x14ac:dyDescent="0.4">
      <c r="B36" s="95">
        <v>206</v>
      </c>
      <c r="C36" s="81">
        <v>1</v>
      </c>
      <c r="D36" s="82">
        <v>1</v>
      </c>
      <c r="E36" s="82">
        <v>1</v>
      </c>
      <c r="F36" s="83">
        <v>1</v>
      </c>
      <c r="G36" s="133">
        <f t="shared" si="10"/>
        <v>1</v>
      </c>
      <c r="H36" s="88">
        <v>1</v>
      </c>
      <c r="I36" s="86">
        <v>1</v>
      </c>
      <c r="J36" s="82">
        <v>1</v>
      </c>
      <c r="K36" s="89">
        <v>1</v>
      </c>
      <c r="L36" s="90">
        <f t="shared" si="11"/>
        <v>1</v>
      </c>
      <c r="M36" s="85">
        <v>1</v>
      </c>
      <c r="N36" s="86">
        <v>1</v>
      </c>
      <c r="O36" s="82">
        <v>0.95</v>
      </c>
      <c r="P36" s="87">
        <v>1</v>
      </c>
      <c r="Q36" s="88">
        <v>1</v>
      </c>
      <c r="R36" s="86">
        <v>1</v>
      </c>
      <c r="S36" s="82">
        <v>1</v>
      </c>
      <c r="T36" s="89">
        <v>1</v>
      </c>
      <c r="U36" s="88">
        <v>1</v>
      </c>
      <c r="V36" s="86">
        <v>1</v>
      </c>
      <c r="W36" s="82">
        <v>1</v>
      </c>
      <c r="X36" s="89">
        <v>1</v>
      </c>
      <c r="Y36" s="90">
        <f t="shared" si="12"/>
        <v>0.99750000000000005</v>
      </c>
      <c r="Z36" s="88">
        <v>0.5</v>
      </c>
      <c r="AA36" s="86">
        <v>0.5</v>
      </c>
      <c r="AB36" s="82">
        <v>0.5</v>
      </c>
      <c r="AC36" s="89">
        <v>0.5</v>
      </c>
      <c r="AD36" s="90">
        <f t="shared" si="13"/>
        <v>0.5</v>
      </c>
      <c r="AE36" s="88">
        <v>1</v>
      </c>
      <c r="AF36" s="86">
        <v>1</v>
      </c>
      <c r="AG36" s="82">
        <v>1</v>
      </c>
      <c r="AH36" s="87">
        <v>1</v>
      </c>
      <c r="AI36" s="84">
        <f t="shared" si="19"/>
        <v>1</v>
      </c>
      <c r="AJ36" s="97">
        <v>1</v>
      </c>
      <c r="AK36" s="98">
        <v>1</v>
      </c>
      <c r="AL36" s="99"/>
      <c r="AM36" s="88">
        <v>1</v>
      </c>
      <c r="AN36" s="86">
        <v>1</v>
      </c>
      <c r="AO36" s="82">
        <v>1</v>
      </c>
      <c r="AP36" s="89">
        <v>1</v>
      </c>
      <c r="AQ36" s="84">
        <f t="shared" si="14"/>
        <v>1</v>
      </c>
      <c r="AR36" s="88">
        <v>1</v>
      </c>
      <c r="AS36" s="86">
        <v>0</v>
      </c>
      <c r="AT36" s="82">
        <v>0</v>
      </c>
      <c r="AU36" s="89">
        <v>1</v>
      </c>
      <c r="AV36" s="84">
        <f t="shared" si="15"/>
        <v>0.55000000000000004</v>
      </c>
      <c r="AW36" s="87">
        <v>0.7</v>
      </c>
      <c r="AX36" s="87">
        <v>0</v>
      </c>
      <c r="AY36" s="87">
        <v>0</v>
      </c>
      <c r="AZ36" s="84">
        <f t="shared" si="16"/>
        <v>0.21</v>
      </c>
      <c r="BA36" s="88">
        <v>0</v>
      </c>
      <c r="BB36" s="82">
        <v>0</v>
      </c>
      <c r="BC36" s="89">
        <v>0</v>
      </c>
      <c r="BD36" s="84">
        <f t="shared" si="17"/>
        <v>0</v>
      </c>
      <c r="BE36" s="135"/>
      <c r="BF36" s="92" t="e">
        <f t="shared" si="18"/>
        <v>#DIV/0!</v>
      </c>
      <c r="BG36" s="104"/>
    </row>
    <row r="37" spans="2:59" s="94" customFormat="1" ht="43.5" customHeight="1" thickBot="1" x14ac:dyDescent="0.4">
      <c r="B37" s="80">
        <v>207</v>
      </c>
      <c r="C37" s="81">
        <v>1</v>
      </c>
      <c r="D37" s="82">
        <v>1</v>
      </c>
      <c r="E37" s="82">
        <v>1</v>
      </c>
      <c r="F37" s="83">
        <v>1</v>
      </c>
      <c r="G37" s="133">
        <f t="shared" si="10"/>
        <v>1</v>
      </c>
      <c r="H37" s="88">
        <v>1</v>
      </c>
      <c r="I37" s="86">
        <v>1</v>
      </c>
      <c r="J37" s="82">
        <v>1</v>
      </c>
      <c r="K37" s="89">
        <v>1</v>
      </c>
      <c r="L37" s="90">
        <f t="shared" si="11"/>
        <v>1</v>
      </c>
      <c r="M37" s="85">
        <v>1</v>
      </c>
      <c r="N37" s="86">
        <v>1</v>
      </c>
      <c r="O37" s="82">
        <v>0.95</v>
      </c>
      <c r="P37" s="87">
        <v>1</v>
      </c>
      <c r="Q37" s="88">
        <v>1</v>
      </c>
      <c r="R37" s="86">
        <v>1</v>
      </c>
      <c r="S37" s="82">
        <v>1</v>
      </c>
      <c r="T37" s="89">
        <v>1</v>
      </c>
      <c r="U37" s="88">
        <v>1</v>
      </c>
      <c r="V37" s="86">
        <v>1</v>
      </c>
      <c r="W37" s="82">
        <v>1</v>
      </c>
      <c r="X37" s="89">
        <v>1</v>
      </c>
      <c r="Y37" s="90">
        <f t="shared" si="12"/>
        <v>0.99750000000000005</v>
      </c>
      <c r="Z37" s="88">
        <v>0.5</v>
      </c>
      <c r="AA37" s="86">
        <v>0.5</v>
      </c>
      <c r="AB37" s="82">
        <v>0.5</v>
      </c>
      <c r="AC37" s="89">
        <v>0.5</v>
      </c>
      <c r="AD37" s="90">
        <f t="shared" si="13"/>
        <v>0.5</v>
      </c>
      <c r="AE37" s="88">
        <v>0.9</v>
      </c>
      <c r="AF37" s="86">
        <v>0.7</v>
      </c>
      <c r="AG37" s="82">
        <v>1</v>
      </c>
      <c r="AH37" s="87">
        <v>1</v>
      </c>
      <c r="AI37" s="84">
        <f t="shared" si="19"/>
        <v>0.90500000000000003</v>
      </c>
      <c r="AJ37" s="97">
        <v>1</v>
      </c>
      <c r="AK37" s="98">
        <v>1</v>
      </c>
      <c r="AL37" s="99"/>
      <c r="AM37" s="88">
        <v>1</v>
      </c>
      <c r="AN37" s="86">
        <v>1</v>
      </c>
      <c r="AO37" s="82">
        <v>1</v>
      </c>
      <c r="AP37" s="89">
        <v>1</v>
      </c>
      <c r="AQ37" s="84">
        <f t="shared" si="14"/>
        <v>1</v>
      </c>
      <c r="AR37" s="88">
        <v>1</v>
      </c>
      <c r="AS37" s="86">
        <v>0</v>
      </c>
      <c r="AT37" s="82">
        <v>0</v>
      </c>
      <c r="AU37" s="89">
        <v>1</v>
      </c>
      <c r="AV37" s="84">
        <f t="shared" si="15"/>
        <v>0.55000000000000004</v>
      </c>
      <c r="AW37" s="87">
        <v>0.7</v>
      </c>
      <c r="AX37" s="87">
        <v>0</v>
      </c>
      <c r="AY37" s="87">
        <v>0</v>
      </c>
      <c r="AZ37" s="84">
        <f t="shared" si="16"/>
        <v>0.21</v>
      </c>
      <c r="BA37" s="88">
        <v>0</v>
      </c>
      <c r="BB37" s="82">
        <v>0</v>
      </c>
      <c r="BC37" s="89">
        <v>0</v>
      </c>
      <c r="BD37" s="84">
        <f t="shared" si="17"/>
        <v>0</v>
      </c>
      <c r="BE37" s="135"/>
      <c r="BF37" s="92" t="e">
        <f t="shared" si="18"/>
        <v>#DIV/0!</v>
      </c>
      <c r="BG37" s="103"/>
    </row>
    <row r="38" spans="2:59" s="94" customFormat="1" ht="43.5" customHeight="1" thickBot="1" x14ac:dyDescent="0.4">
      <c r="B38" s="95">
        <v>208</v>
      </c>
      <c r="C38" s="81">
        <v>1</v>
      </c>
      <c r="D38" s="82">
        <v>1</v>
      </c>
      <c r="E38" s="82">
        <v>1</v>
      </c>
      <c r="F38" s="83">
        <v>1</v>
      </c>
      <c r="G38" s="133">
        <f t="shared" si="10"/>
        <v>1</v>
      </c>
      <c r="H38" s="88">
        <v>1</v>
      </c>
      <c r="I38" s="86">
        <v>1</v>
      </c>
      <c r="J38" s="82">
        <v>1</v>
      </c>
      <c r="K38" s="89">
        <v>1</v>
      </c>
      <c r="L38" s="90">
        <f t="shared" si="11"/>
        <v>1</v>
      </c>
      <c r="M38" s="85">
        <v>1</v>
      </c>
      <c r="N38" s="86">
        <v>1</v>
      </c>
      <c r="O38" s="82">
        <v>0.95</v>
      </c>
      <c r="P38" s="87">
        <v>1</v>
      </c>
      <c r="Q38" s="88">
        <v>1</v>
      </c>
      <c r="R38" s="86">
        <v>1</v>
      </c>
      <c r="S38" s="82">
        <v>1</v>
      </c>
      <c r="T38" s="89">
        <v>1</v>
      </c>
      <c r="U38" s="88">
        <v>1</v>
      </c>
      <c r="V38" s="86">
        <v>1</v>
      </c>
      <c r="W38" s="82">
        <v>1</v>
      </c>
      <c r="X38" s="89">
        <v>1</v>
      </c>
      <c r="Y38" s="90">
        <f t="shared" si="12"/>
        <v>0.99750000000000005</v>
      </c>
      <c r="Z38" s="88">
        <v>0.5</v>
      </c>
      <c r="AA38" s="86">
        <v>0.5</v>
      </c>
      <c r="AB38" s="82">
        <v>0.5</v>
      </c>
      <c r="AC38" s="89">
        <v>0.5</v>
      </c>
      <c r="AD38" s="90">
        <f t="shared" si="13"/>
        <v>0.5</v>
      </c>
      <c r="AE38" s="88">
        <v>1</v>
      </c>
      <c r="AF38" s="86">
        <v>1</v>
      </c>
      <c r="AG38" s="82">
        <v>1</v>
      </c>
      <c r="AH38" s="87">
        <v>1</v>
      </c>
      <c r="AI38" s="84">
        <f t="shared" si="19"/>
        <v>1</v>
      </c>
      <c r="AJ38" s="97">
        <v>1</v>
      </c>
      <c r="AK38" s="98">
        <v>1</v>
      </c>
      <c r="AL38" s="99"/>
      <c r="AM38" s="88">
        <v>1</v>
      </c>
      <c r="AN38" s="86">
        <v>1</v>
      </c>
      <c r="AO38" s="82">
        <v>1</v>
      </c>
      <c r="AP38" s="89">
        <v>1</v>
      </c>
      <c r="AQ38" s="84">
        <f t="shared" si="14"/>
        <v>1</v>
      </c>
      <c r="AR38" s="88">
        <v>1</v>
      </c>
      <c r="AS38" s="86">
        <v>0</v>
      </c>
      <c r="AT38" s="82">
        <v>0</v>
      </c>
      <c r="AU38" s="89">
        <v>1</v>
      </c>
      <c r="AV38" s="84">
        <f t="shared" si="15"/>
        <v>0.55000000000000004</v>
      </c>
      <c r="AW38" s="87">
        <v>0.7</v>
      </c>
      <c r="AX38" s="87">
        <v>0</v>
      </c>
      <c r="AY38" s="87">
        <v>0</v>
      </c>
      <c r="AZ38" s="84">
        <f t="shared" si="16"/>
        <v>0.21</v>
      </c>
      <c r="BA38" s="88">
        <v>0</v>
      </c>
      <c r="BB38" s="82">
        <v>0</v>
      </c>
      <c r="BC38" s="89">
        <v>0</v>
      </c>
      <c r="BD38" s="84">
        <f t="shared" si="17"/>
        <v>0</v>
      </c>
      <c r="BE38" s="135"/>
      <c r="BF38" s="92" t="e">
        <f t="shared" si="18"/>
        <v>#DIV/0!</v>
      </c>
      <c r="BG38" s="104"/>
    </row>
    <row r="39" spans="2:59" s="94" customFormat="1" ht="43.5" customHeight="1" thickBot="1" x14ac:dyDescent="0.4">
      <c r="B39" s="80">
        <v>209</v>
      </c>
      <c r="C39" s="81">
        <v>1</v>
      </c>
      <c r="D39" s="82">
        <v>1</v>
      </c>
      <c r="E39" s="82">
        <v>1</v>
      </c>
      <c r="F39" s="83">
        <v>1</v>
      </c>
      <c r="G39" s="133">
        <f t="shared" si="10"/>
        <v>1</v>
      </c>
      <c r="H39" s="88">
        <v>1</v>
      </c>
      <c r="I39" s="86">
        <v>1</v>
      </c>
      <c r="J39" s="82">
        <v>1</v>
      </c>
      <c r="K39" s="89">
        <v>1</v>
      </c>
      <c r="L39" s="90">
        <f t="shared" si="11"/>
        <v>1</v>
      </c>
      <c r="M39" s="85">
        <v>1</v>
      </c>
      <c r="N39" s="86">
        <v>1</v>
      </c>
      <c r="O39" s="82">
        <v>0.95</v>
      </c>
      <c r="P39" s="87">
        <v>1</v>
      </c>
      <c r="Q39" s="88">
        <v>1</v>
      </c>
      <c r="R39" s="86">
        <v>1</v>
      </c>
      <c r="S39" s="82">
        <v>1</v>
      </c>
      <c r="T39" s="89">
        <v>1</v>
      </c>
      <c r="U39" s="88">
        <v>1</v>
      </c>
      <c r="V39" s="86">
        <v>1</v>
      </c>
      <c r="W39" s="82">
        <v>1</v>
      </c>
      <c r="X39" s="89">
        <v>1</v>
      </c>
      <c r="Y39" s="90">
        <f t="shared" si="12"/>
        <v>0.99750000000000005</v>
      </c>
      <c r="Z39" s="88">
        <v>0.5</v>
      </c>
      <c r="AA39" s="86">
        <v>0.5</v>
      </c>
      <c r="AB39" s="82">
        <v>0.5</v>
      </c>
      <c r="AC39" s="89">
        <v>0.5</v>
      </c>
      <c r="AD39" s="90">
        <f t="shared" si="13"/>
        <v>0.5</v>
      </c>
      <c r="AE39" s="88">
        <v>1</v>
      </c>
      <c r="AF39" s="86">
        <v>0.7</v>
      </c>
      <c r="AG39" s="82">
        <v>1</v>
      </c>
      <c r="AH39" s="87">
        <v>1</v>
      </c>
      <c r="AI39" s="84">
        <f t="shared" si="19"/>
        <v>0.90999999999999992</v>
      </c>
      <c r="AJ39" s="97">
        <v>1</v>
      </c>
      <c r="AK39" s="98">
        <v>1</v>
      </c>
      <c r="AL39" s="99"/>
      <c r="AM39" s="88">
        <v>1</v>
      </c>
      <c r="AN39" s="86">
        <v>1</v>
      </c>
      <c r="AO39" s="82">
        <v>1</v>
      </c>
      <c r="AP39" s="89">
        <v>1</v>
      </c>
      <c r="AQ39" s="84">
        <f t="shared" si="14"/>
        <v>1</v>
      </c>
      <c r="AR39" s="88">
        <v>1</v>
      </c>
      <c r="AS39" s="86">
        <v>0</v>
      </c>
      <c r="AT39" s="82">
        <v>0</v>
      </c>
      <c r="AU39" s="89">
        <v>1</v>
      </c>
      <c r="AV39" s="84">
        <f t="shared" si="15"/>
        <v>0.55000000000000004</v>
      </c>
      <c r="AW39" s="87">
        <v>0.7</v>
      </c>
      <c r="AX39" s="87">
        <v>0</v>
      </c>
      <c r="AY39" s="87">
        <v>0</v>
      </c>
      <c r="AZ39" s="84">
        <f t="shared" si="16"/>
        <v>0.21</v>
      </c>
      <c r="BA39" s="88">
        <v>0</v>
      </c>
      <c r="BB39" s="82">
        <v>0</v>
      </c>
      <c r="BC39" s="89">
        <v>0</v>
      </c>
      <c r="BD39" s="84">
        <f t="shared" si="17"/>
        <v>0</v>
      </c>
      <c r="BE39" s="135"/>
      <c r="BF39" s="92" t="e">
        <f t="shared" si="18"/>
        <v>#DIV/0!</v>
      </c>
      <c r="BG39" s="103"/>
    </row>
    <row r="40" spans="2:59" s="94" customFormat="1" ht="43.5" customHeight="1" thickBot="1" x14ac:dyDescent="0.4">
      <c r="B40" s="95">
        <v>210</v>
      </c>
      <c r="C40" s="81">
        <v>1</v>
      </c>
      <c r="D40" s="82">
        <v>1</v>
      </c>
      <c r="E40" s="82">
        <v>1</v>
      </c>
      <c r="F40" s="83">
        <v>1</v>
      </c>
      <c r="G40" s="133">
        <f t="shared" si="10"/>
        <v>1</v>
      </c>
      <c r="H40" s="88">
        <v>1</v>
      </c>
      <c r="I40" s="86">
        <v>1</v>
      </c>
      <c r="J40" s="82">
        <v>1</v>
      </c>
      <c r="K40" s="89">
        <v>1</v>
      </c>
      <c r="L40" s="90">
        <f t="shared" si="11"/>
        <v>1</v>
      </c>
      <c r="M40" s="85">
        <v>1</v>
      </c>
      <c r="N40" s="86">
        <v>1</v>
      </c>
      <c r="O40" s="82">
        <v>0.95</v>
      </c>
      <c r="P40" s="87">
        <v>1</v>
      </c>
      <c r="Q40" s="88">
        <v>1</v>
      </c>
      <c r="R40" s="86">
        <v>1</v>
      </c>
      <c r="S40" s="82">
        <v>1</v>
      </c>
      <c r="T40" s="89">
        <v>1</v>
      </c>
      <c r="U40" s="88">
        <v>1</v>
      </c>
      <c r="V40" s="86">
        <v>1</v>
      </c>
      <c r="W40" s="82">
        <v>1</v>
      </c>
      <c r="X40" s="89">
        <v>1</v>
      </c>
      <c r="Y40" s="90">
        <f t="shared" si="12"/>
        <v>0.99750000000000005</v>
      </c>
      <c r="Z40" s="88">
        <v>0.5</v>
      </c>
      <c r="AA40" s="86">
        <v>0.5</v>
      </c>
      <c r="AB40" s="82">
        <v>0.5</v>
      </c>
      <c r="AC40" s="89">
        <v>0.5</v>
      </c>
      <c r="AD40" s="90">
        <f t="shared" si="13"/>
        <v>0.5</v>
      </c>
      <c r="AE40" s="88">
        <v>1</v>
      </c>
      <c r="AF40" s="86">
        <v>1</v>
      </c>
      <c r="AG40" s="82">
        <v>1</v>
      </c>
      <c r="AH40" s="87">
        <v>1</v>
      </c>
      <c r="AI40" s="84">
        <f t="shared" si="19"/>
        <v>1</v>
      </c>
      <c r="AJ40" s="97">
        <v>1</v>
      </c>
      <c r="AK40" s="98">
        <v>1</v>
      </c>
      <c r="AL40" s="99"/>
      <c r="AM40" s="88">
        <v>1</v>
      </c>
      <c r="AN40" s="86">
        <v>1</v>
      </c>
      <c r="AO40" s="82">
        <v>1</v>
      </c>
      <c r="AP40" s="89">
        <v>1</v>
      </c>
      <c r="AQ40" s="84">
        <f t="shared" si="14"/>
        <v>1</v>
      </c>
      <c r="AR40" s="88">
        <v>1</v>
      </c>
      <c r="AS40" s="86">
        <v>0</v>
      </c>
      <c r="AT40" s="82">
        <v>0</v>
      </c>
      <c r="AU40" s="89">
        <v>1</v>
      </c>
      <c r="AV40" s="84">
        <f t="shared" si="15"/>
        <v>0.55000000000000004</v>
      </c>
      <c r="AW40" s="87">
        <v>0.7</v>
      </c>
      <c r="AX40" s="87">
        <v>0</v>
      </c>
      <c r="AY40" s="87">
        <v>0</v>
      </c>
      <c r="AZ40" s="84">
        <f t="shared" si="16"/>
        <v>0.21</v>
      </c>
      <c r="BA40" s="88">
        <v>0</v>
      </c>
      <c r="BB40" s="82">
        <v>0</v>
      </c>
      <c r="BC40" s="89">
        <v>0</v>
      </c>
      <c r="BD40" s="84">
        <f t="shared" si="17"/>
        <v>0</v>
      </c>
      <c r="BE40" s="135"/>
      <c r="BF40" s="92" t="e">
        <f t="shared" si="18"/>
        <v>#DIV/0!</v>
      </c>
      <c r="BG40" s="103"/>
    </row>
    <row r="41" spans="2:59" s="94" customFormat="1" ht="43.5" customHeight="1" thickBot="1" x14ac:dyDescent="0.4">
      <c r="B41" s="80">
        <v>211</v>
      </c>
      <c r="C41" s="81">
        <v>1</v>
      </c>
      <c r="D41" s="82">
        <v>1</v>
      </c>
      <c r="E41" s="82">
        <v>1</v>
      </c>
      <c r="F41" s="83">
        <v>1</v>
      </c>
      <c r="G41" s="133">
        <f t="shared" si="10"/>
        <v>1</v>
      </c>
      <c r="H41" s="88">
        <v>1</v>
      </c>
      <c r="I41" s="86">
        <v>1</v>
      </c>
      <c r="J41" s="82">
        <v>1</v>
      </c>
      <c r="K41" s="89">
        <v>1</v>
      </c>
      <c r="L41" s="90">
        <f t="shared" si="11"/>
        <v>1</v>
      </c>
      <c r="M41" s="85">
        <v>1</v>
      </c>
      <c r="N41" s="86">
        <v>1</v>
      </c>
      <c r="O41" s="82">
        <v>0.95</v>
      </c>
      <c r="P41" s="87">
        <v>1</v>
      </c>
      <c r="Q41" s="88">
        <v>1</v>
      </c>
      <c r="R41" s="86">
        <v>1</v>
      </c>
      <c r="S41" s="82">
        <v>1</v>
      </c>
      <c r="T41" s="89">
        <v>1</v>
      </c>
      <c r="U41" s="88">
        <v>1</v>
      </c>
      <c r="V41" s="86">
        <v>1</v>
      </c>
      <c r="W41" s="82">
        <v>1</v>
      </c>
      <c r="X41" s="89">
        <v>1</v>
      </c>
      <c r="Y41" s="90">
        <f t="shared" si="12"/>
        <v>0.99750000000000005</v>
      </c>
      <c r="Z41" s="88">
        <v>0.5</v>
      </c>
      <c r="AA41" s="86">
        <v>0.5</v>
      </c>
      <c r="AB41" s="82">
        <v>0.5</v>
      </c>
      <c r="AC41" s="89">
        <v>0.5</v>
      </c>
      <c r="AD41" s="90">
        <f t="shared" si="13"/>
        <v>0.5</v>
      </c>
      <c r="AE41" s="88">
        <v>1</v>
      </c>
      <c r="AF41" s="86">
        <v>0.7</v>
      </c>
      <c r="AG41" s="82">
        <v>1</v>
      </c>
      <c r="AH41" s="87">
        <v>0.7</v>
      </c>
      <c r="AI41" s="84">
        <f t="shared" si="19"/>
        <v>0.82</v>
      </c>
      <c r="AJ41" s="97">
        <v>1</v>
      </c>
      <c r="AK41" s="98">
        <v>1</v>
      </c>
      <c r="AL41" s="99"/>
      <c r="AM41" s="88">
        <v>1</v>
      </c>
      <c r="AN41" s="86">
        <v>1</v>
      </c>
      <c r="AO41" s="82">
        <v>1</v>
      </c>
      <c r="AP41" s="89">
        <v>1</v>
      </c>
      <c r="AQ41" s="84">
        <f t="shared" si="14"/>
        <v>1</v>
      </c>
      <c r="AR41" s="88">
        <v>1</v>
      </c>
      <c r="AS41" s="86">
        <v>0</v>
      </c>
      <c r="AT41" s="82">
        <v>0</v>
      </c>
      <c r="AU41" s="89">
        <v>1</v>
      </c>
      <c r="AV41" s="84">
        <f t="shared" si="15"/>
        <v>0.55000000000000004</v>
      </c>
      <c r="AW41" s="87">
        <v>0.7</v>
      </c>
      <c r="AX41" s="87">
        <v>0</v>
      </c>
      <c r="AY41" s="87">
        <v>0</v>
      </c>
      <c r="AZ41" s="84">
        <f t="shared" si="16"/>
        <v>0.21</v>
      </c>
      <c r="BA41" s="88">
        <v>0</v>
      </c>
      <c r="BB41" s="82">
        <v>0</v>
      </c>
      <c r="BC41" s="89">
        <v>0</v>
      </c>
      <c r="BD41" s="84">
        <f t="shared" si="17"/>
        <v>0</v>
      </c>
      <c r="BE41" s="135"/>
      <c r="BF41" s="92" t="e">
        <f t="shared" si="18"/>
        <v>#DIV/0!</v>
      </c>
      <c r="BG41" s="102"/>
    </row>
    <row r="42" spans="2:59" s="94" customFormat="1" ht="43.5" customHeight="1" thickBot="1" x14ac:dyDescent="0.4">
      <c r="B42" s="95">
        <v>212</v>
      </c>
      <c r="C42" s="81">
        <v>1</v>
      </c>
      <c r="D42" s="82">
        <v>1</v>
      </c>
      <c r="E42" s="82">
        <v>1</v>
      </c>
      <c r="F42" s="83">
        <v>1</v>
      </c>
      <c r="G42" s="133">
        <f t="shared" si="10"/>
        <v>1</v>
      </c>
      <c r="H42" s="88">
        <v>1</v>
      </c>
      <c r="I42" s="86">
        <v>1</v>
      </c>
      <c r="J42" s="82">
        <v>1</v>
      </c>
      <c r="K42" s="89">
        <v>1</v>
      </c>
      <c r="L42" s="90">
        <f t="shared" si="11"/>
        <v>1</v>
      </c>
      <c r="M42" s="85">
        <v>1</v>
      </c>
      <c r="N42" s="86">
        <v>1</v>
      </c>
      <c r="O42" s="82">
        <v>0.95</v>
      </c>
      <c r="P42" s="87">
        <v>1</v>
      </c>
      <c r="Q42" s="88">
        <v>1</v>
      </c>
      <c r="R42" s="86">
        <v>1</v>
      </c>
      <c r="S42" s="82">
        <v>1</v>
      </c>
      <c r="T42" s="89">
        <v>1</v>
      </c>
      <c r="U42" s="88">
        <v>1</v>
      </c>
      <c r="V42" s="86">
        <v>1</v>
      </c>
      <c r="W42" s="82">
        <v>1</v>
      </c>
      <c r="X42" s="89">
        <v>1</v>
      </c>
      <c r="Y42" s="90">
        <f t="shared" si="12"/>
        <v>0.99750000000000005</v>
      </c>
      <c r="Z42" s="88">
        <v>0.5</v>
      </c>
      <c r="AA42" s="86">
        <v>0.5</v>
      </c>
      <c r="AB42" s="82">
        <v>0.5</v>
      </c>
      <c r="AC42" s="89">
        <v>0.5</v>
      </c>
      <c r="AD42" s="90">
        <f t="shared" si="13"/>
        <v>0.5</v>
      </c>
      <c r="AE42" s="88">
        <v>1</v>
      </c>
      <c r="AF42" s="86">
        <v>1</v>
      </c>
      <c r="AG42" s="82">
        <v>1</v>
      </c>
      <c r="AH42" s="87">
        <v>1</v>
      </c>
      <c r="AI42" s="84">
        <f t="shared" si="19"/>
        <v>1</v>
      </c>
      <c r="AJ42" s="97">
        <v>1</v>
      </c>
      <c r="AK42" s="98">
        <v>1</v>
      </c>
      <c r="AL42" s="99"/>
      <c r="AM42" s="88">
        <v>1</v>
      </c>
      <c r="AN42" s="86">
        <v>1</v>
      </c>
      <c r="AO42" s="82">
        <v>1</v>
      </c>
      <c r="AP42" s="89">
        <v>1</v>
      </c>
      <c r="AQ42" s="84">
        <f t="shared" si="14"/>
        <v>1</v>
      </c>
      <c r="AR42" s="88">
        <v>1</v>
      </c>
      <c r="AS42" s="86">
        <v>0</v>
      </c>
      <c r="AT42" s="82">
        <v>0</v>
      </c>
      <c r="AU42" s="89">
        <v>1</v>
      </c>
      <c r="AV42" s="84">
        <f t="shared" si="15"/>
        <v>0.55000000000000004</v>
      </c>
      <c r="AW42" s="87">
        <v>0.7</v>
      </c>
      <c r="AX42" s="87">
        <v>0</v>
      </c>
      <c r="AY42" s="87">
        <v>0</v>
      </c>
      <c r="AZ42" s="84">
        <f t="shared" si="16"/>
        <v>0.21</v>
      </c>
      <c r="BA42" s="88">
        <v>0</v>
      </c>
      <c r="BB42" s="82">
        <v>0</v>
      </c>
      <c r="BC42" s="89">
        <v>0</v>
      </c>
      <c r="BD42" s="84">
        <f t="shared" si="17"/>
        <v>0</v>
      </c>
      <c r="BE42" s="135"/>
      <c r="BF42" s="92" t="e">
        <f t="shared" si="18"/>
        <v>#DIV/0!</v>
      </c>
      <c r="BG42" s="102"/>
    </row>
    <row r="43" spans="2:59" s="94" customFormat="1" ht="43.5" customHeight="1" thickBot="1" x14ac:dyDescent="0.4">
      <c r="B43" s="80">
        <v>213</v>
      </c>
      <c r="C43" s="81">
        <v>1</v>
      </c>
      <c r="D43" s="82">
        <v>1</v>
      </c>
      <c r="E43" s="82">
        <v>1</v>
      </c>
      <c r="F43" s="83">
        <v>1</v>
      </c>
      <c r="G43" s="133">
        <f t="shared" si="10"/>
        <v>1</v>
      </c>
      <c r="H43" s="88">
        <v>1</v>
      </c>
      <c r="I43" s="86">
        <v>1</v>
      </c>
      <c r="J43" s="82">
        <v>1</v>
      </c>
      <c r="K43" s="89">
        <v>1</v>
      </c>
      <c r="L43" s="90">
        <f t="shared" si="11"/>
        <v>1</v>
      </c>
      <c r="M43" s="85">
        <v>1</v>
      </c>
      <c r="N43" s="86">
        <v>1</v>
      </c>
      <c r="O43" s="82">
        <v>0.95</v>
      </c>
      <c r="P43" s="87">
        <v>1</v>
      </c>
      <c r="Q43" s="88">
        <v>1</v>
      </c>
      <c r="R43" s="86">
        <v>1</v>
      </c>
      <c r="S43" s="82">
        <v>1</v>
      </c>
      <c r="T43" s="89">
        <v>1</v>
      </c>
      <c r="U43" s="88">
        <v>1</v>
      </c>
      <c r="V43" s="86">
        <v>1</v>
      </c>
      <c r="W43" s="82">
        <v>1</v>
      </c>
      <c r="X43" s="89">
        <v>1</v>
      </c>
      <c r="Y43" s="90">
        <f t="shared" si="12"/>
        <v>0.99750000000000005</v>
      </c>
      <c r="Z43" s="88">
        <v>0.5</v>
      </c>
      <c r="AA43" s="86">
        <v>0.5</v>
      </c>
      <c r="AB43" s="82">
        <v>0.5</v>
      </c>
      <c r="AC43" s="89">
        <v>0.5</v>
      </c>
      <c r="AD43" s="90">
        <f t="shared" si="13"/>
        <v>0.5</v>
      </c>
      <c r="AE43" s="88">
        <v>1</v>
      </c>
      <c r="AF43" s="86">
        <v>1</v>
      </c>
      <c r="AG43" s="82">
        <v>1</v>
      </c>
      <c r="AH43" s="87">
        <v>1</v>
      </c>
      <c r="AI43" s="84">
        <f t="shared" si="19"/>
        <v>1</v>
      </c>
      <c r="AJ43" s="97">
        <v>1</v>
      </c>
      <c r="AK43" s="98">
        <v>1</v>
      </c>
      <c r="AL43" s="99"/>
      <c r="AM43" s="88">
        <v>0</v>
      </c>
      <c r="AN43" s="86">
        <v>1</v>
      </c>
      <c r="AO43" s="82">
        <v>1</v>
      </c>
      <c r="AP43" s="89">
        <v>1</v>
      </c>
      <c r="AQ43" s="84">
        <f t="shared" si="14"/>
        <v>0.85</v>
      </c>
      <c r="AR43" s="88">
        <v>1</v>
      </c>
      <c r="AS43" s="86">
        <v>0</v>
      </c>
      <c r="AT43" s="82">
        <v>0</v>
      </c>
      <c r="AU43" s="89">
        <v>1</v>
      </c>
      <c r="AV43" s="84">
        <f t="shared" si="15"/>
        <v>0.55000000000000004</v>
      </c>
      <c r="AW43" s="87">
        <v>0.7</v>
      </c>
      <c r="AX43" s="87">
        <v>0</v>
      </c>
      <c r="AY43" s="87">
        <v>0</v>
      </c>
      <c r="AZ43" s="84">
        <f t="shared" si="16"/>
        <v>0.21</v>
      </c>
      <c r="BA43" s="88">
        <v>0</v>
      </c>
      <c r="BB43" s="82">
        <v>0</v>
      </c>
      <c r="BC43" s="89">
        <v>0</v>
      </c>
      <c r="BD43" s="84">
        <f t="shared" si="17"/>
        <v>0</v>
      </c>
      <c r="BE43" s="135"/>
      <c r="BF43" s="92" t="e">
        <f t="shared" si="18"/>
        <v>#DIV/0!</v>
      </c>
      <c r="BG43" s="105"/>
    </row>
    <row r="44" spans="2:59" s="94" customFormat="1" ht="43.5" customHeight="1" thickBot="1" x14ac:dyDescent="0.4">
      <c r="B44" s="95">
        <v>214</v>
      </c>
      <c r="C44" s="81">
        <v>1</v>
      </c>
      <c r="D44" s="82">
        <v>1</v>
      </c>
      <c r="E44" s="82">
        <v>1</v>
      </c>
      <c r="F44" s="83">
        <v>1</v>
      </c>
      <c r="G44" s="133">
        <f t="shared" si="10"/>
        <v>1</v>
      </c>
      <c r="H44" s="88">
        <v>1</v>
      </c>
      <c r="I44" s="86">
        <v>1</v>
      </c>
      <c r="J44" s="82">
        <v>1</v>
      </c>
      <c r="K44" s="89">
        <v>1</v>
      </c>
      <c r="L44" s="90">
        <f t="shared" si="11"/>
        <v>1</v>
      </c>
      <c r="M44" s="85">
        <v>1</v>
      </c>
      <c r="N44" s="86">
        <v>1</v>
      </c>
      <c r="O44" s="82">
        <v>0.95</v>
      </c>
      <c r="P44" s="87">
        <v>1</v>
      </c>
      <c r="Q44" s="88">
        <v>1</v>
      </c>
      <c r="R44" s="86">
        <v>1</v>
      </c>
      <c r="S44" s="82">
        <v>1</v>
      </c>
      <c r="T44" s="89">
        <v>1</v>
      </c>
      <c r="U44" s="88">
        <v>1</v>
      </c>
      <c r="V44" s="86">
        <v>1</v>
      </c>
      <c r="W44" s="82">
        <v>1</v>
      </c>
      <c r="X44" s="89">
        <v>1</v>
      </c>
      <c r="Y44" s="90">
        <f t="shared" si="12"/>
        <v>0.99750000000000005</v>
      </c>
      <c r="Z44" s="88">
        <v>0.5</v>
      </c>
      <c r="AA44" s="86">
        <v>0.5</v>
      </c>
      <c r="AB44" s="82">
        <v>0.5</v>
      </c>
      <c r="AC44" s="89">
        <v>0.5</v>
      </c>
      <c r="AD44" s="90">
        <f t="shared" si="13"/>
        <v>0.5</v>
      </c>
      <c r="AE44" s="88">
        <v>1</v>
      </c>
      <c r="AF44" s="86">
        <v>1</v>
      </c>
      <c r="AG44" s="82">
        <v>1</v>
      </c>
      <c r="AH44" s="87">
        <v>1</v>
      </c>
      <c r="AI44" s="84">
        <f t="shared" si="19"/>
        <v>1</v>
      </c>
      <c r="AJ44" s="97">
        <v>1</v>
      </c>
      <c r="AK44" s="98">
        <v>1</v>
      </c>
      <c r="AL44" s="99"/>
      <c r="AM44" s="88">
        <v>1</v>
      </c>
      <c r="AN44" s="86">
        <v>1</v>
      </c>
      <c r="AO44" s="82">
        <v>1</v>
      </c>
      <c r="AP44" s="89">
        <v>1</v>
      </c>
      <c r="AQ44" s="84">
        <f t="shared" si="14"/>
        <v>1</v>
      </c>
      <c r="AR44" s="88">
        <v>1</v>
      </c>
      <c r="AS44" s="86">
        <v>0</v>
      </c>
      <c r="AT44" s="82">
        <v>0</v>
      </c>
      <c r="AU44" s="89">
        <v>1</v>
      </c>
      <c r="AV44" s="84">
        <f t="shared" si="15"/>
        <v>0.55000000000000004</v>
      </c>
      <c r="AW44" s="87">
        <v>0.7</v>
      </c>
      <c r="AX44" s="87"/>
      <c r="AY44" s="87">
        <v>0</v>
      </c>
      <c r="AZ44" s="84">
        <f t="shared" si="16"/>
        <v>0.21</v>
      </c>
      <c r="BA44" s="88">
        <v>0</v>
      </c>
      <c r="BB44" s="82">
        <v>0</v>
      </c>
      <c r="BC44" s="89">
        <v>0</v>
      </c>
      <c r="BD44" s="84">
        <f t="shared" si="17"/>
        <v>0</v>
      </c>
      <c r="BE44" s="135"/>
      <c r="BF44" s="92" t="e">
        <f t="shared" si="18"/>
        <v>#DIV/0!</v>
      </c>
      <c r="BG44" s="103"/>
    </row>
    <row r="45" spans="2:59" s="94" customFormat="1" ht="43.5" customHeight="1" thickBot="1" x14ac:dyDescent="0.4">
      <c r="B45" s="80">
        <v>215</v>
      </c>
      <c r="C45" s="81">
        <v>1</v>
      </c>
      <c r="D45" s="82">
        <v>1</v>
      </c>
      <c r="E45" s="82">
        <v>1</v>
      </c>
      <c r="F45" s="83">
        <v>1</v>
      </c>
      <c r="G45" s="133">
        <f t="shared" si="10"/>
        <v>1</v>
      </c>
      <c r="H45" s="88">
        <v>1</v>
      </c>
      <c r="I45" s="86">
        <v>1</v>
      </c>
      <c r="J45" s="82">
        <v>1</v>
      </c>
      <c r="K45" s="89">
        <v>1</v>
      </c>
      <c r="L45" s="90">
        <f t="shared" si="11"/>
        <v>1</v>
      </c>
      <c r="M45" s="85">
        <v>1</v>
      </c>
      <c r="N45" s="86">
        <v>1</v>
      </c>
      <c r="O45" s="82">
        <v>0.95</v>
      </c>
      <c r="P45" s="87">
        <v>1</v>
      </c>
      <c r="Q45" s="88">
        <v>1</v>
      </c>
      <c r="R45" s="86">
        <v>1</v>
      </c>
      <c r="S45" s="82">
        <v>1</v>
      </c>
      <c r="T45" s="89">
        <v>1</v>
      </c>
      <c r="U45" s="88">
        <v>1</v>
      </c>
      <c r="V45" s="86">
        <v>1</v>
      </c>
      <c r="W45" s="82">
        <v>1</v>
      </c>
      <c r="X45" s="89">
        <v>1</v>
      </c>
      <c r="Y45" s="90">
        <f t="shared" si="12"/>
        <v>0.99750000000000005</v>
      </c>
      <c r="Z45" s="88">
        <v>0.5</v>
      </c>
      <c r="AA45" s="86">
        <v>0.5</v>
      </c>
      <c r="AB45" s="82">
        <v>0.5</v>
      </c>
      <c r="AC45" s="89">
        <v>0.5</v>
      </c>
      <c r="AD45" s="90">
        <f t="shared" si="13"/>
        <v>0.5</v>
      </c>
      <c r="AE45" s="88">
        <v>0.7</v>
      </c>
      <c r="AF45" s="86">
        <v>0</v>
      </c>
      <c r="AG45" s="82">
        <v>1</v>
      </c>
      <c r="AH45" s="87">
        <v>1</v>
      </c>
      <c r="AI45" s="84">
        <f t="shared" si="19"/>
        <v>0.68499999999999994</v>
      </c>
      <c r="AJ45" s="97">
        <v>1</v>
      </c>
      <c r="AK45" s="98">
        <v>1</v>
      </c>
      <c r="AL45" s="99"/>
      <c r="AM45" s="88">
        <v>1</v>
      </c>
      <c r="AN45" s="86">
        <v>1</v>
      </c>
      <c r="AO45" s="82">
        <v>1</v>
      </c>
      <c r="AP45" s="89">
        <v>1</v>
      </c>
      <c r="AQ45" s="84">
        <f t="shared" si="14"/>
        <v>1</v>
      </c>
      <c r="AR45" s="88">
        <v>1</v>
      </c>
      <c r="AS45" s="86">
        <v>0</v>
      </c>
      <c r="AT45" s="82">
        <v>0</v>
      </c>
      <c r="AU45" s="89">
        <v>1</v>
      </c>
      <c r="AV45" s="84">
        <f t="shared" si="15"/>
        <v>0.55000000000000004</v>
      </c>
      <c r="AW45" s="87">
        <v>0.7</v>
      </c>
      <c r="AX45" s="87"/>
      <c r="AY45" s="87">
        <v>0</v>
      </c>
      <c r="AZ45" s="84">
        <f t="shared" si="16"/>
        <v>0.21</v>
      </c>
      <c r="BA45" s="88">
        <v>0</v>
      </c>
      <c r="BB45" s="82">
        <v>0</v>
      </c>
      <c r="BC45" s="89">
        <v>0</v>
      </c>
      <c r="BD45" s="84">
        <f t="shared" si="17"/>
        <v>0</v>
      </c>
      <c r="BE45" s="135"/>
      <c r="BF45" s="92" t="e">
        <f t="shared" si="18"/>
        <v>#DIV/0!</v>
      </c>
      <c r="BG45" s="103"/>
    </row>
    <row r="46" spans="2:59" s="94" customFormat="1" ht="43.5" customHeight="1" thickBot="1" x14ac:dyDescent="0.4">
      <c r="B46" s="136">
        <v>216</v>
      </c>
      <c r="C46" s="137">
        <v>1</v>
      </c>
      <c r="D46" s="110">
        <v>1</v>
      </c>
      <c r="E46" s="110">
        <v>1</v>
      </c>
      <c r="F46" s="138">
        <v>1</v>
      </c>
      <c r="G46" s="133">
        <f t="shared" si="10"/>
        <v>1</v>
      </c>
      <c r="H46" s="108">
        <v>1</v>
      </c>
      <c r="I46" s="109">
        <v>1</v>
      </c>
      <c r="J46" s="110">
        <v>1</v>
      </c>
      <c r="K46" s="111">
        <v>1</v>
      </c>
      <c r="L46" s="90">
        <f t="shared" si="11"/>
        <v>1</v>
      </c>
      <c r="M46" s="112">
        <v>1</v>
      </c>
      <c r="N46" s="109">
        <v>1</v>
      </c>
      <c r="O46" s="110">
        <v>0.95</v>
      </c>
      <c r="P46" s="113">
        <v>1</v>
      </c>
      <c r="Q46" s="108">
        <v>1</v>
      </c>
      <c r="R46" s="109">
        <v>1</v>
      </c>
      <c r="S46" s="110">
        <v>1</v>
      </c>
      <c r="T46" s="111">
        <v>1</v>
      </c>
      <c r="U46" s="108">
        <v>1</v>
      </c>
      <c r="V46" s="109">
        <v>1</v>
      </c>
      <c r="W46" s="110">
        <v>1</v>
      </c>
      <c r="X46" s="111">
        <v>1</v>
      </c>
      <c r="Y46" s="90">
        <f t="shared" si="12"/>
        <v>0.99750000000000005</v>
      </c>
      <c r="Z46" s="108">
        <v>0.5</v>
      </c>
      <c r="AA46" s="109">
        <v>0.5</v>
      </c>
      <c r="AB46" s="110">
        <v>0.5</v>
      </c>
      <c r="AC46" s="111">
        <v>0.5</v>
      </c>
      <c r="AD46" s="90">
        <f t="shared" si="13"/>
        <v>0.5</v>
      </c>
      <c r="AE46" s="108">
        <v>1</v>
      </c>
      <c r="AF46" s="109">
        <v>0.7</v>
      </c>
      <c r="AG46" s="110">
        <v>1</v>
      </c>
      <c r="AH46" s="113">
        <v>1</v>
      </c>
      <c r="AI46" s="84">
        <f t="shared" si="19"/>
        <v>0.90999999999999992</v>
      </c>
      <c r="AJ46" s="114">
        <v>1</v>
      </c>
      <c r="AK46" s="115">
        <v>1</v>
      </c>
      <c r="AL46" s="116"/>
      <c r="AM46" s="108">
        <v>1</v>
      </c>
      <c r="AN46" s="109">
        <v>1</v>
      </c>
      <c r="AO46" s="110">
        <v>1</v>
      </c>
      <c r="AP46" s="111">
        <v>1</v>
      </c>
      <c r="AQ46" s="84">
        <f t="shared" si="14"/>
        <v>1</v>
      </c>
      <c r="AR46" s="108">
        <v>1</v>
      </c>
      <c r="AS46" s="109">
        <v>0</v>
      </c>
      <c r="AT46" s="110">
        <v>0</v>
      </c>
      <c r="AU46" s="111">
        <v>1</v>
      </c>
      <c r="AV46" s="84">
        <f t="shared" si="15"/>
        <v>0.55000000000000004</v>
      </c>
      <c r="AW46" s="113">
        <v>0.7</v>
      </c>
      <c r="AX46" s="113"/>
      <c r="AY46" s="113">
        <v>0</v>
      </c>
      <c r="AZ46" s="84">
        <f t="shared" si="16"/>
        <v>0.21</v>
      </c>
      <c r="BA46" s="108">
        <v>0</v>
      </c>
      <c r="BB46" s="110">
        <v>0</v>
      </c>
      <c r="BC46" s="111">
        <v>0</v>
      </c>
      <c r="BD46" s="84">
        <f t="shared" si="17"/>
        <v>0</v>
      </c>
      <c r="BE46" s="139"/>
      <c r="BF46" s="140" t="e">
        <f t="shared" si="18"/>
        <v>#DIV/0!</v>
      </c>
      <c r="BG46" s="141"/>
    </row>
    <row r="47" spans="2:59" ht="43.5" customHeight="1" thickBot="1" x14ac:dyDescent="0.35">
      <c r="B47" s="198" t="s">
        <v>93</v>
      </c>
      <c r="C47" s="199"/>
      <c r="D47" s="199"/>
      <c r="E47" s="199"/>
      <c r="F47" s="199"/>
      <c r="G47" s="199"/>
      <c r="H47" s="199"/>
      <c r="I47" s="199"/>
      <c r="J47" s="199"/>
      <c r="K47" s="199"/>
      <c r="L47" s="199"/>
      <c r="M47" s="199"/>
      <c r="N47" s="199"/>
      <c r="O47" s="199"/>
      <c r="P47" s="199"/>
      <c r="Q47" s="199"/>
      <c r="R47" s="199"/>
      <c r="S47" s="199"/>
      <c r="T47" s="199"/>
      <c r="U47" s="199"/>
      <c r="V47" s="199"/>
      <c r="W47" s="199"/>
      <c r="X47" s="199"/>
      <c r="Y47" s="199"/>
      <c r="Z47" s="199"/>
      <c r="AA47" s="199"/>
      <c r="AB47" s="199"/>
      <c r="AC47" s="199"/>
      <c r="AD47" s="199"/>
      <c r="AE47" s="199"/>
      <c r="AF47" s="199"/>
      <c r="AG47" s="199"/>
      <c r="AH47" s="199"/>
      <c r="AI47" s="199"/>
      <c r="AJ47" s="199"/>
      <c r="AK47" s="199"/>
      <c r="AL47" s="199"/>
      <c r="AM47" s="199"/>
      <c r="AN47" s="199"/>
      <c r="AO47" s="199"/>
      <c r="AP47" s="199"/>
      <c r="AQ47" s="199"/>
      <c r="AR47" s="199"/>
      <c r="AS47" s="199"/>
      <c r="AT47" s="199"/>
      <c r="AU47" s="199"/>
      <c r="AV47" s="199"/>
      <c r="AW47" s="199"/>
      <c r="AX47" s="199"/>
      <c r="AY47" s="199"/>
      <c r="AZ47" s="199"/>
      <c r="BA47" s="199"/>
      <c r="BB47" s="199"/>
      <c r="BC47" s="199"/>
      <c r="BD47" s="199"/>
      <c r="BE47" s="199"/>
      <c r="BF47" s="199"/>
      <c r="BG47" s="200"/>
    </row>
    <row r="48" spans="2:59" s="94" customFormat="1" ht="43.5" customHeight="1" thickBot="1" x14ac:dyDescent="0.4">
      <c r="B48" s="80">
        <v>301</v>
      </c>
      <c r="C48" s="81">
        <v>1</v>
      </c>
      <c r="D48" s="82">
        <v>1</v>
      </c>
      <c r="E48" s="82">
        <v>1</v>
      </c>
      <c r="F48" s="83">
        <v>1</v>
      </c>
      <c r="G48" s="133">
        <f t="shared" ref="G48:G63" si="20" xml:space="preserve"> C48*45% + D48*45% + E48*5% + F48*5%</f>
        <v>1</v>
      </c>
      <c r="H48" s="88">
        <v>0.9</v>
      </c>
      <c r="I48" s="86">
        <v>0.9</v>
      </c>
      <c r="J48" s="82">
        <v>0.9</v>
      </c>
      <c r="K48" s="89">
        <v>0.9</v>
      </c>
      <c r="L48" s="90">
        <f t="shared" ref="L48:L63" si="21" xml:space="preserve"> H48*30% + I48*30% + J48*10% + K48*30%</f>
        <v>0.9</v>
      </c>
      <c r="M48" s="85">
        <v>1</v>
      </c>
      <c r="N48" s="86">
        <v>1</v>
      </c>
      <c r="O48" s="82">
        <v>0.95</v>
      </c>
      <c r="P48" s="87">
        <v>1</v>
      </c>
      <c r="Q48" s="88">
        <v>1</v>
      </c>
      <c r="R48" s="86">
        <v>1</v>
      </c>
      <c r="S48" s="82">
        <v>1</v>
      </c>
      <c r="T48" s="89">
        <v>1</v>
      </c>
      <c r="U48" s="88">
        <v>1</v>
      </c>
      <c r="V48" s="86">
        <v>1</v>
      </c>
      <c r="W48" s="82">
        <v>1</v>
      </c>
      <c r="X48" s="89">
        <v>1</v>
      </c>
      <c r="Y48" s="90">
        <f t="shared" ref="Y48:Y63" si="22" xml:space="preserve"> (U48*10% + V48*10% + W48*10% + X48*10%+ Q48*5% + R48*5% + S48*5% + T48*5%+M48*10% + N48*15% + O48*5% + P48*10%)</f>
        <v>0.99750000000000005</v>
      </c>
      <c r="Z48" s="88">
        <v>0.5</v>
      </c>
      <c r="AA48" s="86">
        <v>0.5</v>
      </c>
      <c r="AB48" s="82">
        <v>0.5</v>
      </c>
      <c r="AC48" s="89">
        <v>0.5</v>
      </c>
      <c r="AD48" s="90">
        <f t="shared" ref="AD48:AD63" si="23" xml:space="preserve"> Z48*45% + AA48*45% + AB48*5% + AC48*5%</f>
        <v>0.5</v>
      </c>
      <c r="AE48" s="88">
        <v>1</v>
      </c>
      <c r="AF48" s="86">
        <v>0.7</v>
      </c>
      <c r="AG48" s="82">
        <v>0.7</v>
      </c>
      <c r="AH48" s="87">
        <v>0.7</v>
      </c>
      <c r="AI48" s="84">
        <f xml:space="preserve"> AE48*5% + AF48*30% + AG48*35% + AH48*30%</f>
        <v>0.71499999999999997</v>
      </c>
      <c r="AJ48" s="97">
        <v>1</v>
      </c>
      <c r="AK48" s="98">
        <v>0</v>
      </c>
      <c r="AL48" s="99"/>
      <c r="AM48" s="88">
        <v>0</v>
      </c>
      <c r="AN48" s="86">
        <v>0</v>
      </c>
      <c r="AO48" s="82">
        <v>1</v>
      </c>
      <c r="AP48" s="89">
        <v>1</v>
      </c>
      <c r="AQ48" s="84">
        <f t="shared" ref="AQ48:AQ63" si="24" xml:space="preserve"> AM48*15% + AN48*35% + AO48*15% + AP48*35%</f>
        <v>0.5</v>
      </c>
      <c r="AR48" s="88">
        <v>0.7</v>
      </c>
      <c r="AS48" s="86">
        <v>0</v>
      </c>
      <c r="AT48" s="82">
        <v>0</v>
      </c>
      <c r="AU48" s="89">
        <v>0</v>
      </c>
      <c r="AV48" s="84">
        <f t="shared" ref="AV48:AV63" si="25" xml:space="preserve"> AR48*30% + AS48*30% + AT48*15% + AU48*25%</f>
        <v>0.21</v>
      </c>
      <c r="AW48" s="148"/>
      <c r="AX48" s="87"/>
      <c r="AY48" s="89"/>
      <c r="AZ48" s="84">
        <f t="shared" ref="AZ48:AZ63" si="26" xml:space="preserve">  AW48*30% + AX48*45% + AY48*25%</f>
        <v>0</v>
      </c>
      <c r="BA48" s="85">
        <v>0</v>
      </c>
      <c r="BB48" s="82">
        <v>0</v>
      </c>
      <c r="BC48" s="89">
        <v>0</v>
      </c>
      <c r="BD48" s="84">
        <f t="shared" ref="BD48:BD63" si="27" xml:space="preserve">  BA48*30% + BB48*45% + BC48*25%</f>
        <v>0</v>
      </c>
      <c r="BE48" s="135"/>
      <c r="BF48" s="92" t="e">
        <f t="shared" ref="BF48:BF63" si="28">(
(COUNTIF(B48:E48,"✓")/(COUNTIF(B48:E48,"✓")+COUNTIF(B48:E48,"x")))*0.2 +
(COUNTIF(F48:J48,"✓")/(COUNTIF(F48:J48,"✓")+COUNTIF(F48:J48,"x")))*0.1 +
(COUNTIF(K48:O48,"✓")/(COUNTIF(K48:O48,"✓")+COUNTIF(K48:O48,"x")))*0.1 +
(COUNTIF(P48:S48,"✓")/(COUNTIF(P48:S48,"✓")+COUNTIF(P48:S48,"x")))*0.1 +
(COUNTIF(T48:W48,"✓")/(COUNTIF(T48:W48,"✓")+COUNTIF(T48:W48,"x")))*0.1 +
(COUNTIF(X48:AB48,"✓")/(COUNTIF(X48:AB48,"✓")+COUNTIF(X48:AB48,"x")))*0.1 +
(COUNTIF(AC48:AO48,"✓")/(COUNTIF(AC48:AO48,"✓")+COUNTIF(AC48:AO48,"x")))*0.1 +
(COUNTIF(AP48:AT48,"✓")/(COUNTIF(AP48:AT48,"✓")+COUNTIF(AP48:AT48,"x")))*0.05 +
(COUNTIF(AU48:BB48,"✓")/(COUNTIF(AU48:BB48,"✓")+COUNTIF(AU48:BB48,"x")))*0.1 +
(COUNTIF(BC48:BC48,"✓")/(COUNTIF(BC48:BC48,"✓")+COUNTIF(BC48:BC48,"x")))*0.05
)</f>
        <v>#DIV/0!</v>
      </c>
      <c r="BG48" s="211"/>
    </row>
    <row r="49" spans="2:59" s="101" customFormat="1" ht="43.5" customHeight="1" thickBot="1" x14ac:dyDescent="0.4">
      <c r="B49" s="95">
        <v>302</v>
      </c>
      <c r="C49" s="81">
        <v>1</v>
      </c>
      <c r="D49" s="82">
        <v>1</v>
      </c>
      <c r="E49" s="82">
        <v>1</v>
      </c>
      <c r="F49" s="83">
        <v>1</v>
      </c>
      <c r="G49" s="133">
        <f t="shared" si="20"/>
        <v>1</v>
      </c>
      <c r="H49" s="88">
        <v>0.9</v>
      </c>
      <c r="I49" s="86">
        <v>0.9</v>
      </c>
      <c r="J49" s="82">
        <v>1</v>
      </c>
      <c r="K49" s="89">
        <v>0.9</v>
      </c>
      <c r="L49" s="90">
        <f t="shared" si="21"/>
        <v>0.91</v>
      </c>
      <c r="M49" s="85">
        <v>1</v>
      </c>
      <c r="N49" s="86">
        <v>1</v>
      </c>
      <c r="O49" s="82">
        <v>0.95</v>
      </c>
      <c r="P49" s="87">
        <v>1</v>
      </c>
      <c r="Q49" s="88">
        <v>1</v>
      </c>
      <c r="R49" s="86">
        <v>1</v>
      </c>
      <c r="S49" s="82">
        <v>1</v>
      </c>
      <c r="T49" s="89">
        <v>1</v>
      </c>
      <c r="U49" s="88">
        <v>1</v>
      </c>
      <c r="V49" s="86">
        <v>1</v>
      </c>
      <c r="W49" s="82">
        <v>1</v>
      </c>
      <c r="X49" s="89">
        <v>1</v>
      </c>
      <c r="Y49" s="90">
        <f t="shared" si="22"/>
        <v>0.99750000000000005</v>
      </c>
      <c r="Z49" s="88">
        <v>0.5</v>
      </c>
      <c r="AA49" s="86">
        <v>0.5</v>
      </c>
      <c r="AB49" s="82">
        <v>0.5</v>
      </c>
      <c r="AC49" s="89">
        <v>0.5</v>
      </c>
      <c r="AD49" s="90">
        <f t="shared" si="23"/>
        <v>0.5</v>
      </c>
      <c r="AE49" s="88">
        <v>1</v>
      </c>
      <c r="AF49" s="86">
        <v>0.7</v>
      </c>
      <c r="AG49" s="82">
        <v>1</v>
      </c>
      <c r="AH49" s="87">
        <v>0</v>
      </c>
      <c r="AI49" s="84">
        <f t="shared" ref="AI49:AI63" si="29" xml:space="preserve"> AE49*5% + AF49*30% + AG49*35% + AH49*30%</f>
        <v>0.61</v>
      </c>
      <c r="AJ49" s="97">
        <v>1</v>
      </c>
      <c r="AK49" s="98">
        <v>0</v>
      </c>
      <c r="AL49" s="99"/>
      <c r="AM49" s="88">
        <v>1</v>
      </c>
      <c r="AN49" s="86">
        <v>1</v>
      </c>
      <c r="AO49" s="82">
        <v>1</v>
      </c>
      <c r="AP49" s="89">
        <v>1</v>
      </c>
      <c r="AQ49" s="84">
        <f t="shared" si="24"/>
        <v>1</v>
      </c>
      <c r="AR49" s="88">
        <v>0.7</v>
      </c>
      <c r="AS49" s="86">
        <v>0</v>
      </c>
      <c r="AT49" s="82">
        <v>0</v>
      </c>
      <c r="AU49" s="89">
        <v>0</v>
      </c>
      <c r="AV49" s="84">
        <f t="shared" si="25"/>
        <v>0.21</v>
      </c>
      <c r="AW49" s="148"/>
      <c r="AX49" s="87"/>
      <c r="AY49" s="89"/>
      <c r="AZ49" s="84">
        <f t="shared" si="26"/>
        <v>0</v>
      </c>
      <c r="BA49" s="85">
        <v>0</v>
      </c>
      <c r="BB49" s="82">
        <v>0</v>
      </c>
      <c r="BC49" s="89">
        <v>0</v>
      </c>
      <c r="BD49" s="84">
        <f t="shared" si="27"/>
        <v>0</v>
      </c>
      <c r="BE49" s="135"/>
      <c r="BF49" s="92" t="e">
        <f t="shared" si="28"/>
        <v>#DIV/0!</v>
      </c>
      <c r="BG49" s="212"/>
    </row>
    <row r="50" spans="2:59" s="94" customFormat="1" ht="43.5" customHeight="1" thickBot="1" x14ac:dyDescent="0.4">
      <c r="B50" s="80">
        <v>303</v>
      </c>
      <c r="C50" s="81">
        <v>1</v>
      </c>
      <c r="D50" s="82">
        <v>1</v>
      </c>
      <c r="E50" s="82">
        <v>1</v>
      </c>
      <c r="F50" s="83">
        <v>1</v>
      </c>
      <c r="G50" s="133">
        <f t="shared" si="20"/>
        <v>1</v>
      </c>
      <c r="H50" s="88">
        <v>0.9</v>
      </c>
      <c r="I50" s="86">
        <v>0.9</v>
      </c>
      <c r="J50" s="82">
        <v>0.9</v>
      </c>
      <c r="K50" s="89">
        <v>0.9</v>
      </c>
      <c r="L50" s="90">
        <f t="shared" si="21"/>
        <v>0.9</v>
      </c>
      <c r="M50" s="85">
        <v>1</v>
      </c>
      <c r="N50" s="86">
        <v>1</v>
      </c>
      <c r="O50" s="82">
        <v>0.95</v>
      </c>
      <c r="P50" s="87">
        <v>1</v>
      </c>
      <c r="Q50" s="88">
        <v>1</v>
      </c>
      <c r="R50" s="86">
        <v>1</v>
      </c>
      <c r="S50" s="82">
        <v>1</v>
      </c>
      <c r="T50" s="89">
        <v>1</v>
      </c>
      <c r="U50" s="88">
        <v>1</v>
      </c>
      <c r="V50" s="86">
        <v>1</v>
      </c>
      <c r="W50" s="82">
        <v>1</v>
      </c>
      <c r="X50" s="89">
        <v>1</v>
      </c>
      <c r="Y50" s="90">
        <f t="shared" si="22"/>
        <v>0.99750000000000005</v>
      </c>
      <c r="Z50" s="88">
        <v>0.5</v>
      </c>
      <c r="AA50" s="86">
        <v>0.5</v>
      </c>
      <c r="AB50" s="82">
        <v>0.5</v>
      </c>
      <c r="AC50" s="89">
        <v>0.5</v>
      </c>
      <c r="AD50" s="90">
        <f t="shared" si="23"/>
        <v>0.5</v>
      </c>
      <c r="AE50" s="88">
        <v>1</v>
      </c>
      <c r="AF50" s="86">
        <v>0.7</v>
      </c>
      <c r="AG50" s="82">
        <v>1</v>
      </c>
      <c r="AH50" s="87">
        <v>0.7</v>
      </c>
      <c r="AI50" s="84">
        <f t="shared" si="29"/>
        <v>0.82</v>
      </c>
      <c r="AJ50" s="97">
        <v>1</v>
      </c>
      <c r="AK50" s="98">
        <v>0</v>
      </c>
      <c r="AL50" s="99"/>
      <c r="AM50" s="88">
        <v>1</v>
      </c>
      <c r="AN50" s="86">
        <v>1</v>
      </c>
      <c r="AO50" s="82">
        <v>1</v>
      </c>
      <c r="AP50" s="89">
        <v>1</v>
      </c>
      <c r="AQ50" s="84">
        <f t="shared" si="24"/>
        <v>1</v>
      </c>
      <c r="AR50" s="88">
        <v>0.7</v>
      </c>
      <c r="AS50" s="86">
        <v>0</v>
      </c>
      <c r="AT50" s="82">
        <v>0</v>
      </c>
      <c r="AU50" s="89">
        <v>0</v>
      </c>
      <c r="AV50" s="84">
        <f t="shared" si="25"/>
        <v>0.21</v>
      </c>
      <c r="AW50" s="148"/>
      <c r="AX50" s="87"/>
      <c r="AY50" s="89"/>
      <c r="AZ50" s="84">
        <f t="shared" si="26"/>
        <v>0</v>
      </c>
      <c r="BA50" s="85">
        <v>0</v>
      </c>
      <c r="BB50" s="82">
        <v>0</v>
      </c>
      <c r="BC50" s="89">
        <v>0</v>
      </c>
      <c r="BD50" s="84">
        <f t="shared" si="27"/>
        <v>0</v>
      </c>
      <c r="BE50" s="135"/>
      <c r="BF50" s="92" t="e">
        <f t="shared" si="28"/>
        <v>#DIV/0!</v>
      </c>
      <c r="BG50" s="103"/>
    </row>
    <row r="51" spans="2:59" s="94" customFormat="1" ht="43.5" customHeight="1" thickBot="1" x14ac:dyDescent="0.4">
      <c r="B51" s="80">
        <v>304</v>
      </c>
      <c r="C51" s="81">
        <v>1</v>
      </c>
      <c r="D51" s="82">
        <v>1</v>
      </c>
      <c r="E51" s="82">
        <v>1</v>
      </c>
      <c r="F51" s="83">
        <v>1</v>
      </c>
      <c r="G51" s="133">
        <f t="shared" si="20"/>
        <v>1</v>
      </c>
      <c r="H51" s="88">
        <v>0.9</v>
      </c>
      <c r="I51" s="86">
        <v>0.9</v>
      </c>
      <c r="J51" s="82">
        <v>0.9</v>
      </c>
      <c r="K51" s="89">
        <v>0.9</v>
      </c>
      <c r="L51" s="90">
        <f t="shared" si="21"/>
        <v>0.9</v>
      </c>
      <c r="M51" s="85">
        <v>1</v>
      </c>
      <c r="N51" s="86">
        <v>1</v>
      </c>
      <c r="O51" s="82">
        <v>0.95</v>
      </c>
      <c r="P51" s="87">
        <v>0</v>
      </c>
      <c r="Q51" s="88">
        <v>1</v>
      </c>
      <c r="R51" s="86">
        <v>1</v>
      </c>
      <c r="S51" s="82">
        <v>1</v>
      </c>
      <c r="T51" s="89">
        <v>1</v>
      </c>
      <c r="U51" s="88">
        <v>1</v>
      </c>
      <c r="V51" s="86">
        <v>1</v>
      </c>
      <c r="W51" s="82">
        <v>1</v>
      </c>
      <c r="X51" s="89">
        <v>1</v>
      </c>
      <c r="Y51" s="90">
        <f t="shared" si="22"/>
        <v>0.89750000000000008</v>
      </c>
      <c r="Z51" s="88">
        <v>0.5</v>
      </c>
      <c r="AA51" s="86">
        <v>0.5</v>
      </c>
      <c r="AB51" s="82">
        <v>0.5</v>
      </c>
      <c r="AC51" s="89">
        <v>0.5</v>
      </c>
      <c r="AD51" s="90">
        <f t="shared" si="23"/>
        <v>0.5</v>
      </c>
      <c r="AE51" s="88">
        <v>0.7</v>
      </c>
      <c r="AF51" s="86">
        <v>1</v>
      </c>
      <c r="AG51" s="82">
        <v>1</v>
      </c>
      <c r="AH51" s="87">
        <v>0</v>
      </c>
      <c r="AI51" s="84">
        <f t="shared" si="29"/>
        <v>0.68499999999999994</v>
      </c>
      <c r="AJ51" s="97">
        <v>1</v>
      </c>
      <c r="AK51" s="98">
        <v>0</v>
      </c>
      <c r="AL51" s="99"/>
      <c r="AM51" s="88">
        <v>1</v>
      </c>
      <c r="AN51" s="86">
        <v>1</v>
      </c>
      <c r="AO51" s="82">
        <v>0</v>
      </c>
      <c r="AP51" s="89">
        <v>1</v>
      </c>
      <c r="AQ51" s="84">
        <f t="shared" si="24"/>
        <v>0.85</v>
      </c>
      <c r="AR51" s="88">
        <v>1</v>
      </c>
      <c r="AS51" s="86">
        <v>0</v>
      </c>
      <c r="AT51" s="82">
        <v>0</v>
      </c>
      <c r="AU51" s="89">
        <v>0</v>
      </c>
      <c r="AV51" s="84">
        <f t="shared" si="25"/>
        <v>0.3</v>
      </c>
      <c r="AW51" s="148"/>
      <c r="AX51" s="87"/>
      <c r="AY51" s="89"/>
      <c r="AZ51" s="84">
        <f t="shared" si="26"/>
        <v>0</v>
      </c>
      <c r="BA51" s="85">
        <v>0</v>
      </c>
      <c r="BB51" s="82">
        <v>0</v>
      </c>
      <c r="BC51" s="89">
        <v>0</v>
      </c>
      <c r="BD51" s="84">
        <f t="shared" si="27"/>
        <v>0</v>
      </c>
      <c r="BE51" s="135"/>
      <c r="BF51" s="92" t="e">
        <f t="shared" si="28"/>
        <v>#DIV/0!</v>
      </c>
      <c r="BG51" s="102"/>
    </row>
    <row r="52" spans="2:59" s="94" customFormat="1" ht="43.5" customHeight="1" thickBot="1" x14ac:dyDescent="0.4">
      <c r="B52" s="95">
        <v>305</v>
      </c>
      <c r="C52" s="81">
        <v>1</v>
      </c>
      <c r="D52" s="82">
        <v>1</v>
      </c>
      <c r="E52" s="82">
        <v>1</v>
      </c>
      <c r="F52" s="83">
        <v>1</v>
      </c>
      <c r="G52" s="133">
        <f t="shared" si="20"/>
        <v>1</v>
      </c>
      <c r="H52" s="88">
        <v>0.9</v>
      </c>
      <c r="I52" s="86">
        <v>0.9</v>
      </c>
      <c r="J52" s="82">
        <v>0.9</v>
      </c>
      <c r="K52" s="89">
        <v>0.9</v>
      </c>
      <c r="L52" s="90">
        <f t="shared" si="21"/>
        <v>0.9</v>
      </c>
      <c r="M52" s="85">
        <v>1</v>
      </c>
      <c r="N52" s="86">
        <v>1</v>
      </c>
      <c r="O52" s="82">
        <v>0.95</v>
      </c>
      <c r="P52" s="87">
        <v>1</v>
      </c>
      <c r="Q52" s="88">
        <v>1</v>
      </c>
      <c r="R52" s="86">
        <v>1</v>
      </c>
      <c r="S52" s="82">
        <v>1</v>
      </c>
      <c r="T52" s="89">
        <v>1</v>
      </c>
      <c r="U52" s="88">
        <v>1</v>
      </c>
      <c r="V52" s="86">
        <v>1</v>
      </c>
      <c r="W52" s="82">
        <v>1</v>
      </c>
      <c r="X52" s="89">
        <v>1</v>
      </c>
      <c r="Y52" s="90">
        <f t="shared" si="22"/>
        <v>0.99750000000000005</v>
      </c>
      <c r="Z52" s="88">
        <v>0.5</v>
      </c>
      <c r="AA52" s="86">
        <v>0.5</v>
      </c>
      <c r="AB52" s="82">
        <v>0.5</v>
      </c>
      <c r="AC52" s="89">
        <v>0.5</v>
      </c>
      <c r="AD52" s="90">
        <f t="shared" si="23"/>
        <v>0.5</v>
      </c>
      <c r="AE52" s="88">
        <v>0.9</v>
      </c>
      <c r="AF52" s="86">
        <v>0.7</v>
      </c>
      <c r="AG52" s="82">
        <v>1</v>
      </c>
      <c r="AH52" s="87">
        <v>1</v>
      </c>
      <c r="AI52" s="84">
        <f t="shared" si="29"/>
        <v>0.90500000000000003</v>
      </c>
      <c r="AJ52" s="97">
        <v>1</v>
      </c>
      <c r="AK52" s="98">
        <v>0</v>
      </c>
      <c r="AL52" s="99"/>
      <c r="AM52" s="88">
        <v>1</v>
      </c>
      <c r="AN52" s="86">
        <v>1</v>
      </c>
      <c r="AO52" s="82">
        <v>1</v>
      </c>
      <c r="AP52" s="89">
        <v>1</v>
      </c>
      <c r="AQ52" s="84">
        <f t="shared" si="24"/>
        <v>1</v>
      </c>
      <c r="AR52" s="88">
        <v>0.7</v>
      </c>
      <c r="AS52" s="86">
        <v>0</v>
      </c>
      <c r="AT52" s="82">
        <v>0</v>
      </c>
      <c r="AU52" s="89">
        <v>0</v>
      </c>
      <c r="AV52" s="84">
        <f t="shared" si="25"/>
        <v>0.21</v>
      </c>
      <c r="AW52" s="148"/>
      <c r="AX52" s="87"/>
      <c r="AY52" s="89"/>
      <c r="AZ52" s="84">
        <f t="shared" si="26"/>
        <v>0</v>
      </c>
      <c r="BA52" s="85">
        <v>0</v>
      </c>
      <c r="BB52" s="82">
        <v>0</v>
      </c>
      <c r="BC52" s="89">
        <v>0</v>
      </c>
      <c r="BD52" s="84">
        <f t="shared" si="27"/>
        <v>0</v>
      </c>
      <c r="BE52" s="135"/>
      <c r="BF52" s="92" t="e">
        <f t="shared" si="28"/>
        <v>#DIV/0!</v>
      </c>
      <c r="BG52" s="103"/>
    </row>
    <row r="53" spans="2:59" s="94" customFormat="1" ht="43.5" customHeight="1" thickBot="1" x14ac:dyDescent="0.4">
      <c r="B53" s="80">
        <v>306</v>
      </c>
      <c r="C53" s="81">
        <v>1</v>
      </c>
      <c r="D53" s="82">
        <v>1</v>
      </c>
      <c r="E53" s="82">
        <v>1</v>
      </c>
      <c r="F53" s="83">
        <v>1</v>
      </c>
      <c r="G53" s="133">
        <f t="shared" si="20"/>
        <v>1</v>
      </c>
      <c r="H53" s="88">
        <v>0.9</v>
      </c>
      <c r="I53" s="86">
        <v>0.9</v>
      </c>
      <c r="J53" s="82">
        <v>0.6</v>
      </c>
      <c r="K53" s="89">
        <v>0.9</v>
      </c>
      <c r="L53" s="90">
        <f t="shared" si="21"/>
        <v>0.87000000000000011</v>
      </c>
      <c r="M53" s="85">
        <v>1</v>
      </c>
      <c r="N53" s="86">
        <v>1</v>
      </c>
      <c r="O53" s="82">
        <v>0.95</v>
      </c>
      <c r="P53" s="87">
        <v>1</v>
      </c>
      <c r="Q53" s="88">
        <v>1</v>
      </c>
      <c r="R53" s="86">
        <v>1</v>
      </c>
      <c r="S53" s="82">
        <v>1</v>
      </c>
      <c r="T53" s="89">
        <v>1</v>
      </c>
      <c r="U53" s="88">
        <v>1</v>
      </c>
      <c r="V53" s="86">
        <v>1</v>
      </c>
      <c r="W53" s="82">
        <v>1</v>
      </c>
      <c r="X53" s="89">
        <v>1</v>
      </c>
      <c r="Y53" s="90">
        <f t="shared" si="22"/>
        <v>0.99750000000000005</v>
      </c>
      <c r="Z53" s="88">
        <v>0.5</v>
      </c>
      <c r="AA53" s="86">
        <v>0.5</v>
      </c>
      <c r="AB53" s="82">
        <v>0.5</v>
      </c>
      <c r="AC53" s="89">
        <v>0.5</v>
      </c>
      <c r="AD53" s="90">
        <f t="shared" si="23"/>
        <v>0.5</v>
      </c>
      <c r="AE53" s="88">
        <v>1</v>
      </c>
      <c r="AF53" s="86">
        <v>0</v>
      </c>
      <c r="AG53" s="82">
        <v>1</v>
      </c>
      <c r="AH53" s="87">
        <v>1</v>
      </c>
      <c r="AI53" s="84">
        <f t="shared" si="29"/>
        <v>0.7</v>
      </c>
      <c r="AJ53" s="97">
        <v>1</v>
      </c>
      <c r="AK53" s="98">
        <v>0.9</v>
      </c>
      <c r="AL53" s="99"/>
      <c r="AM53" s="88">
        <v>1</v>
      </c>
      <c r="AN53" s="86">
        <v>1</v>
      </c>
      <c r="AO53" s="82">
        <v>1</v>
      </c>
      <c r="AP53" s="89">
        <v>1</v>
      </c>
      <c r="AQ53" s="84">
        <f t="shared" si="24"/>
        <v>1</v>
      </c>
      <c r="AR53" s="88">
        <v>1</v>
      </c>
      <c r="AS53" s="86">
        <v>0</v>
      </c>
      <c r="AT53" s="82">
        <v>0</v>
      </c>
      <c r="AU53" s="89">
        <v>0</v>
      </c>
      <c r="AV53" s="84">
        <f t="shared" si="25"/>
        <v>0.3</v>
      </c>
      <c r="AW53" s="148"/>
      <c r="AX53" s="87"/>
      <c r="AY53" s="89"/>
      <c r="AZ53" s="84">
        <f t="shared" si="26"/>
        <v>0</v>
      </c>
      <c r="BA53" s="85">
        <v>0</v>
      </c>
      <c r="BB53" s="82">
        <v>0</v>
      </c>
      <c r="BC53" s="89">
        <v>0</v>
      </c>
      <c r="BD53" s="84">
        <f t="shared" si="27"/>
        <v>0</v>
      </c>
      <c r="BE53" s="135"/>
      <c r="BF53" s="92" t="e">
        <f t="shared" si="28"/>
        <v>#DIV/0!</v>
      </c>
      <c r="BG53" s="104"/>
    </row>
    <row r="54" spans="2:59" s="94" customFormat="1" ht="43.5" customHeight="1" thickBot="1" x14ac:dyDescent="0.4">
      <c r="B54" s="80">
        <v>307</v>
      </c>
      <c r="C54" s="81">
        <v>1</v>
      </c>
      <c r="D54" s="82">
        <v>1</v>
      </c>
      <c r="E54" s="82">
        <v>1</v>
      </c>
      <c r="F54" s="83">
        <v>1</v>
      </c>
      <c r="G54" s="133">
        <f t="shared" si="20"/>
        <v>1</v>
      </c>
      <c r="H54" s="88">
        <v>0.9</v>
      </c>
      <c r="I54" s="86">
        <v>0.9</v>
      </c>
      <c r="J54" s="82">
        <v>0.9</v>
      </c>
      <c r="K54" s="89">
        <v>0.9</v>
      </c>
      <c r="L54" s="90">
        <f t="shared" si="21"/>
        <v>0.9</v>
      </c>
      <c r="M54" s="85">
        <v>1</v>
      </c>
      <c r="N54" s="86">
        <v>1</v>
      </c>
      <c r="O54" s="82">
        <v>0.95</v>
      </c>
      <c r="P54" s="87">
        <v>1</v>
      </c>
      <c r="Q54" s="88">
        <v>1</v>
      </c>
      <c r="R54" s="86">
        <v>1</v>
      </c>
      <c r="S54" s="82">
        <v>1</v>
      </c>
      <c r="T54" s="89">
        <v>1</v>
      </c>
      <c r="U54" s="88">
        <v>1</v>
      </c>
      <c r="V54" s="86">
        <v>1</v>
      </c>
      <c r="W54" s="82">
        <v>1</v>
      </c>
      <c r="X54" s="89">
        <v>1</v>
      </c>
      <c r="Y54" s="90">
        <f t="shared" si="22"/>
        <v>0.99750000000000005</v>
      </c>
      <c r="Z54" s="88">
        <v>0.5</v>
      </c>
      <c r="AA54" s="86">
        <v>0.5</v>
      </c>
      <c r="AB54" s="82">
        <v>0.5</v>
      </c>
      <c r="AC54" s="89">
        <v>0.5</v>
      </c>
      <c r="AD54" s="90">
        <f t="shared" si="23"/>
        <v>0.5</v>
      </c>
      <c r="AE54" s="88">
        <v>1</v>
      </c>
      <c r="AF54" s="86">
        <v>1</v>
      </c>
      <c r="AG54" s="82">
        <v>1</v>
      </c>
      <c r="AH54" s="87">
        <v>1</v>
      </c>
      <c r="AI54" s="84">
        <f t="shared" si="29"/>
        <v>1</v>
      </c>
      <c r="AJ54" s="97">
        <v>1</v>
      </c>
      <c r="AK54" s="98">
        <v>0</v>
      </c>
      <c r="AL54" s="99"/>
      <c r="AM54" s="88">
        <v>1</v>
      </c>
      <c r="AN54" s="86">
        <v>1</v>
      </c>
      <c r="AO54" s="82">
        <v>1</v>
      </c>
      <c r="AP54" s="89">
        <v>1</v>
      </c>
      <c r="AQ54" s="84">
        <f t="shared" si="24"/>
        <v>1</v>
      </c>
      <c r="AR54" s="88">
        <v>0.7</v>
      </c>
      <c r="AS54" s="86">
        <v>0</v>
      </c>
      <c r="AT54" s="82">
        <v>0</v>
      </c>
      <c r="AU54" s="89">
        <v>0</v>
      </c>
      <c r="AV54" s="84">
        <f t="shared" si="25"/>
        <v>0.21</v>
      </c>
      <c r="AW54" s="148"/>
      <c r="AX54" s="87"/>
      <c r="AY54" s="89"/>
      <c r="AZ54" s="84">
        <f t="shared" si="26"/>
        <v>0</v>
      </c>
      <c r="BA54" s="85">
        <v>0</v>
      </c>
      <c r="BB54" s="82">
        <v>0</v>
      </c>
      <c r="BC54" s="89">
        <v>0</v>
      </c>
      <c r="BD54" s="84">
        <f t="shared" si="27"/>
        <v>0</v>
      </c>
      <c r="BE54" s="135"/>
      <c r="BF54" s="92" t="e">
        <f t="shared" si="28"/>
        <v>#DIV/0!</v>
      </c>
      <c r="BG54" s="103"/>
    </row>
    <row r="55" spans="2:59" s="94" customFormat="1" ht="43.5" customHeight="1" thickBot="1" x14ac:dyDescent="0.4">
      <c r="B55" s="95">
        <v>308</v>
      </c>
      <c r="C55" s="81">
        <v>1</v>
      </c>
      <c r="D55" s="82">
        <v>1</v>
      </c>
      <c r="E55" s="82">
        <v>1</v>
      </c>
      <c r="F55" s="83">
        <v>1</v>
      </c>
      <c r="G55" s="133">
        <f t="shared" si="20"/>
        <v>1</v>
      </c>
      <c r="H55" s="88">
        <v>0.9</v>
      </c>
      <c r="I55" s="86">
        <v>0.9</v>
      </c>
      <c r="J55" s="82">
        <v>0.9</v>
      </c>
      <c r="K55" s="89">
        <v>0.9</v>
      </c>
      <c r="L55" s="90">
        <f t="shared" si="21"/>
        <v>0.9</v>
      </c>
      <c r="M55" s="85">
        <v>1</v>
      </c>
      <c r="N55" s="86">
        <v>1</v>
      </c>
      <c r="O55" s="82">
        <v>0.95</v>
      </c>
      <c r="P55" s="87">
        <v>1</v>
      </c>
      <c r="Q55" s="88">
        <v>1</v>
      </c>
      <c r="R55" s="86">
        <v>1</v>
      </c>
      <c r="S55" s="82">
        <v>1</v>
      </c>
      <c r="T55" s="89">
        <v>1</v>
      </c>
      <c r="U55" s="88">
        <v>1</v>
      </c>
      <c r="V55" s="86">
        <v>1</v>
      </c>
      <c r="W55" s="82">
        <v>1</v>
      </c>
      <c r="X55" s="89">
        <v>1</v>
      </c>
      <c r="Y55" s="90">
        <f t="shared" si="22"/>
        <v>0.99750000000000005</v>
      </c>
      <c r="Z55" s="88">
        <v>0.5</v>
      </c>
      <c r="AA55" s="86">
        <v>0.5</v>
      </c>
      <c r="AB55" s="82">
        <v>0.5</v>
      </c>
      <c r="AC55" s="89">
        <v>0.5</v>
      </c>
      <c r="AD55" s="90">
        <f t="shared" si="23"/>
        <v>0.5</v>
      </c>
      <c r="AE55" s="88">
        <v>1</v>
      </c>
      <c r="AF55" s="86">
        <v>1</v>
      </c>
      <c r="AG55" s="82">
        <v>1</v>
      </c>
      <c r="AH55" s="87">
        <v>1</v>
      </c>
      <c r="AI55" s="84">
        <f t="shared" si="29"/>
        <v>1</v>
      </c>
      <c r="AJ55" s="97">
        <v>1</v>
      </c>
      <c r="AK55" s="98">
        <v>0.9</v>
      </c>
      <c r="AL55" s="99"/>
      <c r="AM55" s="88">
        <v>1</v>
      </c>
      <c r="AN55" s="86">
        <v>1</v>
      </c>
      <c r="AO55" s="82">
        <v>1</v>
      </c>
      <c r="AP55" s="89">
        <v>1</v>
      </c>
      <c r="AQ55" s="84">
        <f t="shared" si="24"/>
        <v>1</v>
      </c>
      <c r="AR55" s="88">
        <v>1</v>
      </c>
      <c r="AS55" s="86">
        <v>0</v>
      </c>
      <c r="AT55" s="82">
        <v>0</v>
      </c>
      <c r="AU55" s="89">
        <v>0</v>
      </c>
      <c r="AV55" s="84">
        <f t="shared" si="25"/>
        <v>0.3</v>
      </c>
      <c r="AW55" s="148"/>
      <c r="AX55" s="87"/>
      <c r="AY55" s="89"/>
      <c r="AZ55" s="84">
        <f t="shared" si="26"/>
        <v>0</v>
      </c>
      <c r="BA55" s="85">
        <v>0</v>
      </c>
      <c r="BB55" s="82">
        <v>0</v>
      </c>
      <c r="BC55" s="89">
        <v>0</v>
      </c>
      <c r="BD55" s="84">
        <f t="shared" si="27"/>
        <v>0</v>
      </c>
      <c r="BE55" s="135"/>
      <c r="BF55" s="92" t="e">
        <f t="shared" si="28"/>
        <v>#DIV/0!</v>
      </c>
      <c r="BG55" s="104"/>
    </row>
    <row r="56" spans="2:59" s="94" customFormat="1" ht="43.5" customHeight="1" thickBot="1" x14ac:dyDescent="0.4">
      <c r="B56" s="80">
        <v>309</v>
      </c>
      <c r="C56" s="81">
        <v>1</v>
      </c>
      <c r="D56" s="82">
        <v>1</v>
      </c>
      <c r="E56" s="82">
        <v>1</v>
      </c>
      <c r="F56" s="83">
        <v>1</v>
      </c>
      <c r="G56" s="133">
        <f t="shared" si="20"/>
        <v>1</v>
      </c>
      <c r="H56" s="88">
        <v>0.9</v>
      </c>
      <c r="I56" s="86">
        <v>0.9</v>
      </c>
      <c r="J56" s="82">
        <v>0.9</v>
      </c>
      <c r="K56" s="89">
        <v>0.9</v>
      </c>
      <c r="L56" s="90">
        <f t="shared" si="21"/>
        <v>0.9</v>
      </c>
      <c r="M56" s="85">
        <v>1</v>
      </c>
      <c r="N56" s="86">
        <v>1</v>
      </c>
      <c r="O56" s="82">
        <v>0.95</v>
      </c>
      <c r="P56" s="87">
        <v>1</v>
      </c>
      <c r="Q56" s="88">
        <v>1</v>
      </c>
      <c r="R56" s="86">
        <v>1</v>
      </c>
      <c r="S56" s="82">
        <v>1</v>
      </c>
      <c r="T56" s="89">
        <v>1</v>
      </c>
      <c r="U56" s="88">
        <v>1</v>
      </c>
      <c r="V56" s="86">
        <v>1</v>
      </c>
      <c r="W56" s="82">
        <v>1</v>
      </c>
      <c r="X56" s="89">
        <v>1</v>
      </c>
      <c r="Y56" s="90">
        <f t="shared" si="22"/>
        <v>0.99750000000000005</v>
      </c>
      <c r="Z56" s="88">
        <v>0.5</v>
      </c>
      <c r="AA56" s="86">
        <v>0.5</v>
      </c>
      <c r="AB56" s="82">
        <v>0.5</v>
      </c>
      <c r="AC56" s="89">
        <v>0.5</v>
      </c>
      <c r="AD56" s="90">
        <f t="shared" si="23"/>
        <v>0.5</v>
      </c>
      <c r="AE56" s="88">
        <v>1</v>
      </c>
      <c r="AF56" s="86">
        <v>0.7</v>
      </c>
      <c r="AG56" s="82">
        <v>1</v>
      </c>
      <c r="AH56" s="87">
        <v>0.7</v>
      </c>
      <c r="AI56" s="84">
        <f t="shared" si="29"/>
        <v>0.82</v>
      </c>
      <c r="AJ56" s="97">
        <v>1</v>
      </c>
      <c r="AK56" s="98">
        <v>0</v>
      </c>
      <c r="AL56" s="99"/>
      <c r="AM56" s="88">
        <v>1</v>
      </c>
      <c r="AN56" s="86">
        <v>1</v>
      </c>
      <c r="AO56" s="82">
        <v>1</v>
      </c>
      <c r="AP56" s="89">
        <v>1</v>
      </c>
      <c r="AQ56" s="84">
        <f t="shared" si="24"/>
        <v>1</v>
      </c>
      <c r="AR56" s="88">
        <v>0.7</v>
      </c>
      <c r="AS56" s="86">
        <v>0</v>
      </c>
      <c r="AT56" s="82">
        <v>0</v>
      </c>
      <c r="AU56" s="89">
        <v>0</v>
      </c>
      <c r="AV56" s="84">
        <f t="shared" si="25"/>
        <v>0.21</v>
      </c>
      <c r="AW56" s="148"/>
      <c r="AX56" s="87"/>
      <c r="AY56" s="89"/>
      <c r="AZ56" s="84">
        <f t="shared" si="26"/>
        <v>0</v>
      </c>
      <c r="BA56" s="85">
        <v>0</v>
      </c>
      <c r="BB56" s="82">
        <v>0</v>
      </c>
      <c r="BC56" s="89">
        <v>0</v>
      </c>
      <c r="BD56" s="84">
        <f t="shared" si="27"/>
        <v>0</v>
      </c>
      <c r="BE56" s="135"/>
      <c r="BF56" s="92" t="e">
        <f t="shared" si="28"/>
        <v>#DIV/0!</v>
      </c>
      <c r="BG56" s="103"/>
    </row>
    <row r="57" spans="2:59" s="94" customFormat="1" ht="43.5" customHeight="1" thickBot="1" x14ac:dyDescent="0.4">
      <c r="B57" s="80">
        <v>310</v>
      </c>
      <c r="C57" s="81">
        <v>1</v>
      </c>
      <c r="D57" s="82">
        <v>1</v>
      </c>
      <c r="E57" s="82">
        <v>1</v>
      </c>
      <c r="F57" s="83">
        <v>1</v>
      </c>
      <c r="G57" s="133">
        <f t="shared" si="20"/>
        <v>1</v>
      </c>
      <c r="H57" s="88">
        <v>0.9</v>
      </c>
      <c r="I57" s="86">
        <v>0.9</v>
      </c>
      <c r="J57" s="82">
        <v>0.9</v>
      </c>
      <c r="K57" s="89">
        <v>0.9</v>
      </c>
      <c r="L57" s="90">
        <f t="shared" si="21"/>
        <v>0.9</v>
      </c>
      <c r="M57" s="85">
        <v>1</v>
      </c>
      <c r="N57" s="86">
        <v>1</v>
      </c>
      <c r="O57" s="82">
        <v>0.95</v>
      </c>
      <c r="P57" s="87">
        <v>1</v>
      </c>
      <c r="Q57" s="88">
        <v>1</v>
      </c>
      <c r="R57" s="86">
        <v>1</v>
      </c>
      <c r="S57" s="82">
        <v>1</v>
      </c>
      <c r="T57" s="89">
        <v>1</v>
      </c>
      <c r="U57" s="88">
        <v>1</v>
      </c>
      <c r="V57" s="86">
        <v>1</v>
      </c>
      <c r="W57" s="82">
        <v>1</v>
      </c>
      <c r="X57" s="89">
        <v>1</v>
      </c>
      <c r="Y57" s="90">
        <f t="shared" si="22"/>
        <v>0.99750000000000005</v>
      </c>
      <c r="Z57" s="88">
        <v>0.5</v>
      </c>
      <c r="AA57" s="86">
        <v>0.5</v>
      </c>
      <c r="AB57" s="82">
        <v>0.5</v>
      </c>
      <c r="AC57" s="89">
        <v>0.5</v>
      </c>
      <c r="AD57" s="90">
        <f t="shared" si="23"/>
        <v>0.5</v>
      </c>
      <c r="AE57" s="88">
        <v>1</v>
      </c>
      <c r="AF57" s="86">
        <v>1</v>
      </c>
      <c r="AG57" s="82">
        <v>1</v>
      </c>
      <c r="AH57" s="87">
        <v>1</v>
      </c>
      <c r="AI57" s="84">
        <f t="shared" si="29"/>
        <v>1</v>
      </c>
      <c r="AJ57" s="97">
        <v>1</v>
      </c>
      <c r="AK57" s="98">
        <v>0.9</v>
      </c>
      <c r="AL57" s="99"/>
      <c r="AM57" s="88">
        <v>1</v>
      </c>
      <c r="AN57" s="86">
        <v>1</v>
      </c>
      <c r="AO57" s="82">
        <v>1</v>
      </c>
      <c r="AP57" s="89">
        <v>1</v>
      </c>
      <c r="AQ57" s="84">
        <f t="shared" si="24"/>
        <v>1</v>
      </c>
      <c r="AR57" s="88">
        <v>1</v>
      </c>
      <c r="AS57" s="86">
        <v>0</v>
      </c>
      <c r="AT57" s="82">
        <v>0</v>
      </c>
      <c r="AU57" s="89">
        <v>0</v>
      </c>
      <c r="AV57" s="84">
        <f t="shared" si="25"/>
        <v>0.3</v>
      </c>
      <c r="AW57" s="148"/>
      <c r="AX57" s="87"/>
      <c r="AY57" s="89"/>
      <c r="AZ57" s="84">
        <f t="shared" si="26"/>
        <v>0</v>
      </c>
      <c r="BA57" s="85">
        <v>0</v>
      </c>
      <c r="BB57" s="82">
        <v>0</v>
      </c>
      <c r="BC57" s="89">
        <v>0</v>
      </c>
      <c r="BD57" s="84">
        <f t="shared" si="27"/>
        <v>0</v>
      </c>
      <c r="BE57" s="135"/>
      <c r="BF57" s="92" t="e">
        <f t="shared" si="28"/>
        <v>#DIV/0!</v>
      </c>
      <c r="BG57" s="103"/>
    </row>
    <row r="58" spans="2:59" s="94" customFormat="1" ht="43.5" customHeight="1" thickBot="1" x14ac:dyDescent="0.4">
      <c r="B58" s="95">
        <v>311</v>
      </c>
      <c r="C58" s="81">
        <v>1</v>
      </c>
      <c r="D58" s="82">
        <v>1</v>
      </c>
      <c r="E58" s="82">
        <v>1</v>
      </c>
      <c r="F58" s="83">
        <v>1</v>
      </c>
      <c r="G58" s="133">
        <f t="shared" si="20"/>
        <v>1</v>
      </c>
      <c r="H58" s="88">
        <v>0.9</v>
      </c>
      <c r="I58" s="86">
        <v>0.9</v>
      </c>
      <c r="J58" s="82">
        <v>0.9</v>
      </c>
      <c r="K58" s="89">
        <v>0.9</v>
      </c>
      <c r="L58" s="90">
        <f t="shared" si="21"/>
        <v>0.9</v>
      </c>
      <c r="M58" s="85">
        <v>1</v>
      </c>
      <c r="N58" s="86">
        <v>1</v>
      </c>
      <c r="O58" s="82">
        <v>0.95</v>
      </c>
      <c r="P58" s="87">
        <v>1</v>
      </c>
      <c r="Q58" s="88">
        <v>1</v>
      </c>
      <c r="R58" s="86">
        <v>1</v>
      </c>
      <c r="S58" s="82">
        <v>1</v>
      </c>
      <c r="T58" s="89">
        <v>1</v>
      </c>
      <c r="U58" s="88">
        <v>1</v>
      </c>
      <c r="V58" s="86">
        <v>1</v>
      </c>
      <c r="W58" s="82">
        <v>1</v>
      </c>
      <c r="X58" s="89">
        <v>1</v>
      </c>
      <c r="Y58" s="90">
        <f t="shared" si="22"/>
        <v>0.99750000000000005</v>
      </c>
      <c r="Z58" s="88">
        <v>0.5</v>
      </c>
      <c r="AA58" s="86">
        <v>0.5</v>
      </c>
      <c r="AB58" s="82">
        <v>0.5</v>
      </c>
      <c r="AC58" s="89">
        <v>0.5</v>
      </c>
      <c r="AD58" s="90">
        <f t="shared" si="23"/>
        <v>0.5</v>
      </c>
      <c r="AE58" s="88">
        <v>1</v>
      </c>
      <c r="AF58" s="86">
        <v>0.7</v>
      </c>
      <c r="AG58" s="82">
        <v>1</v>
      </c>
      <c r="AH58" s="87">
        <v>0.7</v>
      </c>
      <c r="AI58" s="84">
        <f t="shared" si="29"/>
        <v>0.82</v>
      </c>
      <c r="AJ58" s="97">
        <v>1</v>
      </c>
      <c r="AK58" s="98">
        <v>0</v>
      </c>
      <c r="AL58" s="99"/>
      <c r="AM58" s="88">
        <v>1</v>
      </c>
      <c r="AN58" s="86">
        <v>1</v>
      </c>
      <c r="AO58" s="82">
        <v>1</v>
      </c>
      <c r="AP58" s="89">
        <v>1</v>
      </c>
      <c r="AQ58" s="84">
        <f t="shared" si="24"/>
        <v>1</v>
      </c>
      <c r="AR58" s="88">
        <v>0.7</v>
      </c>
      <c r="AS58" s="86">
        <v>0</v>
      </c>
      <c r="AT58" s="82">
        <v>0</v>
      </c>
      <c r="AU58" s="89">
        <v>0</v>
      </c>
      <c r="AV58" s="84">
        <f t="shared" si="25"/>
        <v>0.21</v>
      </c>
      <c r="AW58" s="148"/>
      <c r="AX58" s="87"/>
      <c r="AY58" s="89"/>
      <c r="AZ58" s="84">
        <f t="shared" si="26"/>
        <v>0</v>
      </c>
      <c r="BA58" s="85">
        <v>0</v>
      </c>
      <c r="BB58" s="82">
        <v>0</v>
      </c>
      <c r="BC58" s="89">
        <v>0</v>
      </c>
      <c r="BD58" s="84">
        <f t="shared" si="27"/>
        <v>0</v>
      </c>
      <c r="BE58" s="135"/>
      <c r="BF58" s="92" t="e">
        <f t="shared" si="28"/>
        <v>#DIV/0!</v>
      </c>
      <c r="BG58" s="102"/>
    </row>
    <row r="59" spans="2:59" s="94" customFormat="1" ht="43.5" customHeight="1" thickBot="1" x14ac:dyDescent="0.4">
      <c r="B59" s="80">
        <v>312</v>
      </c>
      <c r="C59" s="81">
        <v>1</v>
      </c>
      <c r="D59" s="82">
        <v>1</v>
      </c>
      <c r="E59" s="82">
        <v>1</v>
      </c>
      <c r="F59" s="83">
        <v>1</v>
      </c>
      <c r="G59" s="133">
        <f t="shared" si="20"/>
        <v>1</v>
      </c>
      <c r="H59" s="88">
        <v>0.9</v>
      </c>
      <c r="I59" s="86">
        <v>0.9</v>
      </c>
      <c r="J59" s="82">
        <v>0.9</v>
      </c>
      <c r="K59" s="89">
        <v>0.9</v>
      </c>
      <c r="L59" s="90">
        <f t="shared" si="21"/>
        <v>0.9</v>
      </c>
      <c r="M59" s="85">
        <v>1</v>
      </c>
      <c r="N59" s="86">
        <v>1</v>
      </c>
      <c r="O59" s="82">
        <v>0.95</v>
      </c>
      <c r="P59" s="87">
        <v>1</v>
      </c>
      <c r="Q59" s="88">
        <v>1</v>
      </c>
      <c r="R59" s="86">
        <v>1</v>
      </c>
      <c r="S59" s="82">
        <v>1</v>
      </c>
      <c r="T59" s="89">
        <v>1</v>
      </c>
      <c r="U59" s="88">
        <v>1</v>
      </c>
      <c r="V59" s="86">
        <v>1</v>
      </c>
      <c r="W59" s="82">
        <v>1</v>
      </c>
      <c r="X59" s="89">
        <v>1</v>
      </c>
      <c r="Y59" s="90">
        <f t="shared" si="22"/>
        <v>0.99750000000000005</v>
      </c>
      <c r="Z59" s="88">
        <v>0.5</v>
      </c>
      <c r="AA59" s="86">
        <v>0.5</v>
      </c>
      <c r="AB59" s="82">
        <v>0.5</v>
      </c>
      <c r="AC59" s="89">
        <v>0.5</v>
      </c>
      <c r="AD59" s="90">
        <f t="shared" si="23"/>
        <v>0.5</v>
      </c>
      <c r="AE59" s="88">
        <v>1</v>
      </c>
      <c r="AF59" s="86">
        <v>1</v>
      </c>
      <c r="AG59" s="82">
        <v>1</v>
      </c>
      <c r="AH59" s="87">
        <v>1</v>
      </c>
      <c r="AI59" s="84">
        <f t="shared" si="29"/>
        <v>1</v>
      </c>
      <c r="AJ59" s="97">
        <v>1</v>
      </c>
      <c r="AK59" s="98">
        <v>1</v>
      </c>
      <c r="AL59" s="99"/>
      <c r="AM59" s="88">
        <v>1</v>
      </c>
      <c r="AN59" s="86">
        <v>1</v>
      </c>
      <c r="AO59" s="82">
        <v>1</v>
      </c>
      <c r="AP59" s="89">
        <v>1</v>
      </c>
      <c r="AQ59" s="84">
        <f t="shared" si="24"/>
        <v>1</v>
      </c>
      <c r="AR59" s="88">
        <v>1</v>
      </c>
      <c r="AS59" s="86">
        <v>0</v>
      </c>
      <c r="AT59" s="82">
        <v>0</v>
      </c>
      <c r="AU59" s="89">
        <v>0</v>
      </c>
      <c r="AV59" s="84">
        <f t="shared" si="25"/>
        <v>0.3</v>
      </c>
      <c r="AW59" s="148"/>
      <c r="AX59" s="87"/>
      <c r="AY59" s="89"/>
      <c r="AZ59" s="84">
        <f t="shared" si="26"/>
        <v>0</v>
      </c>
      <c r="BA59" s="85">
        <v>1</v>
      </c>
      <c r="BB59" s="82">
        <v>1</v>
      </c>
      <c r="BC59" s="89">
        <v>0</v>
      </c>
      <c r="BD59" s="84">
        <f t="shared" si="27"/>
        <v>0.75</v>
      </c>
      <c r="BE59" s="135"/>
      <c r="BF59" s="92" t="e">
        <f t="shared" si="28"/>
        <v>#DIV/0!</v>
      </c>
      <c r="BG59" s="102"/>
    </row>
    <row r="60" spans="2:59" s="94" customFormat="1" ht="43.5" customHeight="1" thickBot="1" x14ac:dyDescent="0.4">
      <c r="B60" s="80">
        <v>313</v>
      </c>
      <c r="C60" s="81">
        <v>1</v>
      </c>
      <c r="D60" s="82">
        <v>1</v>
      </c>
      <c r="E60" s="82">
        <v>1</v>
      </c>
      <c r="F60" s="83">
        <v>1</v>
      </c>
      <c r="G60" s="133">
        <f t="shared" si="20"/>
        <v>1</v>
      </c>
      <c r="H60" s="88">
        <v>0.9</v>
      </c>
      <c r="I60" s="86">
        <v>0.9</v>
      </c>
      <c r="J60" s="82">
        <v>0.8</v>
      </c>
      <c r="K60" s="89">
        <v>0.7</v>
      </c>
      <c r="L60" s="90">
        <f t="shared" si="21"/>
        <v>0.83000000000000007</v>
      </c>
      <c r="M60" s="85">
        <v>1</v>
      </c>
      <c r="N60" s="86">
        <v>1</v>
      </c>
      <c r="O60" s="82">
        <v>0.95</v>
      </c>
      <c r="P60" s="87">
        <v>1</v>
      </c>
      <c r="Q60" s="88">
        <v>1</v>
      </c>
      <c r="R60" s="86">
        <v>1</v>
      </c>
      <c r="S60" s="82">
        <v>1</v>
      </c>
      <c r="T60" s="89">
        <v>1</v>
      </c>
      <c r="U60" s="88">
        <v>1</v>
      </c>
      <c r="V60" s="86">
        <v>1</v>
      </c>
      <c r="W60" s="82">
        <v>1</v>
      </c>
      <c r="X60" s="89">
        <v>1</v>
      </c>
      <c r="Y60" s="90">
        <f t="shared" si="22"/>
        <v>0.99750000000000005</v>
      </c>
      <c r="Z60" s="88">
        <v>0.5</v>
      </c>
      <c r="AA60" s="86">
        <v>0.5</v>
      </c>
      <c r="AB60" s="82">
        <v>0.5</v>
      </c>
      <c r="AC60" s="89">
        <v>0.5</v>
      </c>
      <c r="AD60" s="90">
        <f t="shared" si="23"/>
        <v>0.5</v>
      </c>
      <c r="AE60" s="88">
        <v>1</v>
      </c>
      <c r="AF60" s="86">
        <v>1</v>
      </c>
      <c r="AG60" s="82">
        <v>1</v>
      </c>
      <c r="AH60" s="87">
        <v>1</v>
      </c>
      <c r="AI60" s="84">
        <f t="shared" si="29"/>
        <v>1</v>
      </c>
      <c r="AJ60" s="97">
        <v>1</v>
      </c>
      <c r="AK60" s="98">
        <v>0</v>
      </c>
      <c r="AL60" s="99"/>
      <c r="AM60" s="88">
        <v>0</v>
      </c>
      <c r="AN60" s="86">
        <v>0</v>
      </c>
      <c r="AO60" s="82">
        <v>1</v>
      </c>
      <c r="AP60" s="89">
        <v>1</v>
      </c>
      <c r="AQ60" s="84">
        <f t="shared" si="24"/>
        <v>0.5</v>
      </c>
      <c r="AR60" s="88">
        <v>0.7</v>
      </c>
      <c r="AS60" s="86">
        <v>0</v>
      </c>
      <c r="AT60" s="82">
        <v>0</v>
      </c>
      <c r="AU60" s="89">
        <v>0</v>
      </c>
      <c r="AV60" s="84">
        <f t="shared" si="25"/>
        <v>0.21</v>
      </c>
      <c r="AW60" s="148"/>
      <c r="AX60" s="87"/>
      <c r="AY60" s="89"/>
      <c r="AZ60" s="84">
        <f t="shared" si="26"/>
        <v>0</v>
      </c>
      <c r="BA60" s="85">
        <v>0</v>
      </c>
      <c r="BB60" s="82">
        <v>0</v>
      </c>
      <c r="BC60" s="89">
        <v>0</v>
      </c>
      <c r="BD60" s="84">
        <f t="shared" si="27"/>
        <v>0</v>
      </c>
      <c r="BE60" s="135"/>
      <c r="BF60" s="92" t="e">
        <f t="shared" si="28"/>
        <v>#DIV/0!</v>
      </c>
      <c r="BG60" s="105"/>
    </row>
    <row r="61" spans="2:59" s="94" customFormat="1" ht="43.5" customHeight="1" thickBot="1" x14ac:dyDescent="0.4">
      <c r="B61" s="95">
        <v>314</v>
      </c>
      <c r="C61" s="81">
        <v>1</v>
      </c>
      <c r="D61" s="82">
        <v>1</v>
      </c>
      <c r="E61" s="82">
        <v>1</v>
      </c>
      <c r="F61" s="83">
        <v>1</v>
      </c>
      <c r="G61" s="133">
        <f t="shared" si="20"/>
        <v>1</v>
      </c>
      <c r="H61" s="88">
        <v>0.9</v>
      </c>
      <c r="I61" s="86">
        <v>0.9</v>
      </c>
      <c r="J61" s="82">
        <v>0.9</v>
      </c>
      <c r="K61" s="89">
        <v>0.9</v>
      </c>
      <c r="L61" s="90">
        <f t="shared" si="21"/>
        <v>0.9</v>
      </c>
      <c r="M61" s="85">
        <v>1</v>
      </c>
      <c r="N61" s="86">
        <v>1</v>
      </c>
      <c r="O61" s="82">
        <v>0.95</v>
      </c>
      <c r="P61" s="87">
        <v>1</v>
      </c>
      <c r="Q61" s="88">
        <v>1</v>
      </c>
      <c r="R61" s="86">
        <v>1</v>
      </c>
      <c r="S61" s="82">
        <v>1</v>
      </c>
      <c r="T61" s="89">
        <v>1</v>
      </c>
      <c r="U61" s="88">
        <v>1</v>
      </c>
      <c r="V61" s="86">
        <v>1</v>
      </c>
      <c r="W61" s="82">
        <v>1</v>
      </c>
      <c r="X61" s="89">
        <v>1</v>
      </c>
      <c r="Y61" s="90">
        <f t="shared" si="22"/>
        <v>0.99750000000000005</v>
      </c>
      <c r="Z61" s="88">
        <v>0.5</v>
      </c>
      <c r="AA61" s="86">
        <v>0.5</v>
      </c>
      <c r="AB61" s="82">
        <v>0.5</v>
      </c>
      <c r="AC61" s="89">
        <v>0.5</v>
      </c>
      <c r="AD61" s="90">
        <f t="shared" si="23"/>
        <v>0.5</v>
      </c>
      <c r="AE61" s="88">
        <v>1</v>
      </c>
      <c r="AF61" s="86">
        <v>1</v>
      </c>
      <c r="AG61" s="82">
        <v>1</v>
      </c>
      <c r="AH61" s="87">
        <v>1</v>
      </c>
      <c r="AI61" s="84">
        <f t="shared" si="29"/>
        <v>1</v>
      </c>
      <c r="AJ61" s="97">
        <v>1</v>
      </c>
      <c r="AK61" s="98">
        <v>0</v>
      </c>
      <c r="AL61" s="99"/>
      <c r="AM61" s="88">
        <v>1</v>
      </c>
      <c r="AN61" s="86">
        <v>1</v>
      </c>
      <c r="AO61" s="82">
        <v>1</v>
      </c>
      <c r="AP61" s="89">
        <v>1</v>
      </c>
      <c r="AQ61" s="84">
        <f t="shared" si="24"/>
        <v>1</v>
      </c>
      <c r="AR61" s="88">
        <v>0</v>
      </c>
      <c r="AS61" s="86">
        <v>0</v>
      </c>
      <c r="AT61" s="82">
        <v>0</v>
      </c>
      <c r="AU61" s="89">
        <v>0</v>
      </c>
      <c r="AV61" s="84">
        <f t="shared" si="25"/>
        <v>0</v>
      </c>
      <c r="AW61" s="148"/>
      <c r="AX61" s="87"/>
      <c r="AY61" s="89"/>
      <c r="AZ61" s="84">
        <f t="shared" si="26"/>
        <v>0</v>
      </c>
      <c r="BA61" s="85">
        <v>0</v>
      </c>
      <c r="BB61" s="82">
        <v>0</v>
      </c>
      <c r="BC61" s="89">
        <v>0</v>
      </c>
      <c r="BD61" s="84">
        <f t="shared" si="27"/>
        <v>0</v>
      </c>
      <c r="BE61" s="135"/>
      <c r="BF61" s="92" t="e">
        <f t="shared" si="28"/>
        <v>#DIV/0!</v>
      </c>
      <c r="BG61" s="103"/>
    </row>
    <row r="62" spans="2:59" s="94" customFormat="1" ht="43.5" customHeight="1" thickBot="1" x14ac:dyDescent="0.4">
      <c r="B62" s="80">
        <v>315</v>
      </c>
      <c r="C62" s="81">
        <v>1</v>
      </c>
      <c r="D62" s="82">
        <v>1</v>
      </c>
      <c r="E62" s="82">
        <v>1</v>
      </c>
      <c r="F62" s="83">
        <v>1</v>
      </c>
      <c r="G62" s="133">
        <f t="shared" si="20"/>
        <v>1</v>
      </c>
      <c r="H62" s="88">
        <v>0.9</v>
      </c>
      <c r="I62" s="86">
        <v>0.9</v>
      </c>
      <c r="J62" s="82">
        <v>0.9</v>
      </c>
      <c r="K62" s="89">
        <v>0.9</v>
      </c>
      <c r="L62" s="90">
        <f t="shared" si="21"/>
        <v>0.9</v>
      </c>
      <c r="M62" s="85">
        <v>1</v>
      </c>
      <c r="N62" s="86">
        <v>1</v>
      </c>
      <c r="O62" s="82">
        <v>0.95</v>
      </c>
      <c r="P62" s="87">
        <v>1</v>
      </c>
      <c r="Q62" s="88">
        <v>1</v>
      </c>
      <c r="R62" s="86">
        <v>1</v>
      </c>
      <c r="S62" s="82">
        <v>1</v>
      </c>
      <c r="T62" s="89">
        <v>1</v>
      </c>
      <c r="U62" s="88">
        <v>1</v>
      </c>
      <c r="V62" s="86">
        <v>1</v>
      </c>
      <c r="W62" s="82">
        <v>1</v>
      </c>
      <c r="X62" s="89">
        <v>1</v>
      </c>
      <c r="Y62" s="90">
        <f t="shared" si="22"/>
        <v>0.99750000000000005</v>
      </c>
      <c r="Z62" s="88">
        <v>0.5</v>
      </c>
      <c r="AA62" s="86">
        <v>0.5</v>
      </c>
      <c r="AB62" s="82">
        <v>0.5</v>
      </c>
      <c r="AC62" s="89">
        <v>0.5</v>
      </c>
      <c r="AD62" s="90">
        <f t="shared" si="23"/>
        <v>0.5</v>
      </c>
      <c r="AE62" s="88">
        <v>0.7</v>
      </c>
      <c r="AF62" s="86">
        <v>0</v>
      </c>
      <c r="AG62" s="82">
        <v>1</v>
      </c>
      <c r="AH62" s="87">
        <v>0.7</v>
      </c>
      <c r="AI62" s="84">
        <f t="shared" si="29"/>
        <v>0.59499999999999997</v>
      </c>
      <c r="AJ62" s="97">
        <v>1</v>
      </c>
      <c r="AK62" s="98">
        <v>0</v>
      </c>
      <c r="AL62" s="99"/>
      <c r="AM62" s="88">
        <v>1</v>
      </c>
      <c r="AN62" s="86">
        <v>1</v>
      </c>
      <c r="AO62" s="82">
        <v>1</v>
      </c>
      <c r="AP62" s="89">
        <v>1</v>
      </c>
      <c r="AQ62" s="84">
        <f t="shared" si="24"/>
        <v>1</v>
      </c>
      <c r="AR62" s="88">
        <v>0</v>
      </c>
      <c r="AS62" s="86">
        <v>0</v>
      </c>
      <c r="AT62" s="82">
        <v>0</v>
      </c>
      <c r="AU62" s="89">
        <v>0</v>
      </c>
      <c r="AV62" s="84">
        <f t="shared" si="25"/>
        <v>0</v>
      </c>
      <c r="AW62" s="148"/>
      <c r="AX62" s="87"/>
      <c r="AY62" s="89"/>
      <c r="AZ62" s="84">
        <f t="shared" si="26"/>
        <v>0</v>
      </c>
      <c r="BA62" s="85">
        <v>0</v>
      </c>
      <c r="BB62" s="82">
        <v>0</v>
      </c>
      <c r="BC62" s="89">
        <v>0</v>
      </c>
      <c r="BD62" s="84">
        <f t="shared" si="27"/>
        <v>0</v>
      </c>
      <c r="BE62" s="135"/>
      <c r="BF62" s="92" t="e">
        <f t="shared" si="28"/>
        <v>#DIV/0!</v>
      </c>
      <c r="BG62" s="103"/>
    </row>
    <row r="63" spans="2:59" s="94" customFormat="1" ht="43.5" customHeight="1" thickBot="1" x14ac:dyDescent="0.4">
      <c r="B63" s="80">
        <v>316</v>
      </c>
      <c r="C63" s="137">
        <v>1</v>
      </c>
      <c r="D63" s="110">
        <v>1</v>
      </c>
      <c r="E63" s="110">
        <v>1</v>
      </c>
      <c r="F63" s="138">
        <v>1</v>
      </c>
      <c r="G63" s="133">
        <f t="shared" si="20"/>
        <v>1</v>
      </c>
      <c r="H63" s="108">
        <v>0.9</v>
      </c>
      <c r="I63" s="109">
        <v>0.9</v>
      </c>
      <c r="J63" s="110">
        <v>0.9</v>
      </c>
      <c r="K63" s="111">
        <v>0.9</v>
      </c>
      <c r="L63" s="90">
        <f t="shared" si="21"/>
        <v>0.9</v>
      </c>
      <c r="M63" s="112">
        <v>1</v>
      </c>
      <c r="N63" s="109">
        <v>1</v>
      </c>
      <c r="O63" s="110">
        <v>0.95</v>
      </c>
      <c r="P63" s="113">
        <v>1</v>
      </c>
      <c r="Q63" s="108">
        <v>1</v>
      </c>
      <c r="R63" s="109">
        <v>1</v>
      </c>
      <c r="S63" s="110">
        <v>1</v>
      </c>
      <c r="T63" s="111">
        <v>1</v>
      </c>
      <c r="U63" s="108">
        <v>1</v>
      </c>
      <c r="V63" s="109">
        <v>1</v>
      </c>
      <c r="W63" s="110">
        <v>1</v>
      </c>
      <c r="X63" s="111">
        <v>1</v>
      </c>
      <c r="Y63" s="90">
        <f t="shared" si="22"/>
        <v>0.99750000000000005</v>
      </c>
      <c r="Z63" s="108">
        <v>0.5</v>
      </c>
      <c r="AA63" s="109">
        <v>0.5</v>
      </c>
      <c r="AB63" s="110">
        <v>0.5</v>
      </c>
      <c r="AC63" s="111">
        <v>0.5</v>
      </c>
      <c r="AD63" s="90">
        <f t="shared" si="23"/>
        <v>0.5</v>
      </c>
      <c r="AE63" s="108">
        <v>1</v>
      </c>
      <c r="AF63" s="109">
        <v>1</v>
      </c>
      <c r="AG63" s="110">
        <v>0.7</v>
      </c>
      <c r="AH63" s="113">
        <v>1</v>
      </c>
      <c r="AI63" s="84">
        <f t="shared" si="29"/>
        <v>0.89500000000000002</v>
      </c>
      <c r="AJ63" s="114">
        <v>1</v>
      </c>
      <c r="AK63" s="115">
        <v>0</v>
      </c>
      <c r="AL63" s="116"/>
      <c r="AM63" s="108">
        <v>1</v>
      </c>
      <c r="AN63" s="109">
        <v>1</v>
      </c>
      <c r="AO63" s="110">
        <v>1</v>
      </c>
      <c r="AP63" s="111">
        <v>1</v>
      </c>
      <c r="AQ63" s="84">
        <f t="shared" si="24"/>
        <v>1</v>
      </c>
      <c r="AR63" s="108">
        <v>0</v>
      </c>
      <c r="AS63" s="109">
        <v>0</v>
      </c>
      <c r="AT63" s="110">
        <v>0</v>
      </c>
      <c r="AU63" s="111">
        <v>0</v>
      </c>
      <c r="AV63" s="84">
        <f t="shared" si="25"/>
        <v>0</v>
      </c>
      <c r="AW63" s="149"/>
      <c r="AX63" s="113"/>
      <c r="AY63" s="111"/>
      <c r="AZ63" s="84">
        <f t="shared" si="26"/>
        <v>0</v>
      </c>
      <c r="BA63" s="112">
        <v>0</v>
      </c>
      <c r="BB63" s="110">
        <v>0</v>
      </c>
      <c r="BC63" s="111">
        <v>0</v>
      </c>
      <c r="BD63" s="84">
        <f t="shared" si="27"/>
        <v>0</v>
      </c>
      <c r="BE63" s="135"/>
      <c r="BF63" s="92" t="e">
        <f t="shared" si="28"/>
        <v>#DIV/0!</v>
      </c>
      <c r="BG63" s="118"/>
    </row>
    <row r="64" spans="2:59" s="94" customFormat="1" ht="43.5" customHeight="1" thickBot="1" x14ac:dyDescent="0.4">
      <c r="B64" s="173" t="s">
        <v>94</v>
      </c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74"/>
      <c r="S64" s="174"/>
      <c r="T64" s="174"/>
      <c r="U64" s="174"/>
      <c r="V64" s="174"/>
      <c r="W64" s="174"/>
      <c r="X64" s="174"/>
      <c r="Y64" s="174"/>
      <c r="Z64" s="174"/>
      <c r="AA64" s="174"/>
      <c r="AB64" s="174"/>
      <c r="AC64" s="174"/>
      <c r="AD64" s="174"/>
      <c r="AE64" s="174"/>
      <c r="AF64" s="174"/>
      <c r="AG64" s="174"/>
      <c r="AH64" s="174"/>
      <c r="AI64" s="174"/>
      <c r="AJ64" s="174"/>
      <c r="AK64" s="174"/>
      <c r="AL64" s="174"/>
      <c r="AM64" s="174"/>
      <c r="AN64" s="174"/>
      <c r="AO64" s="174"/>
      <c r="AP64" s="174"/>
      <c r="AQ64" s="174"/>
      <c r="AR64" s="174"/>
      <c r="AS64" s="174"/>
      <c r="AT64" s="174"/>
      <c r="AU64" s="174"/>
      <c r="AV64" s="174"/>
      <c r="AW64" s="174"/>
      <c r="AX64" s="174"/>
      <c r="AY64" s="174"/>
      <c r="AZ64" s="174"/>
      <c r="BA64" s="174"/>
      <c r="BB64" s="174"/>
      <c r="BC64" s="174"/>
      <c r="BD64" s="174"/>
      <c r="BE64" s="174"/>
      <c r="BF64" s="174"/>
      <c r="BG64" s="176"/>
    </row>
    <row r="65" spans="2:59" s="94" customFormat="1" ht="43.5" customHeight="1" thickBot="1" x14ac:dyDescent="0.4">
      <c r="B65" s="80">
        <v>401</v>
      </c>
      <c r="C65" s="81">
        <v>1</v>
      </c>
      <c r="D65" s="82">
        <v>1</v>
      </c>
      <c r="E65" s="82">
        <v>1</v>
      </c>
      <c r="F65" s="83">
        <v>1</v>
      </c>
      <c r="G65" s="133">
        <f t="shared" ref="G65:G80" si="30" xml:space="preserve"> C65*45% + D65*45% + E65*5% + F65*5%</f>
        <v>1</v>
      </c>
      <c r="H65" s="88">
        <v>1</v>
      </c>
      <c r="I65" s="86">
        <v>1</v>
      </c>
      <c r="J65" s="82">
        <v>1</v>
      </c>
      <c r="K65" s="89">
        <v>1</v>
      </c>
      <c r="L65" s="90">
        <f t="shared" ref="L65:L80" si="31" xml:space="preserve"> H65*30% + I65*30% + J65*10% + K65*30%</f>
        <v>1</v>
      </c>
      <c r="M65" s="85">
        <v>1</v>
      </c>
      <c r="N65" s="86">
        <v>1</v>
      </c>
      <c r="O65" s="82">
        <v>0.95</v>
      </c>
      <c r="P65" s="87">
        <v>1</v>
      </c>
      <c r="Q65" s="88">
        <v>1</v>
      </c>
      <c r="R65" s="86">
        <v>1</v>
      </c>
      <c r="S65" s="82">
        <v>1</v>
      </c>
      <c r="T65" s="89">
        <v>1</v>
      </c>
      <c r="U65" s="88">
        <v>1</v>
      </c>
      <c r="V65" s="86">
        <v>1</v>
      </c>
      <c r="W65" s="82">
        <v>1</v>
      </c>
      <c r="X65" s="89">
        <v>1</v>
      </c>
      <c r="Y65" s="90">
        <f t="shared" ref="Y65:Y80" si="32" xml:space="preserve"> (U65*10% + V65*10% + W65*10% + X65*10%+ Q65*5% + R65*5% + S65*5% + T65*5%+M65*10% + N65*15% + O65*5% + P65*10%)</f>
        <v>0.99750000000000005</v>
      </c>
      <c r="Z65" s="88">
        <v>0.5</v>
      </c>
      <c r="AA65" s="86">
        <v>0.5</v>
      </c>
      <c r="AB65" s="82">
        <v>0.5</v>
      </c>
      <c r="AC65" s="89">
        <v>0.5</v>
      </c>
      <c r="AD65" s="90">
        <f t="shared" ref="AD65:AD80" si="33" xml:space="preserve"> Z65*45% + AA65*45% + AB65*5% + AC65*5%</f>
        <v>0.5</v>
      </c>
      <c r="AE65" s="88">
        <v>1</v>
      </c>
      <c r="AF65" s="86">
        <v>1</v>
      </c>
      <c r="AG65" s="82">
        <v>1</v>
      </c>
      <c r="AH65" s="87">
        <v>1</v>
      </c>
      <c r="AI65" s="84">
        <f xml:space="preserve"> AE65*5% + AF65*30% + AG65*35% + AH65*30%</f>
        <v>1</v>
      </c>
      <c r="AJ65" s="97">
        <v>1</v>
      </c>
      <c r="AK65" s="98">
        <v>1</v>
      </c>
      <c r="AL65" s="99"/>
      <c r="AM65" s="88">
        <v>0.75</v>
      </c>
      <c r="AN65" s="88">
        <v>0.75</v>
      </c>
      <c r="AO65" s="88">
        <v>0.75</v>
      </c>
      <c r="AP65" s="89">
        <v>0.8</v>
      </c>
      <c r="AQ65" s="84">
        <f t="shared" ref="AQ65:AQ80" si="34" xml:space="preserve"> AM65*15% + AN65*35% + AO65*15% + AP65*35%</f>
        <v>0.76749999999999985</v>
      </c>
      <c r="AR65" s="88">
        <v>0</v>
      </c>
      <c r="AS65" s="86">
        <v>0</v>
      </c>
      <c r="AT65" s="82">
        <v>0</v>
      </c>
      <c r="AU65" s="89">
        <v>0</v>
      </c>
      <c r="AV65" s="84">
        <f t="shared" ref="AV65:AV80" si="35" xml:space="preserve"> AR65*30% + AS65*30% + AT65*15% + AU65*25%</f>
        <v>0</v>
      </c>
      <c r="AW65" s="148"/>
      <c r="AX65" s="87"/>
      <c r="AY65" s="89"/>
      <c r="AZ65" s="84">
        <f xml:space="preserve">  AW65*30% + AX65*45% + AY65*25%</f>
        <v>0</v>
      </c>
      <c r="BA65" s="86">
        <v>0</v>
      </c>
      <c r="BB65" s="82">
        <v>0</v>
      </c>
      <c r="BC65" s="89">
        <v>0</v>
      </c>
      <c r="BD65" s="84">
        <f t="shared" ref="BD65:BD80" si="36" xml:space="preserve">  BA65*30% + BB65*45% + BC65*25%</f>
        <v>0</v>
      </c>
      <c r="BE65" s="135"/>
      <c r="BF65" s="92" t="e">
        <f t="shared" ref="BF65:BF80" si="37">(
(COUNTIF(B65:E65,"✓")/(COUNTIF(B65:E65,"✓")+COUNTIF(B65:E65,"x")))*0.2 +
(COUNTIF(F65:J65,"✓")/(COUNTIF(F65:J65,"✓")+COUNTIF(F65:J65,"x")))*0.1 +
(COUNTIF(K65:O65,"✓")/(COUNTIF(K65:O65,"✓")+COUNTIF(K65:O65,"x")))*0.1 +
(COUNTIF(P65:S65,"✓")/(COUNTIF(P65:S65,"✓")+COUNTIF(P65:S65,"x")))*0.1 +
(COUNTIF(T65:W65,"✓")/(COUNTIF(T65:W65,"✓")+COUNTIF(T65:W65,"x")))*0.1 +
(COUNTIF(X65:AB65,"✓")/(COUNTIF(X65:AB65,"✓")+COUNTIF(X65:AB65,"x")))*0.1 +
(COUNTIF(AC65:AO65,"✓")/(COUNTIF(AC65:AO65,"✓")+COUNTIF(AC65:AO65,"x")))*0.1 +
(COUNTIF(AP65:AT65,"✓")/(COUNTIF(AP65:AT65,"✓")+COUNTIF(AP65:AT65,"x")))*0.05 +
(COUNTIF(AU65:BB65,"✓")/(COUNTIF(AU65:BB65,"✓")+COUNTIF(AU65:BB65,"x")))*0.1 +
(COUNTIF(BC65:BC65,"✓")/(COUNTIF(BC65:BC65,"✓")+COUNTIF(BC65:BC65,"x")))*0.05
)</f>
        <v>#DIV/0!</v>
      </c>
      <c r="BG65" s="93"/>
    </row>
    <row r="66" spans="2:59" s="101" customFormat="1" ht="43.5" customHeight="1" thickBot="1" x14ac:dyDescent="0.4">
      <c r="B66" s="95">
        <v>402</v>
      </c>
      <c r="C66" s="81">
        <v>1</v>
      </c>
      <c r="D66" s="82">
        <v>1</v>
      </c>
      <c r="E66" s="82">
        <v>1</v>
      </c>
      <c r="F66" s="83">
        <v>1</v>
      </c>
      <c r="G66" s="133">
        <f t="shared" si="30"/>
        <v>1</v>
      </c>
      <c r="H66" s="88">
        <v>1</v>
      </c>
      <c r="I66" s="86">
        <v>0.9</v>
      </c>
      <c r="J66" s="82">
        <v>0.9</v>
      </c>
      <c r="K66" s="89">
        <v>0.9</v>
      </c>
      <c r="L66" s="90">
        <f t="shared" si="31"/>
        <v>0.93</v>
      </c>
      <c r="M66" s="85">
        <v>1</v>
      </c>
      <c r="N66" s="86">
        <v>1</v>
      </c>
      <c r="O66" s="82">
        <v>0.95</v>
      </c>
      <c r="P66" s="87">
        <v>1</v>
      </c>
      <c r="Q66" s="88">
        <v>1</v>
      </c>
      <c r="R66" s="86">
        <v>1</v>
      </c>
      <c r="S66" s="82">
        <v>1</v>
      </c>
      <c r="T66" s="89">
        <v>1</v>
      </c>
      <c r="U66" s="88">
        <v>1</v>
      </c>
      <c r="V66" s="86">
        <v>1</v>
      </c>
      <c r="W66" s="82">
        <v>1</v>
      </c>
      <c r="X66" s="89">
        <v>1</v>
      </c>
      <c r="Y66" s="90">
        <f t="shared" si="32"/>
        <v>0.99750000000000005</v>
      </c>
      <c r="Z66" s="88">
        <v>0.5</v>
      </c>
      <c r="AA66" s="86">
        <v>0.5</v>
      </c>
      <c r="AB66" s="82">
        <v>0.5</v>
      </c>
      <c r="AC66" s="89">
        <v>0.5</v>
      </c>
      <c r="AD66" s="90">
        <f t="shared" si="33"/>
        <v>0.5</v>
      </c>
      <c r="AE66" s="88">
        <v>0.7</v>
      </c>
      <c r="AF66" s="86">
        <v>1</v>
      </c>
      <c r="AG66" s="82">
        <v>1</v>
      </c>
      <c r="AH66" s="87">
        <v>0</v>
      </c>
      <c r="AI66" s="84">
        <f t="shared" ref="AI66:AI80" si="38" xml:space="preserve"> AE66*5% + AF66*30% + AG66*35% + AH66*30%</f>
        <v>0.68499999999999994</v>
      </c>
      <c r="AJ66" s="97">
        <v>1</v>
      </c>
      <c r="AK66" s="98">
        <v>0</v>
      </c>
      <c r="AL66" s="99"/>
      <c r="AM66" s="88">
        <v>0.75</v>
      </c>
      <c r="AN66" s="88">
        <v>0.75</v>
      </c>
      <c r="AO66" s="88">
        <v>0.75</v>
      </c>
      <c r="AP66" s="89">
        <v>0.9</v>
      </c>
      <c r="AQ66" s="84">
        <f t="shared" si="34"/>
        <v>0.80249999999999999</v>
      </c>
      <c r="AR66" s="88">
        <v>0</v>
      </c>
      <c r="AS66" s="86">
        <v>0</v>
      </c>
      <c r="AT66" s="82">
        <v>0</v>
      </c>
      <c r="AU66" s="89">
        <v>0</v>
      </c>
      <c r="AV66" s="84">
        <f t="shared" si="35"/>
        <v>0</v>
      </c>
      <c r="AW66" s="148"/>
      <c r="AX66" s="87"/>
      <c r="AY66" s="89"/>
      <c r="AZ66" s="84">
        <f t="shared" ref="AZ66:AZ80" si="39" xml:space="preserve">  AW66*30% + AX66*45% + AY66*25%</f>
        <v>0</v>
      </c>
      <c r="BA66" s="86">
        <v>0</v>
      </c>
      <c r="BB66" s="82">
        <v>0</v>
      </c>
      <c r="BC66" s="89">
        <v>0</v>
      </c>
      <c r="BD66" s="84">
        <f t="shared" si="36"/>
        <v>0</v>
      </c>
      <c r="BE66" s="135"/>
      <c r="BF66" s="92" t="e">
        <f t="shared" si="37"/>
        <v>#DIV/0!</v>
      </c>
      <c r="BG66" s="132"/>
    </row>
    <row r="67" spans="2:59" s="94" customFormat="1" ht="43.5" customHeight="1" thickBot="1" x14ac:dyDescent="0.4">
      <c r="B67" s="80">
        <v>403</v>
      </c>
      <c r="C67" s="81">
        <v>1</v>
      </c>
      <c r="D67" s="82">
        <v>1</v>
      </c>
      <c r="E67" s="82">
        <v>1</v>
      </c>
      <c r="F67" s="83">
        <v>1</v>
      </c>
      <c r="G67" s="133">
        <f t="shared" si="30"/>
        <v>1</v>
      </c>
      <c r="H67" s="88">
        <v>1</v>
      </c>
      <c r="I67" s="86">
        <v>1</v>
      </c>
      <c r="J67" s="82">
        <v>1</v>
      </c>
      <c r="K67" s="89">
        <v>1</v>
      </c>
      <c r="L67" s="90">
        <f t="shared" si="31"/>
        <v>1</v>
      </c>
      <c r="M67" s="85">
        <v>1</v>
      </c>
      <c r="N67" s="86">
        <v>1</v>
      </c>
      <c r="O67" s="82">
        <v>0.95</v>
      </c>
      <c r="P67" s="87">
        <v>1</v>
      </c>
      <c r="Q67" s="88">
        <v>1</v>
      </c>
      <c r="R67" s="86">
        <v>1</v>
      </c>
      <c r="S67" s="82">
        <v>1</v>
      </c>
      <c r="T67" s="89">
        <v>1</v>
      </c>
      <c r="U67" s="88">
        <v>1</v>
      </c>
      <c r="V67" s="86">
        <v>1</v>
      </c>
      <c r="W67" s="82">
        <v>1</v>
      </c>
      <c r="X67" s="89">
        <v>1</v>
      </c>
      <c r="Y67" s="90">
        <f t="shared" si="32"/>
        <v>0.99750000000000005</v>
      </c>
      <c r="Z67" s="88">
        <v>0.5</v>
      </c>
      <c r="AA67" s="86">
        <v>0.5</v>
      </c>
      <c r="AB67" s="82">
        <v>0.5</v>
      </c>
      <c r="AC67" s="89">
        <v>0.5</v>
      </c>
      <c r="AD67" s="90">
        <f t="shared" si="33"/>
        <v>0.5</v>
      </c>
      <c r="AE67" s="88">
        <v>1</v>
      </c>
      <c r="AF67" s="86">
        <v>1</v>
      </c>
      <c r="AG67" s="82">
        <v>0.7</v>
      </c>
      <c r="AH67" s="87">
        <v>1</v>
      </c>
      <c r="AI67" s="84">
        <f t="shared" si="38"/>
        <v>0.89500000000000002</v>
      </c>
      <c r="AJ67" s="97">
        <v>1</v>
      </c>
      <c r="AK67" s="98">
        <v>1</v>
      </c>
      <c r="AL67" s="99"/>
      <c r="AM67" s="88">
        <v>0.75</v>
      </c>
      <c r="AN67" s="88">
        <v>0.75</v>
      </c>
      <c r="AO67" s="88">
        <v>0.75</v>
      </c>
      <c r="AP67" s="89">
        <v>0.8</v>
      </c>
      <c r="AQ67" s="84">
        <f t="shared" si="34"/>
        <v>0.76749999999999985</v>
      </c>
      <c r="AR67" s="88">
        <v>0</v>
      </c>
      <c r="AS67" s="86">
        <v>0</v>
      </c>
      <c r="AT67" s="82">
        <v>0</v>
      </c>
      <c r="AU67" s="89">
        <v>0</v>
      </c>
      <c r="AV67" s="84">
        <f t="shared" si="35"/>
        <v>0</v>
      </c>
      <c r="AW67" s="148"/>
      <c r="AX67" s="87"/>
      <c r="AY67" s="89"/>
      <c r="AZ67" s="84">
        <f t="shared" si="39"/>
        <v>0</v>
      </c>
      <c r="BA67" s="86">
        <v>0</v>
      </c>
      <c r="BB67" s="82">
        <v>0</v>
      </c>
      <c r="BC67" s="89">
        <v>0</v>
      </c>
      <c r="BD67" s="84">
        <f t="shared" si="36"/>
        <v>0</v>
      </c>
      <c r="BE67" s="135"/>
      <c r="BF67" s="92" t="e">
        <f t="shared" si="37"/>
        <v>#DIV/0!</v>
      </c>
      <c r="BG67" s="103"/>
    </row>
    <row r="68" spans="2:59" s="94" customFormat="1" ht="43.5" customHeight="1" thickBot="1" x14ac:dyDescent="0.4">
      <c r="B68" s="95">
        <v>404</v>
      </c>
      <c r="C68" s="81">
        <v>1</v>
      </c>
      <c r="D68" s="82">
        <v>1</v>
      </c>
      <c r="E68" s="82">
        <v>1</v>
      </c>
      <c r="F68" s="83">
        <v>1</v>
      </c>
      <c r="G68" s="133">
        <f t="shared" si="30"/>
        <v>1</v>
      </c>
      <c r="H68" s="88">
        <v>0.9</v>
      </c>
      <c r="I68" s="86">
        <v>0.9</v>
      </c>
      <c r="J68" s="82">
        <v>0.9</v>
      </c>
      <c r="K68" s="89">
        <v>0.9</v>
      </c>
      <c r="L68" s="90">
        <f t="shared" si="31"/>
        <v>0.9</v>
      </c>
      <c r="M68" s="85">
        <v>1</v>
      </c>
      <c r="N68" s="86">
        <v>1</v>
      </c>
      <c r="O68" s="82">
        <v>0.95</v>
      </c>
      <c r="P68" s="87">
        <v>1</v>
      </c>
      <c r="Q68" s="88">
        <v>1</v>
      </c>
      <c r="R68" s="86">
        <v>1</v>
      </c>
      <c r="S68" s="82">
        <v>1</v>
      </c>
      <c r="T68" s="89">
        <v>1</v>
      </c>
      <c r="U68" s="88">
        <v>1</v>
      </c>
      <c r="V68" s="86">
        <v>1</v>
      </c>
      <c r="W68" s="82">
        <v>1</v>
      </c>
      <c r="X68" s="89">
        <v>1</v>
      </c>
      <c r="Y68" s="90">
        <f t="shared" si="32"/>
        <v>0.99750000000000005</v>
      </c>
      <c r="Z68" s="88">
        <v>0.5</v>
      </c>
      <c r="AA68" s="86">
        <v>0.5</v>
      </c>
      <c r="AB68" s="82">
        <v>0.5</v>
      </c>
      <c r="AC68" s="89">
        <v>0.5</v>
      </c>
      <c r="AD68" s="90">
        <f t="shared" si="33"/>
        <v>0.5</v>
      </c>
      <c r="AE68" s="88">
        <v>0.7</v>
      </c>
      <c r="AF68" s="86">
        <v>1</v>
      </c>
      <c r="AG68" s="82">
        <v>1</v>
      </c>
      <c r="AH68" s="87">
        <v>0</v>
      </c>
      <c r="AI68" s="84">
        <f t="shared" si="38"/>
        <v>0.68499999999999994</v>
      </c>
      <c r="AJ68" s="97">
        <v>1</v>
      </c>
      <c r="AK68" s="98">
        <v>0</v>
      </c>
      <c r="AL68" s="99"/>
      <c r="AM68" s="88">
        <v>0.75</v>
      </c>
      <c r="AN68" s="88">
        <v>0.75</v>
      </c>
      <c r="AO68" s="88">
        <v>0.75</v>
      </c>
      <c r="AP68" s="89">
        <v>0.9</v>
      </c>
      <c r="AQ68" s="84">
        <f t="shared" si="34"/>
        <v>0.80249999999999999</v>
      </c>
      <c r="AR68" s="88">
        <v>0</v>
      </c>
      <c r="AS68" s="86">
        <v>0</v>
      </c>
      <c r="AT68" s="82">
        <v>0</v>
      </c>
      <c r="AU68" s="89">
        <v>0</v>
      </c>
      <c r="AV68" s="84">
        <f t="shared" si="35"/>
        <v>0</v>
      </c>
      <c r="AW68" s="148"/>
      <c r="AX68" s="87"/>
      <c r="AY68" s="89"/>
      <c r="AZ68" s="84">
        <f t="shared" si="39"/>
        <v>0</v>
      </c>
      <c r="BA68" s="86">
        <v>0</v>
      </c>
      <c r="BB68" s="82">
        <v>0</v>
      </c>
      <c r="BC68" s="89">
        <v>0</v>
      </c>
      <c r="BD68" s="84">
        <f t="shared" si="36"/>
        <v>0</v>
      </c>
      <c r="BE68" s="135"/>
      <c r="BF68" s="92" t="e">
        <f t="shared" si="37"/>
        <v>#DIV/0!</v>
      </c>
      <c r="BG68" s="102"/>
    </row>
    <row r="69" spans="2:59" s="94" customFormat="1" ht="43.5" customHeight="1" thickBot="1" x14ac:dyDescent="0.4">
      <c r="B69" s="80">
        <v>405</v>
      </c>
      <c r="C69" s="81">
        <v>1</v>
      </c>
      <c r="D69" s="82">
        <v>1</v>
      </c>
      <c r="E69" s="82">
        <v>1</v>
      </c>
      <c r="F69" s="83">
        <v>1</v>
      </c>
      <c r="G69" s="133">
        <f t="shared" si="30"/>
        <v>1</v>
      </c>
      <c r="H69" s="88">
        <v>0.9</v>
      </c>
      <c r="I69" s="86">
        <v>0.9</v>
      </c>
      <c r="J69" s="82">
        <v>0.9</v>
      </c>
      <c r="K69" s="89">
        <v>0.9</v>
      </c>
      <c r="L69" s="90">
        <f t="shared" si="31"/>
        <v>0.9</v>
      </c>
      <c r="M69" s="85">
        <v>1</v>
      </c>
      <c r="N69" s="86">
        <v>1</v>
      </c>
      <c r="O69" s="82">
        <v>0.95</v>
      </c>
      <c r="P69" s="87">
        <v>1</v>
      </c>
      <c r="Q69" s="88">
        <v>1</v>
      </c>
      <c r="R69" s="86">
        <v>1</v>
      </c>
      <c r="S69" s="82">
        <v>1</v>
      </c>
      <c r="T69" s="89">
        <v>1</v>
      </c>
      <c r="U69" s="88">
        <v>1</v>
      </c>
      <c r="V69" s="86">
        <v>1</v>
      </c>
      <c r="W69" s="82">
        <v>1</v>
      </c>
      <c r="X69" s="89">
        <v>1</v>
      </c>
      <c r="Y69" s="90">
        <f t="shared" si="32"/>
        <v>0.99750000000000005</v>
      </c>
      <c r="Z69" s="88">
        <v>0.5</v>
      </c>
      <c r="AA69" s="86">
        <v>0.5</v>
      </c>
      <c r="AB69" s="82">
        <v>0.5</v>
      </c>
      <c r="AC69" s="89">
        <v>0.5</v>
      </c>
      <c r="AD69" s="90">
        <f t="shared" si="33"/>
        <v>0.5</v>
      </c>
      <c r="AE69" s="88">
        <v>1</v>
      </c>
      <c r="AF69" s="86">
        <v>1</v>
      </c>
      <c r="AG69" s="82">
        <v>0.7</v>
      </c>
      <c r="AH69" s="87">
        <v>1</v>
      </c>
      <c r="AI69" s="84">
        <f t="shared" si="38"/>
        <v>0.89500000000000002</v>
      </c>
      <c r="AJ69" s="97">
        <v>1</v>
      </c>
      <c r="AK69" s="98">
        <v>1</v>
      </c>
      <c r="AL69" s="99"/>
      <c r="AM69" s="88">
        <v>0.75</v>
      </c>
      <c r="AN69" s="88">
        <v>0.75</v>
      </c>
      <c r="AO69" s="88">
        <v>0.75</v>
      </c>
      <c r="AP69" s="89">
        <v>0.9</v>
      </c>
      <c r="AQ69" s="84">
        <f t="shared" si="34"/>
        <v>0.80249999999999999</v>
      </c>
      <c r="AR69" s="88">
        <v>0</v>
      </c>
      <c r="AS69" s="86">
        <v>0</v>
      </c>
      <c r="AT69" s="82">
        <v>0</v>
      </c>
      <c r="AU69" s="89">
        <v>0</v>
      </c>
      <c r="AV69" s="84">
        <f t="shared" si="35"/>
        <v>0</v>
      </c>
      <c r="AW69" s="148"/>
      <c r="AX69" s="87"/>
      <c r="AY69" s="89"/>
      <c r="AZ69" s="84">
        <f t="shared" si="39"/>
        <v>0</v>
      </c>
      <c r="BA69" s="86">
        <v>0</v>
      </c>
      <c r="BB69" s="82">
        <v>0</v>
      </c>
      <c r="BC69" s="89">
        <v>0</v>
      </c>
      <c r="BD69" s="84">
        <f t="shared" si="36"/>
        <v>0</v>
      </c>
      <c r="BE69" s="135"/>
      <c r="BF69" s="92" t="e">
        <f t="shared" si="37"/>
        <v>#DIV/0!</v>
      </c>
      <c r="BG69" s="103"/>
    </row>
    <row r="70" spans="2:59" s="94" customFormat="1" ht="43.5" customHeight="1" thickBot="1" x14ac:dyDescent="0.4">
      <c r="B70" s="95">
        <v>406</v>
      </c>
      <c r="C70" s="81">
        <v>1</v>
      </c>
      <c r="D70" s="82">
        <v>1</v>
      </c>
      <c r="E70" s="82">
        <v>1</v>
      </c>
      <c r="F70" s="83">
        <v>1</v>
      </c>
      <c r="G70" s="133">
        <f t="shared" si="30"/>
        <v>1</v>
      </c>
      <c r="H70" s="88">
        <v>0.9</v>
      </c>
      <c r="I70" s="86">
        <v>0.9</v>
      </c>
      <c r="J70" s="82">
        <v>0.9</v>
      </c>
      <c r="K70" s="89">
        <v>0.9</v>
      </c>
      <c r="L70" s="90">
        <f t="shared" si="31"/>
        <v>0.9</v>
      </c>
      <c r="M70" s="85">
        <v>1</v>
      </c>
      <c r="N70" s="86">
        <v>1</v>
      </c>
      <c r="O70" s="82">
        <v>0.95</v>
      </c>
      <c r="P70" s="87">
        <v>1</v>
      </c>
      <c r="Q70" s="88">
        <v>1</v>
      </c>
      <c r="R70" s="86">
        <v>1</v>
      </c>
      <c r="S70" s="82">
        <v>1</v>
      </c>
      <c r="T70" s="89">
        <v>1</v>
      </c>
      <c r="U70" s="88">
        <v>1</v>
      </c>
      <c r="V70" s="86">
        <v>1</v>
      </c>
      <c r="W70" s="82">
        <v>1</v>
      </c>
      <c r="X70" s="89">
        <v>1</v>
      </c>
      <c r="Y70" s="90">
        <f t="shared" si="32"/>
        <v>0.99750000000000005</v>
      </c>
      <c r="Z70" s="88">
        <v>0.5</v>
      </c>
      <c r="AA70" s="86">
        <v>0.5</v>
      </c>
      <c r="AB70" s="82">
        <v>0.5</v>
      </c>
      <c r="AC70" s="89">
        <v>0.5</v>
      </c>
      <c r="AD70" s="90">
        <f t="shared" si="33"/>
        <v>0.5</v>
      </c>
      <c r="AE70" s="88">
        <v>0.7</v>
      </c>
      <c r="AF70" s="86">
        <v>0</v>
      </c>
      <c r="AG70" s="82">
        <v>1</v>
      </c>
      <c r="AH70" s="87">
        <v>1</v>
      </c>
      <c r="AI70" s="84">
        <f t="shared" si="38"/>
        <v>0.68499999999999994</v>
      </c>
      <c r="AJ70" s="97">
        <v>1</v>
      </c>
      <c r="AK70" s="98">
        <v>1</v>
      </c>
      <c r="AL70" s="99"/>
      <c r="AM70" s="88">
        <v>0.75</v>
      </c>
      <c r="AN70" s="88">
        <v>0.75</v>
      </c>
      <c r="AO70" s="88">
        <v>0.75</v>
      </c>
      <c r="AP70" s="89">
        <v>0.9</v>
      </c>
      <c r="AQ70" s="84">
        <f t="shared" si="34"/>
        <v>0.80249999999999999</v>
      </c>
      <c r="AR70" s="88">
        <v>0</v>
      </c>
      <c r="AS70" s="86">
        <v>0</v>
      </c>
      <c r="AT70" s="82">
        <v>0</v>
      </c>
      <c r="AU70" s="89">
        <v>0</v>
      </c>
      <c r="AV70" s="84">
        <f t="shared" si="35"/>
        <v>0</v>
      </c>
      <c r="AW70" s="148"/>
      <c r="AX70" s="87"/>
      <c r="AY70" s="89"/>
      <c r="AZ70" s="84">
        <f t="shared" si="39"/>
        <v>0</v>
      </c>
      <c r="BA70" s="86">
        <v>0</v>
      </c>
      <c r="BB70" s="82">
        <v>0</v>
      </c>
      <c r="BC70" s="89">
        <v>0</v>
      </c>
      <c r="BD70" s="84">
        <f t="shared" si="36"/>
        <v>0</v>
      </c>
      <c r="BE70" s="135"/>
      <c r="BF70" s="92" t="e">
        <f t="shared" si="37"/>
        <v>#DIV/0!</v>
      </c>
      <c r="BG70" s="104"/>
    </row>
    <row r="71" spans="2:59" s="94" customFormat="1" ht="43.5" customHeight="1" thickBot="1" x14ac:dyDescent="0.4">
      <c r="B71" s="80">
        <v>407</v>
      </c>
      <c r="C71" s="81">
        <v>1</v>
      </c>
      <c r="D71" s="82">
        <v>1</v>
      </c>
      <c r="E71" s="82">
        <v>1</v>
      </c>
      <c r="F71" s="83">
        <v>1</v>
      </c>
      <c r="G71" s="133">
        <f t="shared" si="30"/>
        <v>1</v>
      </c>
      <c r="H71" s="88">
        <v>1</v>
      </c>
      <c r="I71" s="86">
        <v>1</v>
      </c>
      <c r="J71" s="82">
        <v>0.7</v>
      </c>
      <c r="K71" s="89">
        <v>1</v>
      </c>
      <c r="L71" s="90">
        <f t="shared" si="31"/>
        <v>0.97</v>
      </c>
      <c r="M71" s="85">
        <v>1</v>
      </c>
      <c r="N71" s="86">
        <v>1</v>
      </c>
      <c r="O71" s="82">
        <v>0.95</v>
      </c>
      <c r="P71" s="87">
        <v>1</v>
      </c>
      <c r="Q71" s="88">
        <v>1</v>
      </c>
      <c r="R71" s="86">
        <v>1</v>
      </c>
      <c r="S71" s="82">
        <v>1</v>
      </c>
      <c r="T71" s="89">
        <v>1</v>
      </c>
      <c r="U71" s="88">
        <v>1</v>
      </c>
      <c r="V71" s="86">
        <v>1</v>
      </c>
      <c r="W71" s="82">
        <v>1</v>
      </c>
      <c r="X71" s="89">
        <v>1</v>
      </c>
      <c r="Y71" s="90">
        <f t="shared" si="32"/>
        <v>0.99750000000000005</v>
      </c>
      <c r="Z71" s="88">
        <v>0.5</v>
      </c>
      <c r="AA71" s="86">
        <v>0.5</v>
      </c>
      <c r="AB71" s="82">
        <v>0.5</v>
      </c>
      <c r="AC71" s="89">
        <v>0.5</v>
      </c>
      <c r="AD71" s="90">
        <f t="shared" si="33"/>
        <v>0.5</v>
      </c>
      <c r="AE71" s="88">
        <v>1</v>
      </c>
      <c r="AF71" s="86">
        <v>1</v>
      </c>
      <c r="AG71" s="82">
        <v>1</v>
      </c>
      <c r="AH71" s="87">
        <v>1</v>
      </c>
      <c r="AI71" s="84">
        <f t="shared" si="38"/>
        <v>1</v>
      </c>
      <c r="AJ71" s="97">
        <v>1</v>
      </c>
      <c r="AK71" s="98">
        <v>1</v>
      </c>
      <c r="AL71" s="99"/>
      <c r="AM71" s="88">
        <v>0.75</v>
      </c>
      <c r="AN71" s="88">
        <v>0.75</v>
      </c>
      <c r="AO71" s="88">
        <v>0.75</v>
      </c>
      <c r="AP71" s="89">
        <v>0.8</v>
      </c>
      <c r="AQ71" s="84">
        <f t="shared" si="34"/>
        <v>0.76749999999999985</v>
      </c>
      <c r="AR71" s="88">
        <v>0</v>
      </c>
      <c r="AS71" s="86">
        <v>0</v>
      </c>
      <c r="AT71" s="82">
        <v>0</v>
      </c>
      <c r="AU71" s="89">
        <v>0</v>
      </c>
      <c r="AV71" s="84">
        <f t="shared" si="35"/>
        <v>0</v>
      </c>
      <c r="AW71" s="148"/>
      <c r="AX71" s="87"/>
      <c r="AY71" s="89"/>
      <c r="AZ71" s="84">
        <f t="shared" si="39"/>
        <v>0</v>
      </c>
      <c r="BA71" s="86">
        <v>0</v>
      </c>
      <c r="BB71" s="82">
        <v>0</v>
      </c>
      <c r="BC71" s="89">
        <v>0</v>
      </c>
      <c r="BD71" s="84">
        <f t="shared" si="36"/>
        <v>0</v>
      </c>
      <c r="BE71" s="135"/>
      <c r="BF71" s="92" t="e">
        <f t="shared" si="37"/>
        <v>#DIV/0!</v>
      </c>
      <c r="BG71" s="103"/>
    </row>
    <row r="72" spans="2:59" s="94" customFormat="1" ht="43.5" customHeight="1" thickBot="1" x14ac:dyDescent="0.4">
      <c r="B72" s="95">
        <v>408</v>
      </c>
      <c r="C72" s="81">
        <v>1</v>
      </c>
      <c r="D72" s="82">
        <v>1</v>
      </c>
      <c r="E72" s="82">
        <v>1</v>
      </c>
      <c r="F72" s="83">
        <v>1</v>
      </c>
      <c r="G72" s="133">
        <f t="shared" si="30"/>
        <v>1</v>
      </c>
      <c r="H72" s="88">
        <v>1</v>
      </c>
      <c r="I72" s="86">
        <v>1</v>
      </c>
      <c r="J72" s="82">
        <v>1</v>
      </c>
      <c r="K72" s="89">
        <v>1</v>
      </c>
      <c r="L72" s="90">
        <f t="shared" si="31"/>
        <v>1</v>
      </c>
      <c r="M72" s="85">
        <v>1</v>
      </c>
      <c r="N72" s="86">
        <v>1</v>
      </c>
      <c r="O72" s="82">
        <v>0.95</v>
      </c>
      <c r="P72" s="87">
        <v>1</v>
      </c>
      <c r="Q72" s="88">
        <v>1</v>
      </c>
      <c r="R72" s="86">
        <v>1</v>
      </c>
      <c r="S72" s="82">
        <v>1</v>
      </c>
      <c r="T72" s="89">
        <v>1</v>
      </c>
      <c r="U72" s="88">
        <v>1</v>
      </c>
      <c r="V72" s="86">
        <v>1</v>
      </c>
      <c r="W72" s="82">
        <v>1</v>
      </c>
      <c r="X72" s="89">
        <v>1</v>
      </c>
      <c r="Y72" s="90">
        <f t="shared" si="32"/>
        <v>0.99750000000000005</v>
      </c>
      <c r="Z72" s="88">
        <v>0.5</v>
      </c>
      <c r="AA72" s="86">
        <v>0.5</v>
      </c>
      <c r="AB72" s="82">
        <v>0.5</v>
      </c>
      <c r="AC72" s="89">
        <v>0.5</v>
      </c>
      <c r="AD72" s="90">
        <f t="shared" si="33"/>
        <v>0.5</v>
      </c>
      <c r="AE72" s="88">
        <v>1</v>
      </c>
      <c r="AF72" s="86">
        <v>1</v>
      </c>
      <c r="AG72" s="82">
        <v>1</v>
      </c>
      <c r="AH72" s="87">
        <v>1</v>
      </c>
      <c r="AI72" s="84">
        <f t="shared" si="38"/>
        <v>1</v>
      </c>
      <c r="AJ72" s="97">
        <v>1</v>
      </c>
      <c r="AK72" s="98">
        <v>1</v>
      </c>
      <c r="AL72" s="99"/>
      <c r="AM72" s="88">
        <v>0.75</v>
      </c>
      <c r="AN72" s="88">
        <v>0.75</v>
      </c>
      <c r="AO72" s="88">
        <v>0.75</v>
      </c>
      <c r="AP72" s="89">
        <v>0.8</v>
      </c>
      <c r="AQ72" s="84">
        <f t="shared" si="34"/>
        <v>0.76749999999999985</v>
      </c>
      <c r="AR72" s="88">
        <v>0</v>
      </c>
      <c r="AS72" s="86">
        <v>0</v>
      </c>
      <c r="AT72" s="82">
        <v>0</v>
      </c>
      <c r="AU72" s="89">
        <v>0</v>
      </c>
      <c r="AV72" s="84">
        <f t="shared" si="35"/>
        <v>0</v>
      </c>
      <c r="AW72" s="148"/>
      <c r="AX72" s="87"/>
      <c r="AY72" s="89"/>
      <c r="AZ72" s="84">
        <f t="shared" si="39"/>
        <v>0</v>
      </c>
      <c r="BA72" s="86">
        <v>0</v>
      </c>
      <c r="BB72" s="82">
        <v>0</v>
      </c>
      <c r="BC72" s="89">
        <v>0</v>
      </c>
      <c r="BD72" s="84">
        <f t="shared" si="36"/>
        <v>0</v>
      </c>
      <c r="BE72" s="135"/>
      <c r="BF72" s="92" t="e">
        <f t="shared" si="37"/>
        <v>#DIV/0!</v>
      </c>
      <c r="BG72" s="104"/>
    </row>
    <row r="73" spans="2:59" s="94" customFormat="1" ht="43.5" customHeight="1" thickBot="1" x14ac:dyDescent="0.4">
      <c r="B73" s="80">
        <v>409</v>
      </c>
      <c r="C73" s="81">
        <v>1</v>
      </c>
      <c r="D73" s="82">
        <v>1</v>
      </c>
      <c r="E73" s="82">
        <v>1</v>
      </c>
      <c r="F73" s="83">
        <v>1</v>
      </c>
      <c r="G73" s="133">
        <f t="shared" si="30"/>
        <v>1</v>
      </c>
      <c r="H73" s="88">
        <v>1</v>
      </c>
      <c r="I73" s="86">
        <v>1</v>
      </c>
      <c r="J73" s="82">
        <v>1</v>
      </c>
      <c r="K73" s="89">
        <v>1</v>
      </c>
      <c r="L73" s="90">
        <f t="shared" si="31"/>
        <v>1</v>
      </c>
      <c r="M73" s="85">
        <v>1</v>
      </c>
      <c r="N73" s="86">
        <v>1</v>
      </c>
      <c r="O73" s="82">
        <v>0.95</v>
      </c>
      <c r="P73" s="87">
        <v>1</v>
      </c>
      <c r="Q73" s="88">
        <v>1</v>
      </c>
      <c r="R73" s="86">
        <v>1</v>
      </c>
      <c r="S73" s="82">
        <v>1</v>
      </c>
      <c r="T73" s="89">
        <v>1</v>
      </c>
      <c r="U73" s="88">
        <v>1</v>
      </c>
      <c r="V73" s="86">
        <v>1</v>
      </c>
      <c r="W73" s="82">
        <v>1</v>
      </c>
      <c r="X73" s="89">
        <v>1</v>
      </c>
      <c r="Y73" s="90">
        <f t="shared" si="32"/>
        <v>0.99750000000000005</v>
      </c>
      <c r="Z73" s="88">
        <v>0.5</v>
      </c>
      <c r="AA73" s="86">
        <v>0.5</v>
      </c>
      <c r="AB73" s="82">
        <v>0.5</v>
      </c>
      <c r="AC73" s="89">
        <v>0.5</v>
      </c>
      <c r="AD73" s="90">
        <f t="shared" si="33"/>
        <v>0.5</v>
      </c>
      <c r="AE73" s="88">
        <v>1</v>
      </c>
      <c r="AF73" s="86">
        <v>1</v>
      </c>
      <c r="AG73" s="82">
        <v>1</v>
      </c>
      <c r="AH73" s="87">
        <v>1</v>
      </c>
      <c r="AI73" s="84">
        <f t="shared" si="38"/>
        <v>1</v>
      </c>
      <c r="AJ73" s="97">
        <v>1</v>
      </c>
      <c r="AK73" s="98">
        <v>1</v>
      </c>
      <c r="AL73" s="99"/>
      <c r="AM73" s="88">
        <v>0.75</v>
      </c>
      <c r="AN73" s="88">
        <v>0.75</v>
      </c>
      <c r="AO73" s="88">
        <v>0.75</v>
      </c>
      <c r="AP73" s="89">
        <v>0.8</v>
      </c>
      <c r="AQ73" s="84">
        <f t="shared" si="34"/>
        <v>0.76749999999999985</v>
      </c>
      <c r="AR73" s="88">
        <v>0</v>
      </c>
      <c r="AS73" s="86">
        <v>0</v>
      </c>
      <c r="AT73" s="82">
        <v>0</v>
      </c>
      <c r="AU73" s="89">
        <v>0</v>
      </c>
      <c r="AV73" s="84">
        <f t="shared" si="35"/>
        <v>0</v>
      </c>
      <c r="AW73" s="148"/>
      <c r="AX73" s="87"/>
      <c r="AY73" s="89"/>
      <c r="AZ73" s="84">
        <f t="shared" si="39"/>
        <v>0</v>
      </c>
      <c r="BA73" s="86">
        <v>0</v>
      </c>
      <c r="BB73" s="82">
        <v>0</v>
      </c>
      <c r="BC73" s="89">
        <v>0</v>
      </c>
      <c r="BD73" s="84">
        <f t="shared" si="36"/>
        <v>0</v>
      </c>
      <c r="BE73" s="135"/>
      <c r="BF73" s="92" t="e">
        <f t="shared" si="37"/>
        <v>#DIV/0!</v>
      </c>
      <c r="BG73" s="103"/>
    </row>
    <row r="74" spans="2:59" s="94" customFormat="1" ht="43.5" customHeight="1" thickBot="1" x14ac:dyDescent="0.4">
      <c r="B74" s="95">
        <v>410</v>
      </c>
      <c r="C74" s="81">
        <v>1</v>
      </c>
      <c r="D74" s="82">
        <v>1</v>
      </c>
      <c r="E74" s="82">
        <v>1</v>
      </c>
      <c r="F74" s="83">
        <v>1</v>
      </c>
      <c r="G74" s="133">
        <f t="shared" si="30"/>
        <v>1</v>
      </c>
      <c r="H74" s="88">
        <v>0.9</v>
      </c>
      <c r="I74" s="86">
        <v>0.9</v>
      </c>
      <c r="J74" s="82">
        <v>0.9</v>
      </c>
      <c r="K74" s="89">
        <v>0.9</v>
      </c>
      <c r="L74" s="90">
        <f t="shared" si="31"/>
        <v>0.9</v>
      </c>
      <c r="M74" s="85">
        <v>1</v>
      </c>
      <c r="N74" s="86">
        <v>1</v>
      </c>
      <c r="O74" s="82">
        <v>0.95</v>
      </c>
      <c r="P74" s="87">
        <v>1</v>
      </c>
      <c r="Q74" s="88">
        <v>1</v>
      </c>
      <c r="R74" s="86">
        <v>1</v>
      </c>
      <c r="S74" s="82">
        <v>1</v>
      </c>
      <c r="T74" s="89">
        <v>1</v>
      </c>
      <c r="U74" s="88">
        <v>1</v>
      </c>
      <c r="V74" s="86">
        <v>1</v>
      </c>
      <c r="W74" s="82">
        <v>1</v>
      </c>
      <c r="X74" s="89">
        <v>1</v>
      </c>
      <c r="Y74" s="90">
        <f t="shared" si="32"/>
        <v>0.99750000000000005</v>
      </c>
      <c r="Z74" s="88">
        <v>0.5</v>
      </c>
      <c r="AA74" s="86">
        <v>0.5</v>
      </c>
      <c r="AB74" s="82">
        <v>0.5</v>
      </c>
      <c r="AC74" s="89">
        <v>0.5</v>
      </c>
      <c r="AD74" s="90">
        <f t="shared" si="33"/>
        <v>0.5</v>
      </c>
      <c r="AE74" s="88">
        <v>1</v>
      </c>
      <c r="AF74" s="86">
        <v>1</v>
      </c>
      <c r="AG74" s="82">
        <v>1</v>
      </c>
      <c r="AH74" s="87">
        <v>1</v>
      </c>
      <c r="AI74" s="84">
        <f t="shared" si="38"/>
        <v>1</v>
      </c>
      <c r="AJ74" s="97">
        <v>1</v>
      </c>
      <c r="AK74" s="98">
        <v>1</v>
      </c>
      <c r="AL74" s="99"/>
      <c r="AM74" s="88">
        <v>0.75</v>
      </c>
      <c r="AN74" s="88">
        <v>0.75</v>
      </c>
      <c r="AO74" s="88">
        <v>0.75</v>
      </c>
      <c r="AP74" s="89">
        <v>0.8</v>
      </c>
      <c r="AQ74" s="84">
        <f t="shared" si="34"/>
        <v>0.76749999999999985</v>
      </c>
      <c r="AR74" s="88">
        <v>0</v>
      </c>
      <c r="AS74" s="86">
        <v>0</v>
      </c>
      <c r="AT74" s="82">
        <v>0</v>
      </c>
      <c r="AU74" s="89">
        <v>0</v>
      </c>
      <c r="AV74" s="84">
        <f t="shared" si="35"/>
        <v>0</v>
      </c>
      <c r="AW74" s="148"/>
      <c r="AX74" s="87"/>
      <c r="AY74" s="89"/>
      <c r="AZ74" s="84">
        <f t="shared" si="39"/>
        <v>0</v>
      </c>
      <c r="BA74" s="86">
        <v>0</v>
      </c>
      <c r="BB74" s="82">
        <v>0</v>
      </c>
      <c r="BC74" s="89">
        <v>0</v>
      </c>
      <c r="BD74" s="84">
        <f t="shared" si="36"/>
        <v>0</v>
      </c>
      <c r="BE74" s="135"/>
      <c r="BF74" s="92" t="e">
        <f t="shared" si="37"/>
        <v>#DIV/0!</v>
      </c>
      <c r="BG74" s="103"/>
    </row>
    <row r="75" spans="2:59" s="94" customFormat="1" ht="43.5" customHeight="1" thickBot="1" x14ac:dyDescent="0.4">
      <c r="B75" s="80">
        <v>411</v>
      </c>
      <c r="C75" s="81">
        <v>1</v>
      </c>
      <c r="D75" s="82">
        <v>1</v>
      </c>
      <c r="E75" s="82">
        <v>1</v>
      </c>
      <c r="F75" s="83">
        <v>1</v>
      </c>
      <c r="G75" s="133">
        <f t="shared" si="30"/>
        <v>1</v>
      </c>
      <c r="H75" s="88">
        <v>1</v>
      </c>
      <c r="I75" s="86">
        <v>1</v>
      </c>
      <c r="J75" s="82">
        <v>1</v>
      </c>
      <c r="K75" s="89">
        <v>1</v>
      </c>
      <c r="L75" s="90">
        <f t="shared" si="31"/>
        <v>1</v>
      </c>
      <c r="M75" s="85">
        <v>1</v>
      </c>
      <c r="N75" s="86">
        <v>1</v>
      </c>
      <c r="O75" s="82">
        <v>0.95</v>
      </c>
      <c r="P75" s="87">
        <v>1</v>
      </c>
      <c r="Q75" s="88">
        <v>1</v>
      </c>
      <c r="R75" s="86">
        <v>1</v>
      </c>
      <c r="S75" s="82">
        <v>1</v>
      </c>
      <c r="T75" s="89">
        <v>1</v>
      </c>
      <c r="U75" s="88">
        <v>1</v>
      </c>
      <c r="V75" s="86">
        <v>1</v>
      </c>
      <c r="W75" s="82">
        <v>1</v>
      </c>
      <c r="X75" s="89">
        <v>1</v>
      </c>
      <c r="Y75" s="90">
        <f t="shared" si="32"/>
        <v>0.99750000000000005</v>
      </c>
      <c r="Z75" s="88">
        <v>0.5</v>
      </c>
      <c r="AA75" s="86">
        <v>0.5</v>
      </c>
      <c r="AB75" s="82">
        <v>0.5</v>
      </c>
      <c r="AC75" s="89">
        <v>0.5</v>
      </c>
      <c r="AD75" s="90">
        <f t="shared" si="33"/>
        <v>0.5</v>
      </c>
      <c r="AE75" s="88">
        <v>1</v>
      </c>
      <c r="AF75" s="86">
        <v>0.7</v>
      </c>
      <c r="AG75" s="82">
        <v>0.7</v>
      </c>
      <c r="AH75" s="87">
        <v>1</v>
      </c>
      <c r="AI75" s="84">
        <f t="shared" si="38"/>
        <v>0.80499999999999994</v>
      </c>
      <c r="AJ75" s="97">
        <v>1</v>
      </c>
      <c r="AK75" s="98">
        <v>1</v>
      </c>
      <c r="AL75" s="99"/>
      <c r="AM75" s="88">
        <v>0.75</v>
      </c>
      <c r="AN75" s="88">
        <v>0.75</v>
      </c>
      <c r="AO75" s="88">
        <v>0.75</v>
      </c>
      <c r="AP75" s="89">
        <v>0.8</v>
      </c>
      <c r="AQ75" s="84">
        <f t="shared" si="34"/>
        <v>0.76749999999999985</v>
      </c>
      <c r="AR75" s="88">
        <v>0</v>
      </c>
      <c r="AS75" s="86">
        <v>0</v>
      </c>
      <c r="AT75" s="82">
        <v>0</v>
      </c>
      <c r="AU75" s="89">
        <v>0</v>
      </c>
      <c r="AV75" s="84">
        <f t="shared" si="35"/>
        <v>0</v>
      </c>
      <c r="AW75" s="148"/>
      <c r="AX75" s="87"/>
      <c r="AY75" s="89"/>
      <c r="AZ75" s="84">
        <f t="shared" si="39"/>
        <v>0</v>
      </c>
      <c r="BA75" s="86">
        <v>0</v>
      </c>
      <c r="BB75" s="82">
        <v>0</v>
      </c>
      <c r="BC75" s="89">
        <v>0</v>
      </c>
      <c r="BD75" s="84">
        <f t="shared" si="36"/>
        <v>0</v>
      </c>
      <c r="BE75" s="135"/>
      <c r="BF75" s="92" t="e">
        <f t="shared" si="37"/>
        <v>#DIV/0!</v>
      </c>
      <c r="BG75" s="102"/>
    </row>
    <row r="76" spans="2:59" s="94" customFormat="1" ht="43.5" customHeight="1" thickBot="1" x14ac:dyDescent="0.4">
      <c r="B76" s="95">
        <v>412</v>
      </c>
      <c r="C76" s="81">
        <v>1</v>
      </c>
      <c r="D76" s="82">
        <v>1</v>
      </c>
      <c r="E76" s="82">
        <v>1</v>
      </c>
      <c r="F76" s="83">
        <v>1</v>
      </c>
      <c r="G76" s="133">
        <f t="shared" si="30"/>
        <v>1</v>
      </c>
      <c r="H76" s="88">
        <v>1</v>
      </c>
      <c r="I76" s="86">
        <v>1</v>
      </c>
      <c r="J76" s="82">
        <v>1</v>
      </c>
      <c r="K76" s="89">
        <v>1</v>
      </c>
      <c r="L76" s="90">
        <f t="shared" si="31"/>
        <v>1</v>
      </c>
      <c r="M76" s="85">
        <v>1</v>
      </c>
      <c r="N76" s="86">
        <v>1</v>
      </c>
      <c r="O76" s="82">
        <v>0.95</v>
      </c>
      <c r="P76" s="87">
        <v>1</v>
      </c>
      <c r="Q76" s="88">
        <v>1</v>
      </c>
      <c r="R76" s="86">
        <v>1</v>
      </c>
      <c r="S76" s="82">
        <v>1</v>
      </c>
      <c r="T76" s="89">
        <v>1</v>
      </c>
      <c r="U76" s="88">
        <v>1</v>
      </c>
      <c r="V76" s="86">
        <v>1</v>
      </c>
      <c r="W76" s="82">
        <v>1</v>
      </c>
      <c r="X76" s="89">
        <v>1</v>
      </c>
      <c r="Y76" s="90">
        <f t="shared" si="32"/>
        <v>0.99750000000000005</v>
      </c>
      <c r="Z76" s="88">
        <v>0.5</v>
      </c>
      <c r="AA76" s="86">
        <v>0.5</v>
      </c>
      <c r="AB76" s="82">
        <v>0.5</v>
      </c>
      <c r="AC76" s="89">
        <v>0.5</v>
      </c>
      <c r="AD76" s="90">
        <f t="shared" si="33"/>
        <v>0.5</v>
      </c>
      <c r="AE76" s="88">
        <v>1</v>
      </c>
      <c r="AF76" s="86">
        <v>1</v>
      </c>
      <c r="AG76" s="82">
        <v>1</v>
      </c>
      <c r="AH76" s="87">
        <v>1</v>
      </c>
      <c r="AI76" s="84">
        <f t="shared" si="38"/>
        <v>1</v>
      </c>
      <c r="AJ76" s="97">
        <v>1</v>
      </c>
      <c r="AK76" s="98">
        <v>1</v>
      </c>
      <c r="AL76" s="99"/>
      <c r="AM76" s="88">
        <v>0.75</v>
      </c>
      <c r="AN76" s="88">
        <v>0.75</v>
      </c>
      <c r="AO76" s="88">
        <v>0.75</v>
      </c>
      <c r="AP76" s="89">
        <v>0.8</v>
      </c>
      <c r="AQ76" s="84">
        <f t="shared" si="34"/>
        <v>0.76749999999999985</v>
      </c>
      <c r="AR76" s="88">
        <v>0</v>
      </c>
      <c r="AS76" s="86">
        <v>0</v>
      </c>
      <c r="AT76" s="82">
        <v>0</v>
      </c>
      <c r="AU76" s="89">
        <v>0</v>
      </c>
      <c r="AV76" s="84">
        <f t="shared" si="35"/>
        <v>0</v>
      </c>
      <c r="AW76" s="148"/>
      <c r="AX76" s="87"/>
      <c r="AY76" s="89"/>
      <c r="AZ76" s="84">
        <f t="shared" si="39"/>
        <v>0</v>
      </c>
      <c r="BA76" s="86">
        <v>0</v>
      </c>
      <c r="BB76" s="82">
        <v>0</v>
      </c>
      <c r="BC76" s="89">
        <v>0</v>
      </c>
      <c r="BD76" s="84">
        <f t="shared" si="36"/>
        <v>0</v>
      </c>
      <c r="BE76" s="135"/>
      <c r="BF76" s="92" t="e">
        <f t="shared" si="37"/>
        <v>#DIV/0!</v>
      </c>
      <c r="BG76" s="102"/>
    </row>
    <row r="77" spans="2:59" s="94" customFormat="1" ht="43.5" customHeight="1" thickBot="1" x14ac:dyDescent="0.4">
      <c r="B77" s="80">
        <v>413</v>
      </c>
      <c r="C77" s="81">
        <v>1</v>
      </c>
      <c r="D77" s="82">
        <v>1</v>
      </c>
      <c r="E77" s="82">
        <v>1</v>
      </c>
      <c r="F77" s="83">
        <v>1</v>
      </c>
      <c r="G77" s="133">
        <f t="shared" si="30"/>
        <v>1</v>
      </c>
      <c r="H77" s="88">
        <v>1</v>
      </c>
      <c r="I77" s="86">
        <v>1</v>
      </c>
      <c r="J77" s="82">
        <v>1</v>
      </c>
      <c r="K77" s="89">
        <v>1</v>
      </c>
      <c r="L77" s="90">
        <f t="shared" si="31"/>
        <v>1</v>
      </c>
      <c r="M77" s="85">
        <v>1</v>
      </c>
      <c r="N77" s="86">
        <v>1</v>
      </c>
      <c r="O77" s="82">
        <v>0.95</v>
      </c>
      <c r="P77" s="87">
        <v>1</v>
      </c>
      <c r="Q77" s="88">
        <v>1</v>
      </c>
      <c r="R77" s="86">
        <v>1</v>
      </c>
      <c r="S77" s="82">
        <v>1</v>
      </c>
      <c r="T77" s="89">
        <v>1</v>
      </c>
      <c r="U77" s="88">
        <v>1</v>
      </c>
      <c r="V77" s="86">
        <v>1</v>
      </c>
      <c r="W77" s="82">
        <v>1</v>
      </c>
      <c r="X77" s="89">
        <v>1</v>
      </c>
      <c r="Y77" s="90">
        <f t="shared" si="32"/>
        <v>0.99750000000000005</v>
      </c>
      <c r="Z77" s="88">
        <v>0.5</v>
      </c>
      <c r="AA77" s="86">
        <v>0.5</v>
      </c>
      <c r="AB77" s="82">
        <v>0.5</v>
      </c>
      <c r="AC77" s="89">
        <v>0.5</v>
      </c>
      <c r="AD77" s="90">
        <f t="shared" si="33"/>
        <v>0.5</v>
      </c>
      <c r="AE77" s="88">
        <v>1</v>
      </c>
      <c r="AF77" s="86">
        <v>1</v>
      </c>
      <c r="AG77" s="82">
        <v>1</v>
      </c>
      <c r="AH77" s="87">
        <v>1</v>
      </c>
      <c r="AI77" s="84">
        <f t="shared" si="38"/>
        <v>1</v>
      </c>
      <c r="AJ77" s="97">
        <v>1</v>
      </c>
      <c r="AK77" s="98">
        <v>1</v>
      </c>
      <c r="AL77" s="99"/>
      <c r="AM77" s="88">
        <v>0.75</v>
      </c>
      <c r="AN77" s="88">
        <v>0.75</v>
      </c>
      <c r="AO77" s="88">
        <v>0.75</v>
      </c>
      <c r="AP77" s="89">
        <v>0.8</v>
      </c>
      <c r="AQ77" s="84">
        <f t="shared" si="34"/>
        <v>0.76749999999999985</v>
      </c>
      <c r="AR77" s="88">
        <v>0</v>
      </c>
      <c r="AS77" s="86">
        <v>0</v>
      </c>
      <c r="AT77" s="82">
        <v>0</v>
      </c>
      <c r="AU77" s="89">
        <v>0</v>
      </c>
      <c r="AV77" s="84">
        <f t="shared" si="35"/>
        <v>0</v>
      </c>
      <c r="AW77" s="148"/>
      <c r="AX77" s="87"/>
      <c r="AY77" s="89"/>
      <c r="AZ77" s="84">
        <f t="shared" si="39"/>
        <v>0</v>
      </c>
      <c r="BA77" s="86">
        <v>0</v>
      </c>
      <c r="BB77" s="82">
        <v>0</v>
      </c>
      <c r="BC77" s="89">
        <v>0</v>
      </c>
      <c r="BD77" s="84">
        <f t="shared" si="36"/>
        <v>0</v>
      </c>
      <c r="BE77" s="135"/>
      <c r="BF77" s="92" t="e">
        <f t="shared" si="37"/>
        <v>#DIV/0!</v>
      </c>
      <c r="BG77" s="105"/>
    </row>
    <row r="78" spans="2:59" s="94" customFormat="1" ht="43.5" customHeight="1" thickBot="1" x14ac:dyDescent="0.4">
      <c r="B78" s="95">
        <v>414</v>
      </c>
      <c r="C78" s="81">
        <v>1</v>
      </c>
      <c r="D78" s="82">
        <v>1</v>
      </c>
      <c r="E78" s="82">
        <v>1</v>
      </c>
      <c r="F78" s="83">
        <v>1</v>
      </c>
      <c r="G78" s="133">
        <f t="shared" si="30"/>
        <v>1</v>
      </c>
      <c r="H78" s="88">
        <v>0.8</v>
      </c>
      <c r="I78" s="86">
        <v>0.9</v>
      </c>
      <c r="J78" s="82">
        <v>0.9</v>
      </c>
      <c r="K78" s="89">
        <v>0.8</v>
      </c>
      <c r="L78" s="90">
        <f t="shared" si="31"/>
        <v>0.84</v>
      </c>
      <c r="M78" s="85">
        <v>1</v>
      </c>
      <c r="N78" s="86">
        <v>1</v>
      </c>
      <c r="O78" s="82">
        <v>0.95</v>
      </c>
      <c r="P78" s="87">
        <v>1</v>
      </c>
      <c r="Q78" s="88">
        <v>1</v>
      </c>
      <c r="R78" s="86">
        <v>1</v>
      </c>
      <c r="S78" s="82">
        <v>1</v>
      </c>
      <c r="T78" s="89">
        <v>1</v>
      </c>
      <c r="U78" s="88">
        <v>1</v>
      </c>
      <c r="V78" s="86">
        <v>1</v>
      </c>
      <c r="W78" s="82">
        <v>1</v>
      </c>
      <c r="X78" s="89">
        <v>1</v>
      </c>
      <c r="Y78" s="90">
        <f t="shared" si="32"/>
        <v>0.99750000000000005</v>
      </c>
      <c r="Z78" s="88">
        <v>0.5</v>
      </c>
      <c r="AA78" s="86">
        <v>0.5</v>
      </c>
      <c r="AB78" s="82">
        <v>0.5</v>
      </c>
      <c r="AC78" s="89">
        <v>0.5</v>
      </c>
      <c r="AD78" s="90">
        <f t="shared" si="33"/>
        <v>0.5</v>
      </c>
      <c r="AE78" s="88">
        <v>1</v>
      </c>
      <c r="AF78" s="86">
        <v>1</v>
      </c>
      <c r="AG78" s="82">
        <v>1</v>
      </c>
      <c r="AH78" s="87">
        <v>1</v>
      </c>
      <c r="AI78" s="84">
        <f t="shared" si="38"/>
        <v>1</v>
      </c>
      <c r="AJ78" s="97">
        <v>1</v>
      </c>
      <c r="AK78" s="98">
        <v>0</v>
      </c>
      <c r="AL78" s="99"/>
      <c r="AM78" s="88">
        <v>0.75</v>
      </c>
      <c r="AN78" s="88">
        <v>0.75</v>
      </c>
      <c r="AO78" s="88">
        <v>0.75</v>
      </c>
      <c r="AP78" s="89">
        <v>0.8</v>
      </c>
      <c r="AQ78" s="84">
        <f t="shared" si="34"/>
        <v>0.76749999999999985</v>
      </c>
      <c r="AR78" s="88">
        <v>0</v>
      </c>
      <c r="AS78" s="86">
        <v>0</v>
      </c>
      <c r="AT78" s="82">
        <v>0</v>
      </c>
      <c r="AU78" s="89">
        <v>0</v>
      </c>
      <c r="AV78" s="84">
        <f t="shared" si="35"/>
        <v>0</v>
      </c>
      <c r="AW78" s="148"/>
      <c r="AX78" s="87"/>
      <c r="AY78" s="89"/>
      <c r="AZ78" s="84">
        <f t="shared" si="39"/>
        <v>0</v>
      </c>
      <c r="BA78" s="86">
        <v>0</v>
      </c>
      <c r="BB78" s="82">
        <v>0</v>
      </c>
      <c r="BC78" s="89">
        <v>0</v>
      </c>
      <c r="BD78" s="84">
        <f t="shared" si="36"/>
        <v>0</v>
      </c>
      <c r="BE78" s="135"/>
      <c r="BF78" s="92" t="e">
        <f t="shared" si="37"/>
        <v>#DIV/0!</v>
      </c>
      <c r="BG78" s="103"/>
    </row>
    <row r="79" spans="2:59" s="94" customFormat="1" ht="43.5" customHeight="1" thickBot="1" x14ac:dyDescent="0.4">
      <c r="B79" s="80">
        <v>415</v>
      </c>
      <c r="C79" s="81">
        <v>1</v>
      </c>
      <c r="D79" s="82">
        <v>1</v>
      </c>
      <c r="E79" s="82">
        <v>1</v>
      </c>
      <c r="F79" s="83">
        <v>1</v>
      </c>
      <c r="G79" s="133">
        <f t="shared" si="30"/>
        <v>1</v>
      </c>
      <c r="H79" s="88">
        <v>1</v>
      </c>
      <c r="I79" s="86">
        <v>1</v>
      </c>
      <c r="J79" s="82">
        <v>1</v>
      </c>
      <c r="K79" s="89">
        <v>1</v>
      </c>
      <c r="L79" s="90">
        <f t="shared" si="31"/>
        <v>1</v>
      </c>
      <c r="M79" s="85">
        <v>1</v>
      </c>
      <c r="N79" s="86">
        <v>1</v>
      </c>
      <c r="O79" s="82">
        <v>0.95</v>
      </c>
      <c r="P79" s="87">
        <v>1</v>
      </c>
      <c r="Q79" s="88">
        <v>1</v>
      </c>
      <c r="R79" s="86">
        <v>1</v>
      </c>
      <c r="S79" s="82">
        <v>1</v>
      </c>
      <c r="T79" s="89">
        <v>1</v>
      </c>
      <c r="U79" s="88">
        <v>1</v>
      </c>
      <c r="V79" s="86">
        <v>1</v>
      </c>
      <c r="W79" s="82">
        <v>1</v>
      </c>
      <c r="X79" s="89">
        <v>1</v>
      </c>
      <c r="Y79" s="90">
        <f t="shared" si="32"/>
        <v>0.99750000000000005</v>
      </c>
      <c r="Z79" s="88">
        <v>0.5</v>
      </c>
      <c r="AA79" s="86">
        <v>0.5</v>
      </c>
      <c r="AB79" s="82">
        <v>0.5</v>
      </c>
      <c r="AC79" s="89">
        <v>0.5</v>
      </c>
      <c r="AD79" s="90">
        <f t="shared" si="33"/>
        <v>0.5</v>
      </c>
      <c r="AE79" s="88">
        <v>0.7</v>
      </c>
      <c r="AF79" s="86">
        <v>0</v>
      </c>
      <c r="AG79" s="82">
        <v>0.7</v>
      </c>
      <c r="AH79" s="87">
        <v>1</v>
      </c>
      <c r="AI79" s="84">
        <f t="shared" si="38"/>
        <v>0.57999999999999996</v>
      </c>
      <c r="AJ79" s="97">
        <v>1</v>
      </c>
      <c r="AK79" s="98">
        <v>1</v>
      </c>
      <c r="AL79" s="99"/>
      <c r="AM79" s="88">
        <v>0.75</v>
      </c>
      <c r="AN79" s="88">
        <v>0.75</v>
      </c>
      <c r="AO79" s="88">
        <v>0.75</v>
      </c>
      <c r="AP79" s="89">
        <v>0.7</v>
      </c>
      <c r="AQ79" s="84">
        <f t="shared" si="34"/>
        <v>0.73249999999999993</v>
      </c>
      <c r="AR79" s="88">
        <v>0</v>
      </c>
      <c r="AS79" s="86">
        <v>0</v>
      </c>
      <c r="AT79" s="82">
        <v>0</v>
      </c>
      <c r="AU79" s="89">
        <v>0</v>
      </c>
      <c r="AV79" s="84">
        <f t="shared" si="35"/>
        <v>0</v>
      </c>
      <c r="AW79" s="148"/>
      <c r="AX79" s="87"/>
      <c r="AY79" s="89"/>
      <c r="AZ79" s="84">
        <f t="shared" si="39"/>
        <v>0</v>
      </c>
      <c r="BA79" s="86">
        <v>0</v>
      </c>
      <c r="BB79" s="82">
        <v>0</v>
      </c>
      <c r="BC79" s="89">
        <v>0</v>
      </c>
      <c r="BD79" s="84">
        <f t="shared" si="36"/>
        <v>0</v>
      </c>
      <c r="BE79" s="135"/>
      <c r="BF79" s="92" t="e">
        <f t="shared" si="37"/>
        <v>#DIV/0!</v>
      </c>
      <c r="BG79" s="105"/>
    </row>
    <row r="80" spans="2:59" s="94" customFormat="1" ht="43.5" customHeight="1" thickBot="1" x14ac:dyDescent="0.4">
      <c r="B80" s="136">
        <v>416</v>
      </c>
      <c r="C80" s="137">
        <v>1</v>
      </c>
      <c r="D80" s="110">
        <v>1</v>
      </c>
      <c r="E80" s="110">
        <v>1</v>
      </c>
      <c r="F80" s="138">
        <v>1</v>
      </c>
      <c r="G80" s="133">
        <f t="shared" si="30"/>
        <v>1</v>
      </c>
      <c r="H80" s="108">
        <v>1</v>
      </c>
      <c r="I80" s="109">
        <v>1</v>
      </c>
      <c r="J80" s="110">
        <v>1</v>
      </c>
      <c r="K80" s="111">
        <v>1</v>
      </c>
      <c r="L80" s="90">
        <f t="shared" si="31"/>
        <v>1</v>
      </c>
      <c r="M80" s="112">
        <v>1</v>
      </c>
      <c r="N80" s="109">
        <v>1</v>
      </c>
      <c r="O80" s="110">
        <v>0.95</v>
      </c>
      <c r="P80" s="113">
        <v>1</v>
      </c>
      <c r="Q80" s="108">
        <v>1</v>
      </c>
      <c r="R80" s="109">
        <v>1</v>
      </c>
      <c r="S80" s="110">
        <v>1</v>
      </c>
      <c r="T80" s="111">
        <v>1</v>
      </c>
      <c r="U80" s="88">
        <v>1</v>
      </c>
      <c r="V80" s="86">
        <v>1</v>
      </c>
      <c r="W80" s="82">
        <v>1</v>
      </c>
      <c r="X80" s="89">
        <v>1</v>
      </c>
      <c r="Y80" s="90">
        <f t="shared" si="32"/>
        <v>0.99750000000000005</v>
      </c>
      <c r="Z80" s="108">
        <v>0.5</v>
      </c>
      <c r="AA80" s="109">
        <v>0.5</v>
      </c>
      <c r="AB80" s="110">
        <v>0.5</v>
      </c>
      <c r="AC80" s="111">
        <v>0.5</v>
      </c>
      <c r="AD80" s="90">
        <f t="shared" si="33"/>
        <v>0.5</v>
      </c>
      <c r="AE80" s="108">
        <v>1</v>
      </c>
      <c r="AF80" s="109">
        <v>1</v>
      </c>
      <c r="AG80" s="110">
        <v>0.7</v>
      </c>
      <c r="AH80" s="113">
        <v>1</v>
      </c>
      <c r="AI80" s="84">
        <f t="shared" si="38"/>
        <v>0.89500000000000002</v>
      </c>
      <c r="AJ80" s="114">
        <v>1</v>
      </c>
      <c r="AK80" s="98">
        <v>1</v>
      </c>
      <c r="AL80" s="116"/>
      <c r="AM80" s="88">
        <v>0.75</v>
      </c>
      <c r="AN80" s="88">
        <v>0.75</v>
      </c>
      <c r="AO80" s="88">
        <v>0.75</v>
      </c>
      <c r="AP80" s="111">
        <v>0.8</v>
      </c>
      <c r="AQ80" s="84">
        <f t="shared" si="34"/>
        <v>0.76749999999999985</v>
      </c>
      <c r="AR80" s="108">
        <v>0</v>
      </c>
      <c r="AS80" s="109">
        <v>0</v>
      </c>
      <c r="AT80" s="110">
        <v>0</v>
      </c>
      <c r="AU80" s="111">
        <v>0</v>
      </c>
      <c r="AV80" s="84">
        <f t="shared" si="35"/>
        <v>0</v>
      </c>
      <c r="AW80" s="149"/>
      <c r="AX80" s="113"/>
      <c r="AY80" s="111"/>
      <c r="AZ80" s="84">
        <f t="shared" si="39"/>
        <v>0</v>
      </c>
      <c r="BA80" s="109">
        <v>0</v>
      </c>
      <c r="BB80" s="110">
        <v>0</v>
      </c>
      <c r="BC80" s="111">
        <v>0</v>
      </c>
      <c r="BD80" s="84">
        <f t="shared" si="36"/>
        <v>0</v>
      </c>
      <c r="BE80" s="150"/>
      <c r="BF80" s="151" t="e">
        <f t="shared" si="37"/>
        <v>#DIV/0!</v>
      </c>
      <c r="BG80" s="152"/>
    </row>
    <row r="81" spans="2:59" ht="43.5" customHeight="1" thickBot="1" x14ac:dyDescent="0.35">
      <c r="B81" s="173" t="s">
        <v>95</v>
      </c>
      <c r="C81" s="174"/>
      <c r="D81" s="174"/>
      <c r="E81" s="174"/>
      <c r="F81" s="174"/>
      <c r="G81" s="174"/>
      <c r="H81" s="174"/>
      <c r="I81" s="174"/>
      <c r="J81" s="174"/>
      <c r="K81" s="174"/>
      <c r="L81" s="174"/>
      <c r="M81" s="174"/>
      <c r="N81" s="174"/>
      <c r="O81" s="174"/>
      <c r="P81" s="174"/>
      <c r="Q81" s="174"/>
      <c r="R81" s="174"/>
      <c r="S81" s="174"/>
      <c r="T81" s="174"/>
      <c r="U81" s="174"/>
      <c r="V81" s="174"/>
      <c r="W81" s="174"/>
      <c r="X81" s="174"/>
      <c r="Y81" s="174"/>
      <c r="Z81" s="174"/>
      <c r="AA81" s="174"/>
      <c r="AB81" s="174"/>
      <c r="AC81" s="174"/>
      <c r="AD81" s="174"/>
      <c r="AE81" s="174"/>
      <c r="AF81" s="174"/>
      <c r="AG81" s="174"/>
      <c r="AH81" s="174"/>
      <c r="AI81" s="174"/>
      <c r="AJ81" s="174"/>
      <c r="AK81" s="174"/>
      <c r="AL81" s="174"/>
      <c r="AM81" s="174"/>
      <c r="AN81" s="174"/>
      <c r="AO81" s="174"/>
      <c r="AP81" s="174"/>
      <c r="AQ81" s="174"/>
      <c r="AR81" s="174"/>
      <c r="AS81" s="174"/>
      <c r="AT81" s="174"/>
      <c r="AU81" s="174"/>
      <c r="AV81" s="174"/>
      <c r="AW81" s="174"/>
      <c r="AX81" s="174"/>
      <c r="AY81" s="174"/>
      <c r="AZ81" s="174"/>
      <c r="BA81" s="174"/>
      <c r="BB81" s="174"/>
      <c r="BC81" s="174"/>
      <c r="BD81" s="174"/>
      <c r="BE81" s="174"/>
      <c r="BF81" s="174"/>
      <c r="BG81" s="176"/>
    </row>
    <row r="82" spans="2:59" s="94" customFormat="1" ht="43.5" customHeight="1" thickBot="1" x14ac:dyDescent="0.4">
      <c r="B82" s="80">
        <v>501</v>
      </c>
      <c r="C82" s="81">
        <v>1</v>
      </c>
      <c r="D82" s="82">
        <v>1</v>
      </c>
      <c r="E82" s="82">
        <v>1</v>
      </c>
      <c r="F82" s="83">
        <v>1</v>
      </c>
      <c r="G82" s="133">
        <f t="shared" ref="G82:G97" si="40" xml:space="preserve"> C82*45% + D82*45% + E82*5% + F82*5%</f>
        <v>1</v>
      </c>
      <c r="H82" s="88">
        <v>1</v>
      </c>
      <c r="I82" s="86">
        <v>1</v>
      </c>
      <c r="J82" s="82">
        <v>1</v>
      </c>
      <c r="K82" s="89">
        <v>1</v>
      </c>
      <c r="L82" s="90">
        <f t="shared" ref="L82:L97" si="41" xml:space="preserve"> H82*30% + I82*30% + J82*10% + K82*30%</f>
        <v>1</v>
      </c>
      <c r="M82" s="85">
        <v>1</v>
      </c>
      <c r="N82" s="86">
        <v>1</v>
      </c>
      <c r="O82" s="82">
        <v>1</v>
      </c>
      <c r="P82" s="87">
        <v>1</v>
      </c>
      <c r="Q82" s="88">
        <v>1</v>
      </c>
      <c r="R82" s="86">
        <v>1</v>
      </c>
      <c r="S82" s="82">
        <v>1</v>
      </c>
      <c r="T82" s="89">
        <v>1</v>
      </c>
      <c r="U82" s="88">
        <v>1</v>
      </c>
      <c r="V82" s="86">
        <v>1</v>
      </c>
      <c r="W82" s="82">
        <v>1</v>
      </c>
      <c r="X82" s="89">
        <v>1</v>
      </c>
      <c r="Y82" s="90">
        <f t="shared" ref="Y82:Y97" si="42" xml:space="preserve"> (U82*10% + V82*10% + W82*10% + X82*10%+ Q82*5% + R82*5% + S82*5% + T82*5%+M82*10% + N82*15% + O82*5% + P82*10%)</f>
        <v>1.0000000000000002</v>
      </c>
      <c r="Z82" s="88">
        <v>0.5</v>
      </c>
      <c r="AA82" s="86">
        <v>0.5</v>
      </c>
      <c r="AB82" s="82">
        <v>0.5</v>
      </c>
      <c r="AC82" s="89">
        <v>0.5</v>
      </c>
      <c r="AD82" s="90">
        <f t="shared" ref="AD82:AD97" si="43" xml:space="preserve"> Z82*45% + AA82*45% + AB82*5% + AC82*5%</f>
        <v>0.5</v>
      </c>
      <c r="AE82" s="88">
        <v>0.9</v>
      </c>
      <c r="AF82" s="86">
        <v>0.7</v>
      </c>
      <c r="AG82" s="82">
        <v>0.7</v>
      </c>
      <c r="AH82" s="87">
        <v>0.7</v>
      </c>
      <c r="AI82" s="84">
        <f xml:space="preserve"> AE82*5% + AF82*30% + AG82*35% + AH82*30%</f>
        <v>0.71</v>
      </c>
      <c r="AJ82" s="87">
        <v>1</v>
      </c>
      <c r="AK82" s="87">
        <v>1</v>
      </c>
      <c r="AL82" s="87"/>
      <c r="AM82" s="97">
        <v>0.55000000000000004</v>
      </c>
      <c r="AN82" s="97">
        <v>0.55000000000000004</v>
      </c>
      <c r="AO82" s="97">
        <v>0.55000000000000004</v>
      </c>
      <c r="AP82" s="97">
        <v>0.55000000000000004</v>
      </c>
      <c r="AQ82" s="84">
        <f t="shared" ref="AQ82:AQ97" si="44" xml:space="preserve"> AM82*15% + AN82*35% + AO82*15% + AP82*35%</f>
        <v>0.55000000000000004</v>
      </c>
      <c r="AR82" s="88">
        <v>0</v>
      </c>
      <c r="AS82" s="88">
        <v>0</v>
      </c>
      <c r="AT82" s="88">
        <v>0</v>
      </c>
      <c r="AU82" s="88">
        <v>0</v>
      </c>
      <c r="AV82" s="84">
        <f t="shared" ref="AV82:AV97" si="45" xml:space="preserve"> AR82*30% + AS82*30% + AT82*15% + AU82*25%</f>
        <v>0</v>
      </c>
      <c r="AW82" s="88">
        <v>0</v>
      </c>
      <c r="AX82" s="88">
        <v>0</v>
      </c>
      <c r="AY82" s="88">
        <v>0</v>
      </c>
      <c r="AZ82" s="84">
        <f t="shared" ref="AZ82:AZ97" si="46" xml:space="preserve">  AW82*30% + AX82*45% + AY82*25%</f>
        <v>0</v>
      </c>
      <c r="BA82" s="88">
        <v>0</v>
      </c>
      <c r="BB82" s="88">
        <v>0</v>
      </c>
      <c r="BC82" s="153">
        <v>0</v>
      </c>
      <c r="BD82" s="84">
        <f t="shared" ref="BD82:BD97" si="47" xml:space="preserve">  BA82*30% + BB82*45% + BC82*25%</f>
        <v>0</v>
      </c>
      <c r="BE82" s="135"/>
      <c r="BF82" s="92" t="e">
        <f t="shared" ref="BF82:BF97" si="48">(
(COUNTIF(B82:E82,"✓")/(COUNTIF(B82:E82,"✓")+COUNTIF(B82:E82,"x")))*0.2 +
(COUNTIF(F82:J82,"✓")/(COUNTIF(F82:J82,"✓")+COUNTIF(F82:J82,"x")))*0.1 +
(COUNTIF(K82:O82,"✓")/(COUNTIF(K82:O82,"✓")+COUNTIF(K82:O82,"x")))*0.1 +
(COUNTIF(P82:S82,"✓")/(COUNTIF(P82:S82,"✓")+COUNTIF(P82:S82,"x")))*0.1 +
(COUNTIF(T82:W82,"✓")/(COUNTIF(T82:W82,"✓")+COUNTIF(T82:W82,"x")))*0.1 +
(COUNTIF(X82:AB82,"✓")/(COUNTIF(X82:AB82,"✓")+COUNTIF(X82:AB82,"x")))*0.1 +
(COUNTIF(AC82:AO82,"✓")/(COUNTIF(AC82:AO82,"✓")+COUNTIF(AC82:AO82,"x")))*0.1 +
(COUNTIF(AP82:AT82,"✓")/(COUNTIF(AP82:AT82,"✓")+COUNTIF(AP82:AT82,"x")))*0.05 +
(COUNTIF(AU82:BB82,"✓")/(COUNTIF(AU82:BB82,"✓")+COUNTIF(AU82:BB82,"x")))*0.1 +
(COUNTIF(BC82:BC82,"✓")/(COUNTIF(BC82:BC82,"✓")+COUNTIF(BC82:BC82,"x")))*0.05
)</f>
        <v>#DIV/0!</v>
      </c>
      <c r="BG82" s="204"/>
    </row>
    <row r="83" spans="2:59" s="101" customFormat="1" ht="43.5" customHeight="1" thickBot="1" x14ac:dyDescent="0.4">
      <c r="B83" s="95">
        <v>502</v>
      </c>
      <c r="C83" s="81">
        <v>1</v>
      </c>
      <c r="D83" s="82">
        <v>1</v>
      </c>
      <c r="E83" s="82">
        <v>1</v>
      </c>
      <c r="F83" s="83">
        <v>1</v>
      </c>
      <c r="G83" s="133">
        <f t="shared" si="40"/>
        <v>1</v>
      </c>
      <c r="H83" s="88">
        <v>1</v>
      </c>
      <c r="I83" s="86">
        <v>1</v>
      </c>
      <c r="J83" s="82">
        <v>1</v>
      </c>
      <c r="K83" s="89">
        <v>1</v>
      </c>
      <c r="L83" s="90">
        <f t="shared" si="41"/>
        <v>1</v>
      </c>
      <c r="M83" s="85">
        <v>1</v>
      </c>
      <c r="N83" s="86">
        <v>1</v>
      </c>
      <c r="O83" s="82">
        <v>1</v>
      </c>
      <c r="P83" s="87">
        <v>1</v>
      </c>
      <c r="Q83" s="88">
        <v>1</v>
      </c>
      <c r="R83" s="86">
        <v>1</v>
      </c>
      <c r="S83" s="82">
        <v>1</v>
      </c>
      <c r="T83" s="89">
        <v>1</v>
      </c>
      <c r="U83" s="88">
        <v>1</v>
      </c>
      <c r="V83" s="86">
        <v>1</v>
      </c>
      <c r="W83" s="82">
        <v>1</v>
      </c>
      <c r="X83" s="89">
        <v>1</v>
      </c>
      <c r="Y83" s="90">
        <f t="shared" si="42"/>
        <v>1.0000000000000002</v>
      </c>
      <c r="Z83" s="88">
        <v>0.5</v>
      </c>
      <c r="AA83" s="86">
        <v>0.5</v>
      </c>
      <c r="AB83" s="82">
        <v>0.5</v>
      </c>
      <c r="AC83" s="89">
        <v>0.5</v>
      </c>
      <c r="AD83" s="90">
        <f t="shared" si="43"/>
        <v>0.5</v>
      </c>
      <c r="AE83" s="88">
        <v>0.7</v>
      </c>
      <c r="AF83" s="86">
        <v>0.7</v>
      </c>
      <c r="AG83" s="82">
        <v>0.7</v>
      </c>
      <c r="AH83" s="87">
        <v>0</v>
      </c>
      <c r="AI83" s="84">
        <f t="shared" ref="AI83:AI97" si="49" xml:space="preserve"> AE83*5% + AF83*30% + AG83*35% + AH83*30%</f>
        <v>0.49</v>
      </c>
      <c r="AJ83" s="87">
        <v>1</v>
      </c>
      <c r="AK83" s="87">
        <v>1</v>
      </c>
      <c r="AL83" s="87"/>
      <c r="AM83" s="97">
        <v>0.55000000000000004</v>
      </c>
      <c r="AN83" s="97">
        <v>0.55000000000000004</v>
      </c>
      <c r="AO83" s="97">
        <v>0.55000000000000004</v>
      </c>
      <c r="AP83" s="97">
        <v>0.55000000000000004</v>
      </c>
      <c r="AQ83" s="84">
        <f t="shared" si="44"/>
        <v>0.55000000000000004</v>
      </c>
      <c r="AR83" s="88">
        <v>0</v>
      </c>
      <c r="AS83" s="88">
        <v>0</v>
      </c>
      <c r="AT83" s="88">
        <v>0</v>
      </c>
      <c r="AU83" s="88">
        <v>0</v>
      </c>
      <c r="AV83" s="84">
        <f t="shared" si="45"/>
        <v>0</v>
      </c>
      <c r="AW83" s="88">
        <v>0</v>
      </c>
      <c r="AX83" s="88">
        <v>0</v>
      </c>
      <c r="AY83" s="88">
        <v>0</v>
      </c>
      <c r="AZ83" s="84">
        <f t="shared" si="46"/>
        <v>0</v>
      </c>
      <c r="BA83" s="88">
        <v>0</v>
      </c>
      <c r="BB83" s="88">
        <v>0</v>
      </c>
      <c r="BC83" s="153">
        <v>0</v>
      </c>
      <c r="BD83" s="84">
        <f t="shared" si="47"/>
        <v>0</v>
      </c>
      <c r="BE83" s="135"/>
      <c r="BF83" s="92" t="e">
        <f t="shared" si="48"/>
        <v>#DIV/0!</v>
      </c>
      <c r="BG83" s="205"/>
    </row>
    <row r="84" spans="2:59" s="94" customFormat="1" ht="43.5" customHeight="1" thickBot="1" x14ac:dyDescent="0.4">
      <c r="B84" s="80">
        <v>503</v>
      </c>
      <c r="C84" s="81">
        <v>1</v>
      </c>
      <c r="D84" s="82">
        <v>1</v>
      </c>
      <c r="E84" s="82">
        <v>1</v>
      </c>
      <c r="F84" s="83">
        <v>1</v>
      </c>
      <c r="G84" s="133">
        <f t="shared" si="40"/>
        <v>1</v>
      </c>
      <c r="H84" s="88">
        <v>1</v>
      </c>
      <c r="I84" s="86">
        <v>1</v>
      </c>
      <c r="J84" s="82">
        <v>1</v>
      </c>
      <c r="K84" s="89">
        <v>1</v>
      </c>
      <c r="L84" s="90">
        <f t="shared" si="41"/>
        <v>1</v>
      </c>
      <c r="M84" s="85">
        <v>1</v>
      </c>
      <c r="N84" s="86">
        <v>1</v>
      </c>
      <c r="O84" s="82">
        <v>1</v>
      </c>
      <c r="P84" s="87">
        <v>1</v>
      </c>
      <c r="Q84" s="88">
        <v>1</v>
      </c>
      <c r="R84" s="86">
        <v>1</v>
      </c>
      <c r="S84" s="82">
        <v>1</v>
      </c>
      <c r="T84" s="89">
        <v>1</v>
      </c>
      <c r="U84" s="88">
        <v>1</v>
      </c>
      <c r="V84" s="86">
        <v>1</v>
      </c>
      <c r="W84" s="82">
        <v>1</v>
      </c>
      <c r="X84" s="89">
        <v>1</v>
      </c>
      <c r="Y84" s="90">
        <f t="shared" si="42"/>
        <v>1.0000000000000002</v>
      </c>
      <c r="Z84" s="88">
        <v>0.5</v>
      </c>
      <c r="AA84" s="86">
        <v>0.5</v>
      </c>
      <c r="AB84" s="82">
        <v>0.5</v>
      </c>
      <c r="AC84" s="89">
        <v>0.5</v>
      </c>
      <c r="AD84" s="90">
        <f t="shared" si="43"/>
        <v>0.5</v>
      </c>
      <c r="AE84" s="88">
        <v>1</v>
      </c>
      <c r="AF84" s="86">
        <v>0.7</v>
      </c>
      <c r="AG84" s="82">
        <v>0.7</v>
      </c>
      <c r="AH84" s="87">
        <v>0.7</v>
      </c>
      <c r="AI84" s="84">
        <f t="shared" si="49"/>
        <v>0.71499999999999997</v>
      </c>
      <c r="AJ84" s="87">
        <v>1</v>
      </c>
      <c r="AK84" s="87">
        <v>1</v>
      </c>
      <c r="AL84" s="87"/>
      <c r="AM84" s="97">
        <v>0.55000000000000004</v>
      </c>
      <c r="AN84" s="97">
        <v>0.55000000000000004</v>
      </c>
      <c r="AO84" s="97">
        <v>0.55000000000000004</v>
      </c>
      <c r="AP84" s="97">
        <v>0.55000000000000004</v>
      </c>
      <c r="AQ84" s="84">
        <f t="shared" si="44"/>
        <v>0.55000000000000004</v>
      </c>
      <c r="AR84" s="88">
        <v>0</v>
      </c>
      <c r="AS84" s="88">
        <v>0</v>
      </c>
      <c r="AT84" s="88">
        <v>0</v>
      </c>
      <c r="AU84" s="88">
        <v>0</v>
      </c>
      <c r="AV84" s="84">
        <f t="shared" si="45"/>
        <v>0</v>
      </c>
      <c r="AW84" s="88">
        <v>0</v>
      </c>
      <c r="AX84" s="88">
        <v>0</v>
      </c>
      <c r="AY84" s="88">
        <v>0</v>
      </c>
      <c r="AZ84" s="84">
        <f t="shared" si="46"/>
        <v>0</v>
      </c>
      <c r="BA84" s="88">
        <v>0</v>
      </c>
      <c r="BB84" s="88">
        <v>0</v>
      </c>
      <c r="BC84" s="153">
        <v>0</v>
      </c>
      <c r="BD84" s="84">
        <f t="shared" si="47"/>
        <v>0</v>
      </c>
      <c r="BE84" s="135"/>
      <c r="BF84" s="92" t="e">
        <f t="shared" si="48"/>
        <v>#DIV/0!</v>
      </c>
      <c r="BG84" s="103"/>
    </row>
    <row r="85" spans="2:59" s="94" customFormat="1" ht="43.5" customHeight="1" thickBot="1" x14ac:dyDescent="0.4">
      <c r="B85" s="80">
        <v>504</v>
      </c>
      <c r="C85" s="81">
        <v>1</v>
      </c>
      <c r="D85" s="82">
        <v>1</v>
      </c>
      <c r="E85" s="82">
        <v>1</v>
      </c>
      <c r="F85" s="83">
        <v>1</v>
      </c>
      <c r="G85" s="133">
        <f t="shared" si="40"/>
        <v>1</v>
      </c>
      <c r="H85" s="88">
        <v>0.95</v>
      </c>
      <c r="I85" s="86">
        <v>0.95</v>
      </c>
      <c r="J85" s="82">
        <v>0.95</v>
      </c>
      <c r="K85" s="89">
        <v>0.95</v>
      </c>
      <c r="L85" s="90">
        <f t="shared" si="41"/>
        <v>0.95</v>
      </c>
      <c r="M85" s="85">
        <v>1</v>
      </c>
      <c r="N85" s="86">
        <v>1</v>
      </c>
      <c r="O85" s="82">
        <v>1</v>
      </c>
      <c r="P85" s="87">
        <v>1</v>
      </c>
      <c r="Q85" s="88">
        <v>1</v>
      </c>
      <c r="R85" s="86">
        <v>1</v>
      </c>
      <c r="S85" s="82">
        <v>1</v>
      </c>
      <c r="T85" s="89">
        <v>1</v>
      </c>
      <c r="U85" s="88">
        <v>1</v>
      </c>
      <c r="V85" s="86">
        <v>1</v>
      </c>
      <c r="W85" s="82">
        <v>1</v>
      </c>
      <c r="X85" s="89">
        <v>1</v>
      </c>
      <c r="Y85" s="90">
        <f t="shared" si="42"/>
        <v>1.0000000000000002</v>
      </c>
      <c r="Z85" s="88">
        <v>0.5</v>
      </c>
      <c r="AA85" s="86">
        <v>0.5</v>
      </c>
      <c r="AB85" s="82">
        <v>0.5</v>
      </c>
      <c r="AC85" s="89">
        <v>0.5</v>
      </c>
      <c r="AD85" s="90">
        <f t="shared" si="43"/>
        <v>0.5</v>
      </c>
      <c r="AE85" s="88">
        <v>0.7</v>
      </c>
      <c r="AF85" s="86">
        <v>1</v>
      </c>
      <c r="AG85" s="82">
        <v>0.7</v>
      </c>
      <c r="AH85" s="87">
        <v>0</v>
      </c>
      <c r="AI85" s="84">
        <f t="shared" si="49"/>
        <v>0.57999999999999996</v>
      </c>
      <c r="AJ85" s="87">
        <v>1</v>
      </c>
      <c r="AK85" s="87">
        <v>1</v>
      </c>
      <c r="AL85" s="87"/>
      <c r="AM85" s="97">
        <v>0.55000000000000004</v>
      </c>
      <c r="AN85" s="97">
        <v>0.55000000000000004</v>
      </c>
      <c r="AO85" s="97">
        <v>0.55000000000000004</v>
      </c>
      <c r="AP85" s="97">
        <v>0.55000000000000004</v>
      </c>
      <c r="AQ85" s="84">
        <f t="shared" si="44"/>
        <v>0.55000000000000004</v>
      </c>
      <c r="AR85" s="88">
        <v>0</v>
      </c>
      <c r="AS85" s="88">
        <v>0</v>
      </c>
      <c r="AT85" s="88">
        <v>0</v>
      </c>
      <c r="AU85" s="88">
        <v>0</v>
      </c>
      <c r="AV85" s="84">
        <f t="shared" si="45"/>
        <v>0</v>
      </c>
      <c r="AW85" s="88">
        <v>0</v>
      </c>
      <c r="AX85" s="88">
        <v>0</v>
      </c>
      <c r="AY85" s="88">
        <v>0</v>
      </c>
      <c r="AZ85" s="84">
        <f t="shared" si="46"/>
        <v>0</v>
      </c>
      <c r="BA85" s="88">
        <v>0</v>
      </c>
      <c r="BB85" s="88">
        <v>0</v>
      </c>
      <c r="BC85" s="153">
        <v>0</v>
      </c>
      <c r="BD85" s="84">
        <f t="shared" si="47"/>
        <v>0</v>
      </c>
      <c r="BE85" s="135"/>
      <c r="BF85" s="92" t="e">
        <f t="shared" si="48"/>
        <v>#DIV/0!</v>
      </c>
      <c r="BG85" s="102"/>
    </row>
    <row r="86" spans="2:59" s="94" customFormat="1" ht="43.5" customHeight="1" thickBot="1" x14ac:dyDescent="0.4">
      <c r="B86" s="95">
        <v>505</v>
      </c>
      <c r="C86" s="81">
        <v>1</v>
      </c>
      <c r="D86" s="82">
        <v>1</v>
      </c>
      <c r="E86" s="82">
        <v>1</v>
      </c>
      <c r="F86" s="83">
        <v>1</v>
      </c>
      <c r="G86" s="133">
        <f t="shared" si="40"/>
        <v>1</v>
      </c>
      <c r="H86" s="88">
        <v>1</v>
      </c>
      <c r="I86" s="86">
        <v>1</v>
      </c>
      <c r="J86" s="82">
        <v>1</v>
      </c>
      <c r="K86" s="89">
        <v>1</v>
      </c>
      <c r="L86" s="90">
        <f t="shared" si="41"/>
        <v>1</v>
      </c>
      <c r="M86" s="85">
        <v>1</v>
      </c>
      <c r="N86" s="86">
        <v>1</v>
      </c>
      <c r="O86" s="82">
        <v>1</v>
      </c>
      <c r="P86" s="87">
        <v>1</v>
      </c>
      <c r="Q86" s="88">
        <v>1</v>
      </c>
      <c r="R86" s="86">
        <v>1</v>
      </c>
      <c r="S86" s="82">
        <v>1</v>
      </c>
      <c r="T86" s="89">
        <v>1</v>
      </c>
      <c r="U86" s="88">
        <v>1</v>
      </c>
      <c r="V86" s="86">
        <v>1</v>
      </c>
      <c r="W86" s="82">
        <v>1</v>
      </c>
      <c r="X86" s="89">
        <v>1</v>
      </c>
      <c r="Y86" s="90">
        <f t="shared" si="42"/>
        <v>1.0000000000000002</v>
      </c>
      <c r="Z86" s="88">
        <v>0.5</v>
      </c>
      <c r="AA86" s="86">
        <v>0.5</v>
      </c>
      <c r="AB86" s="82">
        <v>0.5</v>
      </c>
      <c r="AC86" s="89">
        <v>0.5</v>
      </c>
      <c r="AD86" s="90">
        <f t="shared" si="43"/>
        <v>0.5</v>
      </c>
      <c r="AE86" s="88">
        <v>1</v>
      </c>
      <c r="AF86" s="86">
        <v>0.7</v>
      </c>
      <c r="AG86" s="82">
        <v>0.7</v>
      </c>
      <c r="AH86" s="87">
        <v>0.7</v>
      </c>
      <c r="AI86" s="84">
        <f t="shared" si="49"/>
        <v>0.71499999999999997</v>
      </c>
      <c r="AJ86" s="87">
        <v>1</v>
      </c>
      <c r="AK86" s="87">
        <v>1</v>
      </c>
      <c r="AL86" s="87"/>
      <c r="AM86" s="97">
        <v>0.55000000000000004</v>
      </c>
      <c r="AN86" s="97">
        <v>0.55000000000000004</v>
      </c>
      <c r="AO86" s="97">
        <v>0.55000000000000004</v>
      </c>
      <c r="AP86" s="97">
        <v>0.55000000000000004</v>
      </c>
      <c r="AQ86" s="84">
        <f t="shared" si="44"/>
        <v>0.55000000000000004</v>
      </c>
      <c r="AR86" s="88">
        <v>0</v>
      </c>
      <c r="AS86" s="88">
        <v>0</v>
      </c>
      <c r="AT86" s="88">
        <v>0</v>
      </c>
      <c r="AU86" s="88">
        <v>0</v>
      </c>
      <c r="AV86" s="84">
        <f t="shared" si="45"/>
        <v>0</v>
      </c>
      <c r="AW86" s="88">
        <v>0</v>
      </c>
      <c r="AX86" s="88">
        <v>0</v>
      </c>
      <c r="AY86" s="88">
        <v>0</v>
      </c>
      <c r="AZ86" s="84">
        <f t="shared" si="46"/>
        <v>0</v>
      </c>
      <c r="BA86" s="88">
        <v>0</v>
      </c>
      <c r="BB86" s="88">
        <v>0</v>
      </c>
      <c r="BC86" s="153">
        <v>0</v>
      </c>
      <c r="BD86" s="84">
        <f t="shared" si="47"/>
        <v>0</v>
      </c>
      <c r="BE86" s="135"/>
      <c r="BF86" s="92" t="e">
        <f t="shared" si="48"/>
        <v>#DIV/0!</v>
      </c>
      <c r="BG86" s="103"/>
    </row>
    <row r="87" spans="2:59" s="94" customFormat="1" ht="43.5" customHeight="1" thickBot="1" x14ac:dyDescent="0.4">
      <c r="B87" s="80">
        <v>506</v>
      </c>
      <c r="C87" s="81">
        <v>1</v>
      </c>
      <c r="D87" s="82">
        <v>1</v>
      </c>
      <c r="E87" s="82">
        <v>1</v>
      </c>
      <c r="F87" s="83">
        <v>1</v>
      </c>
      <c r="G87" s="133">
        <f t="shared" si="40"/>
        <v>1</v>
      </c>
      <c r="H87" s="88">
        <v>1</v>
      </c>
      <c r="I87" s="86">
        <v>1</v>
      </c>
      <c r="J87" s="82">
        <v>1</v>
      </c>
      <c r="K87" s="89">
        <v>1</v>
      </c>
      <c r="L87" s="90">
        <f t="shared" si="41"/>
        <v>1</v>
      </c>
      <c r="M87" s="85">
        <v>1</v>
      </c>
      <c r="N87" s="86">
        <v>1</v>
      </c>
      <c r="O87" s="82">
        <v>1</v>
      </c>
      <c r="P87" s="87">
        <v>1</v>
      </c>
      <c r="Q87" s="88">
        <v>1</v>
      </c>
      <c r="R87" s="86">
        <v>1</v>
      </c>
      <c r="S87" s="82">
        <v>1</v>
      </c>
      <c r="T87" s="89">
        <v>1</v>
      </c>
      <c r="U87" s="88">
        <v>1</v>
      </c>
      <c r="V87" s="86">
        <v>1</v>
      </c>
      <c r="W87" s="82">
        <v>1</v>
      </c>
      <c r="X87" s="89">
        <v>1</v>
      </c>
      <c r="Y87" s="90">
        <f t="shared" si="42"/>
        <v>1.0000000000000002</v>
      </c>
      <c r="Z87" s="88">
        <v>0.5</v>
      </c>
      <c r="AA87" s="86">
        <v>0.5</v>
      </c>
      <c r="AB87" s="82">
        <v>0.5</v>
      </c>
      <c r="AC87" s="89">
        <v>0.5</v>
      </c>
      <c r="AD87" s="90">
        <f t="shared" si="43"/>
        <v>0.5</v>
      </c>
      <c r="AE87" s="88">
        <v>0.7</v>
      </c>
      <c r="AF87" s="86">
        <v>0</v>
      </c>
      <c r="AG87" s="82">
        <v>0</v>
      </c>
      <c r="AH87" s="87">
        <v>1</v>
      </c>
      <c r="AI87" s="84">
        <f t="shared" si="49"/>
        <v>0.33499999999999996</v>
      </c>
      <c r="AJ87" s="87">
        <v>0.4</v>
      </c>
      <c r="AK87" s="87">
        <v>1</v>
      </c>
      <c r="AL87" s="87"/>
      <c r="AM87" s="97">
        <v>0.55000000000000004</v>
      </c>
      <c r="AN87" s="97">
        <v>0.55000000000000004</v>
      </c>
      <c r="AO87" s="97">
        <v>0.55000000000000004</v>
      </c>
      <c r="AP87" s="97">
        <v>0.55000000000000004</v>
      </c>
      <c r="AQ87" s="84">
        <f t="shared" si="44"/>
        <v>0.55000000000000004</v>
      </c>
      <c r="AR87" s="88">
        <v>0</v>
      </c>
      <c r="AS87" s="88">
        <v>0</v>
      </c>
      <c r="AT87" s="88">
        <v>0</v>
      </c>
      <c r="AU87" s="88">
        <v>0</v>
      </c>
      <c r="AV87" s="84">
        <f t="shared" si="45"/>
        <v>0</v>
      </c>
      <c r="AW87" s="88">
        <v>0</v>
      </c>
      <c r="AX87" s="88">
        <v>0</v>
      </c>
      <c r="AY87" s="88">
        <v>0</v>
      </c>
      <c r="AZ87" s="84">
        <f t="shared" si="46"/>
        <v>0</v>
      </c>
      <c r="BA87" s="88">
        <v>0</v>
      </c>
      <c r="BB87" s="88">
        <v>0</v>
      </c>
      <c r="BC87" s="153">
        <v>0</v>
      </c>
      <c r="BD87" s="84">
        <f t="shared" si="47"/>
        <v>0</v>
      </c>
      <c r="BE87" s="135"/>
      <c r="BF87" s="92" t="e">
        <f t="shared" si="48"/>
        <v>#DIV/0!</v>
      </c>
      <c r="BG87" s="104"/>
    </row>
    <row r="88" spans="2:59" s="94" customFormat="1" ht="43.5" customHeight="1" thickBot="1" x14ac:dyDescent="0.4">
      <c r="B88" s="80">
        <v>507</v>
      </c>
      <c r="C88" s="81">
        <v>1</v>
      </c>
      <c r="D88" s="82">
        <v>1</v>
      </c>
      <c r="E88" s="82">
        <v>1</v>
      </c>
      <c r="F88" s="83">
        <v>1</v>
      </c>
      <c r="G88" s="133">
        <f t="shared" si="40"/>
        <v>1</v>
      </c>
      <c r="H88" s="88">
        <v>1</v>
      </c>
      <c r="I88" s="86">
        <v>1</v>
      </c>
      <c r="J88" s="82">
        <v>1</v>
      </c>
      <c r="K88" s="89">
        <v>1</v>
      </c>
      <c r="L88" s="90">
        <f t="shared" si="41"/>
        <v>1</v>
      </c>
      <c r="M88" s="85">
        <v>1</v>
      </c>
      <c r="N88" s="86">
        <v>1</v>
      </c>
      <c r="O88" s="82">
        <v>1</v>
      </c>
      <c r="P88" s="87">
        <v>1</v>
      </c>
      <c r="Q88" s="88">
        <v>1</v>
      </c>
      <c r="R88" s="86">
        <v>1</v>
      </c>
      <c r="S88" s="82">
        <v>1</v>
      </c>
      <c r="T88" s="89">
        <v>1</v>
      </c>
      <c r="U88" s="88">
        <v>1</v>
      </c>
      <c r="V88" s="86">
        <v>1</v>
      </c>
      <c r="W88" s="82">
        <v>1</v>
      </c>
      <c r="X88" s="89">
        <v>1</v>
      </c>
      <c r="Y88" s="90">
        <f t="shared" si="42"/>
        <v>1.0000000000000002</v>
      </c>
      <c r="Z88" s="88">
        <v>0.5</v>
      </c>
      <c r="AA88" s="86">
        <v>0.5</v>
      </c>
      <c r="AB88" s="82">
        <v>0.5</v>
      </c>
      <c r="AC88" s="89">
        <v>0.5</v>
      </c>
      <c r="AD88" s="90">
        <f t="shared" si="43"/>
        <v>0.5</v>
      </c>
      <c r="AE88" s="88">
        <v>1</v>
      </c>
      <c r="AF88" s="86">
        <v>0.7</v>
      </c>
      <c r="AG88" s="82">
        <v>0.7</v>
      </c>
      <c r="AH88" s="87">
        <v>0.7</v>
      </c>
      <c r="AI88" s="84">
        <f t="shared" si="49"/>
        <v>0.71499999999999997</v>
      </c>
      <c r="AJ88" s="87">
        <v>1</v>
      </c>
      <c r="AK88" s="87">
        <v>1</v>
      </c>
      <c r="AL88" s="87"/>
      <c r="AM88" s="97">
        <v>0.55000000000000004</v>
      </c>
      <c r="AN88" s="97">
        <v>0.55000000000000004</v>
      </c>
      <c r="AO88" s="97">
        <v>0.55000000000000004</v>
      </c>
      <c r="AP88" s="97">
        <v>0.55000000000000004</v>
      </c>
      <c r="AQ88" s="84">
        <f t="shared" si="44"/>
        <v>0.55000000000000004</v>
      </c>
      <c r="AR88" s="88">
        <v>0</v>
      </c>
      <c r="AS88" s="88">
        <v>0</v>
      </c>
      <c r="AT88" s="88">
        <v>0</v>
      </c>
      <c r="AU88" s="88">
        <v>0</v>
      </c>
      <c r="AV88" s="84">
        <f t="shared" si="45"/>
        <v>0</v>
      </c>
      <c r="AW88" s="88">
        <v>0</v>
      </c>
      <c r="AX88" s="88">
        <v>0</v>
      </c>
      <c r="AY88" s="88">
        <v>0</v>
      </c>
      <c r="AZ88" s="84">
        <f t="shared" si="46"/>
        <v>0</v>
      </c>
      <c r="BA88" s="88">
        <v>0</v>
      </c>
      <c r="BB88" s="88">
        <v>0</v>
      </c>
      <c r="BC88" s="153">
        <v>0</v>
      </c>
      <c r="BD88" s="84">
        <f t="shared" si="47"/>
        <v>0</v>
      </c>
      <c r="BE88" s="135"/>
      <c r="BF88" s="92" t="e">
        <f t="shared" si="48"/>
        <v>#DIV/0!</v>
      </c>
      <c r="BG88" s="103"/>
    </row>
    <row r="89" spans="2:59" s="94" customFormat="1" ht="43.5" customHeight="1" thickBot="1" x14ac:dyDescent="0.4">
      <c r="B89" s="95">
        <v>508</v>
      </c>
      <c r="C89" s="81">
        <v>1</v>
      </c>
      <c r="D89" s="82">
        <v>1</v>
      </c>
      <c r="E89" s="82">
        <v>1</v>
      </c>
      <c r="F89" s="83">
        <v>1</v>
      </c>
      <c r="G89" s="133">
        <f t="shared" si="40"/>
        <v>1</v>
      </c>
      <c r="H89" s="88">
        <v>1</v>
      </c>
      <c r="I89" s="86">
        <v>1</v>
      </c>
      <c r="J89" s="82">
        <v>1</v>
      </c>
      <c r="K89" s="89">
        <v>1</v>
      </c>
      <c r="L89" s="90">
        <f t="shared" si="41"/>
        <v>1</v>
      </c>
      <c r="M89" s="85">
        <v>1</v>
      </c>
      <c r="N89" s="86">
        <v>1</v>
      </c>
      <c r="O89" s="82">
        <v>1</v>
      </c>
      <c r="P89" s="87">
        <v>1</v>
      </c>
      <c r="Q89" s="88">
        <v>1</v>
      </c>
      <c r="R89" s="86">
        <v>1</v>
      </c>
      <c r="S89" s="82">
        <v>1</v>
      </c>
      <c r="T89" s="89">
        <v>1</v>
      </c>
      <c r="U89" s="88">
        <v>1</v>
      </c>
      <c r="V89" s="86">
        <v>1</v>
      </c>
      <c r="W89" s="82">
        <v>1</v>
      </c>
      <c r="X89" s="89">
        <v>1</v>
      </c>
      <c r="Y89" s="90">
        <f t="shared" si="42"/>
        <v>1.0000000000000002</v>
      </c>
      <c r="Z89" s="88">
        <v>0.5</v>
      </c>
      <c r="AA89" s="86">
        <v>0.5</v>
      </c>
      <c r="AB89" s="82">
        <v>0.5</v>
      </c>
      <c r="AC89" s="89">
        <v>0.5</v>
      </c>
      <c r="AD89" s="90">
        <f t="shared" si="43"/>
        <v>0.5</v>
      </c>
      <c r="AE89" s="88">
        <v>1</v>
      </c>
      <c r="AF89" s="86">
        <v>1</v>
      </c>
      <c r="AG89" s="82">
        <v>1</v>
      </c>
      <c r="AH89" s="87">
        <v>0.7</v>
      </c>
      <c r="AI89" s="84">
        <f t="shared" si="49"/>
        <v>0.90999999999999992</v>
      </c>
      <c r="AJ89" s="87">
        <v>1</v>
      </c>
      <c r="AK89" s="87">
        <v>1</v>
      </c>
      <c r="AL89" s="87"/>
      <c r="AM89" s="97">
        <v>0.55000000000000004</v>
      </c>
      <c r="AN89" s="97">
        <v>0.55000000000000004</v>
      </c>
      <c r="AO89" s="97">
        <v>0.55000000000000004</v>
      </c>
      <c r="AP89" s="97">
        <v>0.55000000000000004</v>
      </c>
      <c r="AQ89" s="84">
        <f t="shared" si="44"/>
        <v>0.55000000000000004</v>
      </c>
      <c r="AR89" s="88">
        <v>0</v>
      </c>
      <c r="AS89" s="88">
        <v>0</v>
      </c>
      <c r="AT89" s="88">
        <v>0</v>
      </c>
      <c r="AU89" s="88">
        <v>0</v>
      </c>
      <c r="AV89" s="84">
        <f t="shared" si="45"/>
        <v>0</v>
      </c>
      <c r="AW89" s="88">
        <v>0</v>
      </c>
      <c r="AX89" s="88">
        <v>0</v>
      </c>
      <c r="AY89" s="88">
        <v>0</v>
      </c>
      <c r="AZ89" s="84">
        <f t="shared" si="46"/>
        <v>0</v>
      </c>
      <c r="BA89" s="88">
        <v>0</v>
      </c>
      <c r="BB89" s="88">
        <v>0</v>
      </c>
      <c r="BC89" s="153">
        <v>0</v>
      </c>
      <c r="BD89" s="84">
        <f t="shared" si="47"/>
        <v>0</v>
      </c>
      <c r="BE89" s="135"/>
      <c r="BF89" s="92" t="e">
        <f t="shared" si="48"/>
        <v>#DIV/0!</v>
      </c>
      <c r="BG89" s="104"/>
    </row>
    <row r="90" spans="2:59" s="94" customFormat="1" ht="43.5" customHeight="1" thickBot="1" x14ac:dyDescent="0.4">
      <c r="B90" s="80">
        <v>509</v>
      </c>
      <c r="C90" s="81">
        <v>1</v>
      </c>
      <c r="D90" s="82">
        <v>1</v>
      </c>
      <c r="E90" s="82">
        <v>1</v>
      </c>
      <c r="F90" s="83">
        <v>1</v>
      </c>
      <c r="G90" s="133">
        <f t="shared" si="40"/>
        <v>1</v>
      </c>
      <c r="H90" s="88">
        <v>1</v>
      </c>
      <c r="I90" s="86">
        <v>1</v>
      </c>
      <c r="J90" s="82">
        <v>1</v>
      </c>
      <c r="K90" s="89">
        <v>1</v>
      </c>
      <c r="L90" s="90">
        <f t="shared" si="41"/>
        <v>1</v>
      </c>
      <c r="M90" s="85">
        <v>1</v>
      </c>
      <c r="N90" s="86">
        <v>1</v>
      </c>
      <c r="O90" s="82">
        <v>1</v>
      </c>
      <c r="P90" s="87">
        <v>1</v>
      </c>
      <c r="Q90" s="88">
        <v>1</v>
      </c>
      <c r="R90" s="86">
        <v>1</v>
      </c>
      <c r="S90" s="82">
        <v>1</v>
      </c>
      <c r="T90" s="89">
        <v>1</v>
      </c>
      <c r="U90" s="88">
        <v>1</v>
      </c>
      <c r="V90" s="86">
        <v>1</v>
      </c>
      <c r="W90" s="82">
        <v>1</v>
      </c>
      <c r="X90" s="89">
        <v>1</v>
      </c>
      <c r="Y90" s="90">
        <f t="shared" si="42"/>
        <v>1.0000000000000002</v>
      </c>
      <c r="Z90" s="88">
        <v>0.5</v>
      </c>
      <c r="AA90" s="86">
        <v>0.5</v>
      </c>
      <c r="AB90" s="82">
        <v>0.5</v>
      </c>
      <c r="AC90" s="89">
        <v>0.5</v>
      </c>
      <c r="AD90" s="90">
        <f t="shared" si="43"/>
        <v>0.5</v>
      </c>
      <c r="AE90" s="88">
        <v>0.7</v>
      </c>
      <c r="AF90" s="86">
        <v>0.7</v>
      </c>
      <c r="AG90" s="82">
        <v>0.7</v>
      </c>
      <c r="AH90" s="87">
        <v>0.7</v>
      </c>
      <c r="AI90" s="84">
        <f t="shared" si="49"/>
        <v>0.7</v>
      </c>
      <c r="AJ90" s="87">
        <v>1</v>
      </c>
      <c r="AK90" s="87">
        <v>1</v>
      </c>
      <c r="AL90" s="87"/>
      <c r="AM90" s="97">
        <v>0.55000000000000004</v>
      </c>
      <c r="AN90" s="97">
        <v>0.55000000000000004</v>
      </c>
      <c r="AO90" s="97">
        <v>0.55000000000000004</v>
      </c>
      <c r="AP90" s="97">
        <v>0.55000000000000004</v>
      </c>
      <c r="AQ90" s="84">
        <f t="shared" si="44"/>
        <v>0.55000000000000004</v>
      </c>
      <c r="AR90" s="88">
        <v>0</v>
      </c>
      <c r="AS90" s="88">
        <v>0</v>
      </c>
      <c r="AT90" s="88">
        <v>0</v>
      </c>
      <c r="AU90" s="88">
        <v>0</v>
      </c>
      <c r="AV90" s="84">
        <f t="shared" si="45"/>
        <v>0</v>
      </c>
      <c r="AW90" s="88">
        <v>0</v>
      </c>
      <c r="AX90" s="88">
        <v>0</v>
      </c>
      <c r="AY90" s="88">
        <v>0</v>
      </c>
      <c r="AZ90" s="84">
        <f t="shared" si="46"/>
        <v>0</v>
      </c>
      <c r="BA90" s="88">
        <v>0</v>
      </c>
      <c r="BB90" s="88">
        <v>0</v>
      </c>
      <c r="BC90" s="153">
        <v>0</v>
      </c>
      <c r="BD90" s="84">
        <f t="shared" si="47"/>
        <v>0</v>
      </c>
      <c r="BE90" s="135"/>
      <c r="BF90" s="92" t="e">
        <f t="shared" si="48"/>
        <v>#DIV/0!</v>
      </c>
      <c r="BG90" s="103"/>
    </row>
    <row r="91" spans="2:59" s="94" customFormat="1" ht="43.5" customHeight="1" thickBot="1" x14ac:dyDescent="0.4">
      <c r="B91" s="80">
        <v>510</v>
      </c>
      <c r="C91" s="81">
        <v>1</v>
      </c>
      <c r="D91" s="82">
        <v>1</v>
      </c>
      <c r="E91" s="82">
        <v>1</v>
      </c>
      <c r="F91" s="83">
        <v>1</v>
      </c>
      <c r="G91" s="133">
        <f t="shared" si="40"/>
        <v>1</v>
      </c>
      <c r="H91" s="88">
        <v>1</v>
      </c>
      <c r="I91" s="86">
        <v>1</v>
      </c>
      <c r="J91" s="82">
        <v>1</v>
      </c>
      <c r="K91" s="89">
        <v>1</v>
      </c>
      <c r="L91" s="90">
        <f t="shared" si="41"/>
        <v>1</v>
      </c>
      <c r="M91" s="85">
        <v>1</v>
      </c>
      <c r="N91" s="86">
        <v>1</v>
      </c>
      <c r="O91" s="82">
        <v>1</v>
      </c>
      <c r="P91" s="87">
        <v>1</v>
      </c>
      <c r="Q91" s="88">
        <v>1</v>
      </c>
      <c r="R91" s="86">
        <v>1</v>
      </c>
      <c r="S91" s="82">
        <v>1</v>
      </c>
      <c r="T91" s="89">
        <v>1</v>
      </c>
      <c r="U91" s="88">
        <v>1</v>
      </c>
      <c r="V91" s="86">
        <v>1</v>
      </c>
      <c r="W91" s="82">
        <v>1</v>
      </c>
      <c r="X91" s="89">
        <v>1</v>
      </c>
      <c r="Y91" s="90">
        <f t="shared" si="42"/>
        <v>1.0000000000000002</v>
      </c>
      <c r="Z91" s="88">
        <v>0.5</v>
      </c>
      <c r="AA91" s="86">
        <v>0.5</v>
      </c>
      <c r="AB91" s="82">
        <v>0.5</v>
      </c>
      <c r="AC91" s="89">
        <v>0.5</v>
      </c>
      <c r="AD91" s="90">
        <f t="shared" si="43"/>
        <v>0.5</v>
      </c>
      <c r="AE91" s="88">
        <v>1</v>
      </c>
      <c r="AF91" s="86">
        <v>1</v>
      </c>
      <c r="AG91" s="82">
        <v>1</v>
      </c>
      <c r="AH91" s="87">
        <v>1</v>
      </c>
      <c r="AI91" s="84">
        <f t="shared" si="49"/>
        <v>1</v>
      </c>
      <c r="AJ91" s="87">
        <v>1</v>
      </c>
      <c r="AK91" s="87">
        <v>1</v>
      </c>
      <c r="AL91" s="87"/>
      <c r="AM91" s="97">
        <v>0.55000000000000004</v>
      </c>
      <c r="AN91" s="97">
        <v>0.55000000000000004</v>
      </c>
      <c r="AO91" s="97">
        <v>0.55000000000000004</v>
      </c>
      <c r="AP91" s="97">
        <v>0.55000000000000004</v>
      </c>
      <c r="AQ91" s="84">
        <f t="shared" si="44"/>
        <v>0.55000000000000004</v>
      </c>
      <c r="AR91" s="88">
        <v>0</v>
      </c>
      <c r="AS91" s="88">
        <v>0</v>
      </c>
      <c r="AT91" s="88">
        <v>0</v>
      </c>
      <c r="AU91" s="88">
        <v>0</v>
      </c>
      <c r="AV91" s="84">
        <f t="shared" si="45"/>
        <v>0</v>
      </c>
      <c r="AW91" s="88">
        <v>0</v>
      </c>
      <c r="AX91" s="88">
        <v>0</v>
      </c>
      <c r="AY91" s="88">
        <v>0</v>
      </c>
      <c r="AZ91" s="84">
        <f t="shared" si="46"/>
        <v>0</v>
      </c>
      <c r="BA91" s="88">
        <v>0</v>
      </c>
      <c r="BB91" s="88">
        <v>0</v>
      </c>
      <c r="BC91" s="153">
        <v>0</v>
      </c>
      <c r="BD91" s="84">
        <f t="shared" si="47"/>
        <v>0</v>
      </c>
      <c r="BE91" s="135"/>
      <c r="BF91" s="92" t="e">
        <f t="shared" si="48"/>
        <v>#DIV/0!</v>
      </c>
      <c r="BG91" s="103"/>
    </row>
    <row r="92" spans="2:59" s="94" customFormat="1" ht="43.5" customHeight="1" thickBot="1" x14ac:dyDescent="0.4">
      <c r="B92" s="95">
        <v>511</v>
      </c>
      <c r="C92" s="81">
        <v>1</v>
      </c>
      <c r="D92" s="82">
        <v>1</v>
      </c>
      <c r="E92" s="82">
        <v>1</v>
      </c>
      <c r="F92" s="83">
        <v>1</v>
      </c>
      <c r="G92" s="133">
        <f t="shared" si="40"/>
        <v>1</v>
      </c>
      <c r="H92" s="88">
        <v>1</v>
      </c>
      <c r="I92" s="86">
        <v>1</v>
      </c>
      <c r="J92" s="82">
        <v>1</v>
      </c>
      <c r="K92" s="89">
        <v>1</v>
      </c>
      <c r="L92" s="90">
        <f t="shared" si="41"/>
        <v>1</v>
      </c>
      <c r="M92" s="85">
        <v>1</v>
      </c>
      <c r="N92" s="86">
        <v>1</v>
      </c>
      <c r="O92" s="82">
        <v>1</v>
      </c>
      <c r="P92" s="87">
        <v>1</v>
      </c>
      <c r="Q92" s="88">
        <v>1</v>
      </c>
      <c r="R92" s="86">
        <v>1</v>
      </c>
      <c r="S92" s="82">
        <v>1</v>
      </c>
      <c r="T92" s="89">
        <v>1</v>
      </c>
      <c r="U92" s="88">
        <v>1</v>
      </c>
      <c r="V92" s="86">
        <v>1</v>
      </c>
      <c r="W92" s="82">
        <v>1</v>
      </c>
      <c r="X92" s="89">
        <v>1</v>
      </c>
      <c r="Y92" s="90">
        <f t="shared" si="42"/>
        <v>1.0000000000000002</v>
      </c>
      <c r="Z92" s="88">
        <v>0.5</v>
      </c>
      <c r="AA92" s="86">
        <v>0.5</v>
      </c>
      <c r="AB92" s="82">
        <v>0.5</v>
      </c>
      <c r="AC92" s="89">
        <v>0.5</v>
      </c>
      <c r="AD92" s="90">
        <f t="shared" si="43"/>
        <v>0.5</v>
      </c>
      <c r="AE92" s="88">
        <v>1</v>
      </c>
      <c r="AF92" s="86">
        <v>0.7</v>
      </c>
      <c r="AG92" s="82">
        <v>0.5</v>
      </c>
      <c r="AH92" s="87">
        <v>0.7</v>
      </c>
      <c r="AI92" s="84">
        <f t="shared" si="49"/>
        <v>0.64500000000000002</v>
      </c>
      <c r="AJ92" s="87">
        <v>1</v>
      </c>
      <c r="AK92" s="87">
        <v>1</v>
      </c>
      <c r="AL92" s="87"/>
      <c r="AM92" s="97">
        <v>0.55000000000000004</v>
      </c>
      <c r="AN92" s="97">
        <v>0.55000000000000004</v>
      </c>
      <c r="AO92" s="97">
        <v>0.55000000000000004</v>
      </c>
      <c r="AP92" s="97">
        <v>0.55000000000000004</v>
      </c>
      <c r="AQ92" s="84">
        <f t="shared" si="44"/>
        <v>0.55000000000000004</v>
      </c>
      <c r="AR92" s="88">
        <v>0</v>
      </c>
      <c r="AS92" s="88">
        <v>0</v>
      </c>
      <c r="AT92" s="88">
        <v>0</v>
      </c>
      <c r="AU92" s="88">
        <v>0</v>
      </c>
      <c r="AV92" s="84">
        <f t="shared" si="45"/>
        <v>0</v>
      </c>
      <c r="AW92" s="88">
        <v>0</v>
      </c>
      <c r="AX92" s="88">
        <v>0</v>
      </c>
      <c r="AY92" s="88">
        <v>0</v>
      </c>
      <c r="AZ92" s="84">
        <f t="shared" si="46"/>
        <v>0</v>
      </c>
      <c r="BA92" s="88">
        <v>0</v>
      </c>
      <c r="BB92" s="88">
        <v>0</v>
      </c>
      <c r="BC92" s="153">
        <v>0</v>
      </c>
      <c r="BD92" s="84">
        <f t="shared" si="47"/>
        <v>0</v>
      </c>
      <c r="BE92" s="135"/>
      <c r="BF92" s="92" t="e">
        <f t="shared" si="48"/>
        <v>#DIV/0!</v>
      </c>
      <c r="BG92" s="102"/>
    </row>
    <row r="93" spans="2:59" s="94" customFormat="1" ht="43.5" customHeight="1" thickBot="1" x14ac:dyDescent="0.4">
      <c r="B93" s="80">
        <v>512</v>
      </c>
      <c r="C93" s="81">
        <v>1</v>
      </c>
      <c r="D93" s="82">
        <v>1</v>
      </c>
      <c r="E93" s="82">
        <v>1</v>
      </c>
      <c r="F93" s="83">
        <v>1</v>
      </c>
      <c r="G93" s="133">
        <f t="shared" si="40"/>
        <v>1</v>
      </c>
      <c r="H93" s="88">
        <v>0.2</v>
      </c>
      <c r="I93" s="86">
        <v>0.1</v>
      </c>
      <c r="J93" s="82">
        <v>0.2</v>
      </c>
      <c r="K93" s="89">
        <v>0</v>
      </c>
      <c r="L93" s="90">
        <f t="shared" si="41"/>
        <v>0.11</v>
      </c>
      <c r="M93" s="85">
        <v>1</v>
      </c>
      <c r="N93" s="86">
        <v>1</v>
      </c>
      <c r="O93" s="82">
        <v>1</v>
      </c>
      <c r="P93" s="87">
        <v>1</v>
      </c>
      <c r="Q93" s="88">
        <v>1</v>
      </c>
      <c r="R93" s="86">
        <v>1</v>
      </c>
      <c r="S93" s="82">
        <v>1</v>
      </c>
      <c r="T93" s="89">
        <v>1</v>
      </c>
      <c r="U93" s="88">
        <v>1</v>
      </c>
      <c r="V93" s="86">
        <v>1</v>
      </c>
      <c r="W93" s="82">
        <v>1</v>
      </c>
      <c r="X93" s="89">
        <v>1</v>
      </c>
      <c r="Y93" s="90">
        <f t="shared" si="42"/>
        <v>1.0000000000000002</v>
      </c>
      <c r="Z93" s="88">
        <v>0.5</v>
      </c>
      <c r="AA93" s="86">
        <v>0.5</v>
      </c>
      <c r="AB93" s="82">
        <v>0.5</v>
      </c>
      <c r="AC93" s="89">
        <v>0.5</v>
      </c>
      <c r="AD93" s="90">
        <f t="shared" si="43"/>
        <v>0.5</v>
      </c>
      <c r="AE93" s="88">
        <v>1</v>
      </c>
      <c r="AF93" s="86">
        <v>1</v>
      </c>
      <c r="AG93" s="82">
        <v>1</v>
      </c>
      <c r="AH93" s="87">
        <v>1</v>
      </c>
      <c r="AI93" s="84">
        <f t="shared" si="49"/>
        <v>1</v>
      </c>
      <c r="AJ93" s="87">
        <v>1</v>
      </c>
      <c r="AK93" s="87">
        <v>1</v>
      </c>
      <c r="AL93" s="87"/>
      <c r="AM93" s="97">
        <v>0.55000000000000004</v>
      </c>
      <c r="AN93" s="97">
        <v>0.55000000000000004</v>
      </c>
      <c r="AO93" s="97">
        <v>0.55000000000000004</v>
      </c>
      <c r="AP93" s="97">
        <v>0.55000000000000004</v>
      </c>
      <c r="AQ93" s="84">
        <f t="shared" si="44"/>
        <v>0.55000000000000004</v>
      </c>
      <c r="AR93" s="88">
        <v>0</v>
      </c>
      <c r="AS93" s="88">
        <v>0</v>
      </c>
      <c r="AT93" s="88">
        <v>0</v>
      </c>
      <c r="AU93" s="88">
        <v>0</v>
      </c>
      <c r="AV93" s="84">
        <f t="shared" si="45"/>
        <v>0</v>
      </c>
      <c r="AW93" s="88">
        <v>0</v>
      </c>
      <c r="AX93" s="88">
        <v>0</v>
      </c>
      <c r="AY93" s="88">
        <v>0</v>
      </c>
      <c r="AZ93" s="84">
        <f t="shared" si="46"/>
        <v>0</v>
      </c>
      <c r="BA93" s="88">
        <v>0</v>
      </c>
      <c r="BB93" s="88">
        <v>0</v>
      </c>
      <c r="BC93" s="153">
        <v>0</v>
      </c>
      <c r="BD93" s="84">
        <f t="shared" si="47"/>
        <v>0</v>
      </c>
      <c r="BE93" s="135"/>
      <c r="BF93" s="92" t="e">
        <f t="shared" si="48"/>
        <v>#DIV/0!</v>
      </c>
      <c r="BG93" s="102"/>
    </row>
    <row r="94" spans="2:59" s="94" customFormat="1" ht="43.5" customHeight="1" thickBot="1" x14ac:dyDescent="0.4">
      <c r="B94" s="80">
        <v>513</v>
      </c>
      <c r="C94" s="81">
        <v>1</v>
      </c>
      <c r="D94" s="82">
        <v>1</v>
      </c>
      <c r="E94" s="82">
        <v>1</v>
      </c>
      <c r="F94" s="83">
        <v>1</v>
      </c>
      <c r="G94" s="133">
        <f t="shared" si="40"/>
        <v>1</v>
      </c>
      <c r="H94" s="88">
        <v>1</v>
      </c>
      <c r="I94" s="86">
        <v>1</v>
      </c>
      <c r="J94" s="82">
        <v>1</v>
      </c>
      <c r="K94" s="89">
        <v>1</v>
      </c>
      <c r="L94" s="90">
        <f t="shared" si="41"/>
        <v>1</v>
      </c>
      <c r="M94" s="85">
        <v>1</v>
      </c>
      <c r="N94" s="86">
        <v>1</v>
      </c>
      <c r="O94" s="82">
        <v>1</v>
      </c>
      <c r="P94" s="87">
        <v>1</v>
      </c>
      <c r="Q94" s="88">
        <v>1</v>
      </c>
      <c r="R94" s="86">
        <v>1</v>
      </c>
      <c r="S94" s="82">
        <v>1</v>
      </c>
      <c r="T94" s="89">
        <v>1</v>
      </c>
      <c r="U94" s="88">
        <v>1</v>
      </c>
      <c r="V94" s="86">
        <v>1</v>
      </c>
      <c r="W94" s="82">
        <v>1</v>
      </c>
      <c r="X94" s="89">
        <v>1</v>
      </c>
      <c r="Y94" s="90">
        <f t="shared" si="42"/>
        <v>1.0000000000000002</v>
      </c>
      <c r="Z94" s="88">
        <v>0.5</v>
      </c>
      <c r="AA94" s="86">
        <v>0.5</v>
      </c>
      <c r="AB94" s="82">
        <v>0.5</v>
      </c>
      <c r="AC94" s="89">
        <v>0.5</v>
      </c>
      <c r="AD94" s="90">
        <f t="shared" si="43"/>
        <v>0.5</v>
      </c>
      <c r="AE94" s="88">
        <v>1</v>
      </c>
      <c r="AF94" s="86">
        <v>0.7</v>
      </c>
      <c r="AG94" s="82">
        <v>0.7</v>
      </c>
      <c r="AH94" s="87">
        <v>0.7</v>
      </c>
      <c r="AI94" s="84">
        <f t="shared" si="49"/>
        <v>0.71499999999999997</v>
      </c>
      <c r="AJ94" s="87">
        <v>1</v>
      </c>
      <c r="AK94" s="87">
        <v>1</v>
      </c>
      <c r="AL94" s="87"/>
      <c r="AM94" s="97">
        <v>0.55000000000000004</v>
      </c>
      <c r="AN94" s="97">
        <v>0.55000000000000004</v>
      </c>
      <c r="AO94" s="97">
        <v>0.55000000000000004</v>
      </c>
      <c r="AP94" s="97">
        <v>0.55000000000000004</v>
      </c>
      <c r="AQ94" s="84">
        <f t="shared" si="44"/>
        <v>0.55000000000000004</v>
      </c>
      <c r="AR94" s="88">
        <v>0</v>
      </c>
      <c r="AS94" s="88">
        <v>0</v>
      </c>
      <c r="AT94" s="88">
        <v>0</v>
      </c>
      <c r="AU94" s="88">
        <v>0</v>
      </c>
      <c r="AV94" s="84">
        <f t="shared" si="45"/>
        <v>0</v>
      </c>
      <c r="AW94" s="88">
        <v>0</v>
      </c>
      <c r="AX94" s="88">
        <v>0</v>
      </c>
      <c r="AY94" s="88">
        <v>0</v>
      </c>
      <c r="AZ94" s="84">
        <f t="shared" si="46"/>
        <v>0</v>
      </c>
      <c r="BA94" s="88">
        <v>0</v>
      </c>
      <c r="BB94" s="88">
        <v>0</v>
      </c>
      <c r="BC94" s="153">
        <v>0</v>
      </c>
      <c r="BD94" s="84">
        <f t="shared" si="47"/>
        <v>0</v>
      </c>
      <c r="BE94" s="135"/>
      <c r="BF94" s="92" t="e">
        <f t="shared" si="48"/>
        <v>#DIV/0!</v>
      </c>
      <c r="BG94" s="105"/>
    </row>
    <row r="95" spans="2:59" s="94" customFormat="1" ht="43.5" customHeight="1" thickBot="1" x14ac:dyDescent="0.4">
      <c r="B95" s="95">
        <v>514</v>
      </c>
      <c r="C95" s="81">
        <v>1</v>
      </c>
      <c r="D95" s="82">
        <v>1</v>
      </c>
      <c r="E95" s="82">
        <v>1</v>
      </c>
      <c r="F95" s="83">
        <v>1</v>
      </c>
      <c r="G95" s="133">
        <f t="shared" si="40"/>
        <v>1</v>
      </c>
      <c r="H95" s="88">
        <v>1</v>
      </c>
      <c r="I95" s="86">
        <v>1</v>
      </c>
      <c r="J95" s="82">
        <v>1</v>
      </c>
      <c r="K95" s="89">
        <v>1</v>
      </c>
      <c r="L95" s="90">
        <f t="shared" si="41"/>
        <v>1</v>
      </c>
      <c r="M95" s="85">
        <v>1</v>
      </c>
      <c r="N95" s="86">
        <v>1</v>
      </c>
      <c r="O95" s="82">
        <v>1</v>
      </c>
      <c r="P95" s="87">
        <v>1</v>
      </c>
      <c r="Q95" s="88">
        <v>1</v>
      </c>
      <c r="R95" s="86">
        <v>1</v>
      </c>
      <c r="S95" s="82">
        <v>1</v>
      </c>
      <c r="T95" s="89">
        <v>1</v>
      </c>
      <c r="U95" s="88">
        <v>1</v>
      </c>
      <c r="V95" s="86">
        <v>1</v>
      </c>
      <c r="W95" s="82">
        <v>1</v>
      </c>
      <c r="X95" s="89">
        <v>1</v>
      </c>
      <c r="Y95" s="90">
        <f t="shared" si="42"/>
        <v>1.0000000000000002</v>
      </c>
      <c r="Z95" s="88">
        <v>0.5</v>
      </c>
      <c r="AA95" s="86">
        <v>0.5</v>
      </c>
      <c r="AB95" s="82">
        <v>0.5</v>
      </c>
      <c r="AC95" s="89">
        <v>0.5</v>
      </c>
      <c r="AD95" s="90">
        <f t="shared" si="43"/>
        <v>0.5</v>
      </c>
      <c r="AE95" s="88">
        <v>1</v>
      </c>
      <c r="AF95" s="86">
        <v>1</v>
      </c>
      <c r="AG95" s="82">
        <v>0.7</v>
      </c>
      <c r="AH95" s="87">
        <v>1</v>
      </c>
      <c r="AI95" s="84">
        <f t="shared" si="49"/>
        <v>0.89500000000000002</v>
      </c>
      <c r="AJ95" s="87">
        <v>1</v>
      </c>
      <c r="AK95" s="87">
        <v>1</v>
      </c>
      <c r="AL95" s="87"/>
      <c r="AM95" s="97">
        <v>0.55000000000000004</v>
      </c>
      <c r="AN95" s="97">
        <v>0.55000000000000004</v>
      </c>
      <c r="AO95" s="97">
        <v>0.55000000000000004</v>
      </c>
      <c r="AP95" s="97">
        <v>0.55000000000000004</v>
      </c>
      <c r="AQ95" s="84">
        <f t="shared" si="44"/>
        <v>0.55000000000000004</v>
      </c>
      <c r="AR95" s="88">
        <v>0</v>
      </c>
      <c r="AS95" s="88">
        <v>0</v>
      </c>
      <c r="AT95" s="88">
        <v>0</v>
      </c>
      <c r="AU95" s="88">
        <v>0</v>
      </c>
      <c r="AV95" s="84">
        <f t="shared" si="45"/>
        <v>0</v>
      </c>
      <c r="AW95" s="88">
        <v>0</v>
      </c>
      <c r="AX95" s="88">
        <v>0</v>
      </c>
      <c r="AY95" s="88">
        <v>0</v>
      </c>
      <c r="AZ95" s="84">
        <f t="shared" si="46"/>
        <v>0</v>
      </c>
      <c r="BA95" s="88">
        <v>0</v>
      </c>
      <c r="BB95" s="88">
        <v>0</v>
      </c>
      <c r="BC95" s="153">
        <v>0</v>
      </c>
      <c r="BD95" s="84">
        <f t="shared" si="47"/>
        <v>0</v>
      </c>
      <c r="BE95" s="135"/>
      <c r="BF95" s="92" t="e">
        <f t="shared" si="48"/>
        <v>#DIV/0!</v>
      </c>
      <c r="BG95" s="103"/>
    </row>
    <row r="96" spans="2:59" s="94" customFormat="1" ht="43.5" customHeight="1" thickBot="1" x14ac:dyDescent="0.4">
      <c r="B96" s="80">
        <v>515</v>
      </c>
      <c r="C96" s="81">
        <v>1</v>
      </c>
      <c r="D96" s="82">
        <v>1</v>
      </c>
      <c r="E96" s="82">
        <v>1</v>
      </c>
      <c r="F96" s="83">
        <v>1</v>
      </c>
      <c r="G96" s="133">
        <f t="shared" si="40"/>
        <v>1</v>
      </c>
      <c r="H96" s="88">
        <v>1</v>
      </c>
      <c r="I96" s="86">
        <v>1</v>
      </c>
      <c r="J96" s="82">
        <v>1</v>
      </c>
      <c r="K96" s="89">
        <v>1</v>
      </c>
      <c r="L96" s="90">
        <f t="shared" si="41"/>
        <v>1</v>
      </c>
      <c r="M96" s="85">
        <v>1</v>
      </c>
      <c r="N96" s="86">
        <v>1</v>
      </c>
      <c r="O96" s="82">
        <v>1</v>
      </c>
      <c r="P96" s="87">
        <v>1</v>
      </c>
      <c r="Q96" s="88">
        <v>1</v>
      </c>
      <c r="R96" s="86">
        <v>1</v>
      </c>
      <c r="S96" s="82">
        <v>1</v>
      </c>
      <c r="T96" s="89">
        <v>1</v>
      </c>
      <c r="U96" s="88">
        <v>1</v>
      </c>
      <c r="V96" s="86">
        <v>1</v>
      </c>
      <c r="W96" s="82">
        <v>1</v>
      </c>
      <c r="X96" s="89">
        <v>1</v>
      </c>
      <c r="Y96" s="90">
        <f t="shared" si="42"/>
        <v>1.0000000000000002</v>
      </c>
      <c r="Z96" s="88">
        <v>0.5</v>
      </c>
      <c r="AA96" s="86">
        <v>0.5</v>
      </c>
      <c r="AB96" s="82">
        <v>0.5</v>
      </c>
      <c r="AC96" s="89">
        <v>0.5</v>
      </c>
      <c r="AD96" s="90">
        <f t="shared" si="43"/>
        <v>0.5</v>
      </c>
      <c r="AE96" s="88">
        <v>0.7</v>
      </c>
      <c r="AF96" s="86">
        <v>0</v>
      </c>
      <c r="AG96" s="82">
        <v>0.7</v>
      </c>
      <c r="AH96" s="87">
        <v>0.7</v>
      </c>
      <c r="AI96" s="84">
        <f t="shared" si="49"/>
        <v>0.49</v>
      </c>
      <c r="AJ96" s="87">
        <v>1</v>
      </c>
      <c r="AK96" s="87">
        <v>1</v>
      </c>
      <c r="AL96" s="87"/>
      <c r="AM96" s="97">
        <v>0.55000000000000004</v>
      </c>
      <c r="AN96" s="97">
        <v>0.55000000000000004</v>
      </c>
      <c r="AO96" s="97">
        <v>0.55000000000000004</v>
      </c>
      <c r="AP96" s="97">
        <v>0.55000000000000004</v>
      </c>
      <c r="AQ96" s="84">
        <f t="shared" si="44"/>
        <v>0.55000000000000004</v>
      </c>
      <c r="AR96" s="88">
        <v>0</v>
      </c>
      <c r="AS96" s="88">
        <v>0</v>
      </c>
      <c r="AT96" s="88">
        <v>0</v>
      </c>
      <c r="AU96" s="88">
        <v>0</v>
      </c>
      <c r="AV96" s="84">
        <f t="shared" si="45"/>
        <v>0</v>
      </c>
      <c r="AW96" s="88">
        <v>0</v>
      </c>
      <c r="AX96" s="88">
        <v>0</v>
      </c>
      <c r="AY96" s="88">
        <v>0</v>
      </c>
      <c r="AZ96" s="84">
        <f t="shared" si="46"/>
        <v>0</v>
      </c>
      <c r="BA96" s="88">
        <v>0</v>
      </c>
      <c r="BB96" s="88">
        <v>0</v>
      </c>
      <c r="BC96" s="153">
        <v>0</v>
      </c>
      <c r="BD96" s="84">
        <f t="shared" si="47"/>
        <v>0</v>
      </c>
      <c r="BE96" s="135"/>
      <c r="BF96" s="92" t="e">
        <f t="shared" si="48"/>
        <v>#DIV/0!</v>
      </c>
      <c r="BG96" s="105"/>
    </row>
    <row r="97" spans="2:59" s="94" customFormat="1" ht="43.5" customHeight="1" thickBot="1" x14ac:dyDescent="0.4">
      <c r="B97" s="154">
        <v>516</v>
      </c>
      <c r="C97" s="137">
        <v>1</v>
      </c>
      <c r="D97" s="110">
        <v>1</v>
      </c>
      <c r="E97" s="110">
        <v>1</v>
      </c>
      <c r="F97" s="138">
        <v>1</v>
      </c>
      <c r="G97" s="133">
        <f t="shared" si="40"/>
        <v>1</v>
      </c>
      <c r="H97" s="108">
        <v>1</v>
      </c>
      <c r="I97" s="109">
        <v>1</v>
      </c>
      <c r="J97" s="110">
        <v>1</v>
      </c>
      <c r="K97" s="111">
        <v>1</v>
      </c>
      <c r="L97" s="90">
        <f t="shared" si="41"/>
        <v>1</v>
      </c>
      <c r="M97" s="112">
        <v>1</v>
      </c>
      <c r="N97" s="109">
        <v>1</v>
      </c>
      <c r="O97" s="110">
        <v>1</v>
      </c>
      <c r="P97" s="113">
        <v>1</v>
      </c>
      <c r="Q97" s="108">
        <v>1</v>
      </c>
      <c r="R97" s="109">
        <v>1</v>
      </c>
      <c r="S97" s="110">
        <v>1</v>
      </c>
      <c r="T97" s="111">
        <v>1</v>
      </c>
      <c r="U97" s="108">
        <v>1</v>
      </c>
      <c r="V97" s="109">
        <v>1</v>
      </c>
      <c r="W97" s="110">
        <v>1</v>
      </c>
      <c r="X97" s="111">
        <v>1</v>
      </c>
      <c r="Y97" s="90">
        <f t="shared" si="42"/>
        <v>1.0000000000000002</v>
      </c>
      <c r="Z97" s="108">
        <v>0.5</v>
      </c>
      <c r="AA97" s="109">
        <v>0.5</v>
      </c>
      <c r="AB97" s="110">
        <v>0.5</v>
      </c>
      <c r="AC97" s="111">
        <v>0.5</v>
      </c>
      <c r="AD97" s="90">
        <f t="shared" si="43"/>
        <v>0.5</v>
      </c>
      <c r="AE97" s="108">
        <v>1</v>
      </c>
      <c r="AF97" s="109">
        <v>1</v>
      </c>
      <c r="AG97" s="110">
        <v>1</v>
      </c>
      <c r="AH97" s="113">
        <v>1</v>
      </c>
      <c r="AI97" s="84">
        <f t="shared" si="49"/>
        <v>1</v>
      </c>
      <c r="AJ97" s="87">
        <v>1</v>
      </c>
      <c r="AK97" s="87">
        <v>1</v>
      </c>
      <c r="AL97" s="87"/>
      <c r="AM97" s="97">
        <v>0.55000000000000004</v>
      </c>
      <c r="AN97" s="97">
        <v>0.55000000000000004</v>
      </c>
      <c r="AO97" s="97">
        <v>0.55000000000000004</v>
      </c>
      <c r="AP97" s="97">
        <v>0.55000000000000004</v>
      </c>
      <c r="AQ97" s="84">
        <f t="shared" si="44"/>
        <v>0.55000000000000004</v>
      </c>
      <c r="AR97" s="88">
        <v>0</v>
      </c>
      <c r="AS97" s="88">
        <v>0</v>
      </c>
      <c r="AT97" s="88">
        <v>0</v>
      </c>
      <c r="AU97" s="88">
        <v>0</v>
      </c>
      <c r="AV97" s="84">
        <f t="shared" si="45"/>
        <v>0</v>
      </c>
      <c r="AW97" s="88">
        <v>0</v>
      </c>
      <c r="AX97" s="88">
        <v>0</v>
      </c>
      <c r="AY97" s="88">
        <v>0</v>
      </c>
      <c r="AZ97" s="84">
        <f t="shared" si="46"/>
        <v>0</v>
      </c>
      <c r="BA97" s="88">
        <v>0</v>
      </c>
      <c r="BB97" s="88">
        <v>0</v>
      </c>
      <c r="BC97" s="153">
        <v>0</v>
      </c>
      <c r="BD97" s="84">
        <f t="shared" si="47"/>
        <v>0</v>
      </c>
      <c r="BE97" s="150"/>
      <c r="BF97" s="151" t="e">
        <f t="shared" si="48"/>
        <v>#DIV/0!</v>
      </c>
      <c r="BG97" s="152"/>
    </row>
    <row r="98" spans="2:59" s="94" customFormat="1" ht="43.5" customHeight="1" thickBot="1" x14ac:dyDescent="0.4">
      <c r="B98" s="173" t="s">
        <v>96</v>
      </c>
      <c r="C98" s="174"/>
      <c r="D98" s="174"/>
      <c r="E98" s="174"/>
      <c r="F98" s="174"/>
      <c r="G98" s="174"/>
      <c r="H98" s="174"/>
      <c r="I98" s="174"/>
      <c r="J98" s="174"/>
      <c r="K98" s="174"/>
      <c r="L98" s="174"/>
      <c r="M98" s="174"/>
      <c r="N98" s="174"/>
      <c r="O98" s="174"/>
      <c r="P98" s="174"/>
      <c r="Q98" s="174"/>
      <c r="R98" s="174"/>
      <c r="S98" s="174"/>
      <c r="T98" s="174"/>
      <c r="U98" s="174"/>
      <c r="V98" s="174"/>
      <c r="W98" s="174"/>
      <c r="X98" s="174"/>
      <c r="Y98" s="174"/>
      <c r="Z98" s="174"/>
      <c r="AA98" s="174"/>
      <c r="AB98" s="174"/>
      <c r="AC98" s="174"/>
      <c r="AD98" s="174"/>
      <c r="AE98" s="174"/>
      <c r="AF98" s="174"/>
      <c r="AG98" s="174"/>
      <c r="AH98" s="174"/>
      <c r="AI98" s="174"/>
      <c r="AJ98" s="174"/>
      <c r="AK98" s="174"/>
      <c r="AL98" s="174"/>
      <c r="AM98" s="174"/>
      <c r="AN98" s="174"/>
      <c r="AO98" s="174"/>
      <c r="AP98" s="174"/>
      <c r="AQ98" s="174"/>
      <c r="AR98" s="174"/>
      <c r="AS98" s="174"/>
      <c r="AT98" s="174"/>
      <c r="AU98" s="174"/>
      <c r="AV98" s="174"/>
      <c r="AW98" s="174"/>
      <c r="AX98" s="174"/>
      <c r="AY98" s="174"/>
      <c r="AZ98" s="174"/>
      <c r="BA98" s="174"/>
      <c r="BB98" s="174"/>
      <c r="BC98" s="174"/>
      <c r="BD98" s="174"/>
      <c r="BE98" s="174"/>
      <c r="BF98" s="174"/>
      <c r="BG98" s="176"/>
    </row>
    <row r="99" spans="2:59" s="94" customFormat="1" ht="43.5" customHeight="1" thickBot="1" x14ac:dyDescent="0.4">
      <c r="B99" s="80">
        <v>601</v>
      </c>
      <c r="C99" s="81">
        <v>1</v>
      </c>
      <c r="D99" s="82">
        <v>1</v>
      </c>
      <c r="E99" s="82">
        <v>1</v>
      </c>
      <c r="F99" s="83">
        <v>1</v>
      </c>
      <c r="G99" s="133">
        <f t="shared" ref="G99:G114" si="50" xml:space="preserve"> C99*45% + D99*45% + E99*5% + F99*5%</f>
        <v>1</v>
      </c>
      <c r="H99" s="88">
        <v>1</v>
      </c>
      <c r="I99" s="86">
        <v>1</v>
      </c>
      <c r="J99" s="82">
        <v>1</v>
      </c>
      <c r="K99" s="89">
        <v>1</v>
      </c>
      <c r="L99" s="90">
        <f t="shared" ref="L99:L114" si="51" xml:space="preserve"> H99*30% + I99*30% + J99*10% + K99*30%</f>
        <v>1</v>
      </c>
      <c r="M99" s="85">
        <v>1</v>
      </c>
      <c r="N99" s="86">
        <v>1</v>
      </c>
      <c r="O99" s="82">
        <v>1</v>
      </c>
      <c r="P99" s="87">
        <v>1</v>
      </c>
      <c r="Q99" s="88">
        <v>1</v>
      </c>
      <c r="R99" s="86">
        <v>1</v>
      </c>
      <c r="S99" s="82">
        <v>1</v>
      </c>
      <c r="T99" s="89">
        <v>1</v>
      </c>
      <c r="U99" s="88">
        <v>1</v>
      </c>
      <c r="V99" s="86">
        <v>1</v>
      </c>
      <c r="W99" s="82">
        <v>1</v>
      </c>
      <c r="X99" s="89">
        <v>1</v>
      </c>
      <c r="Y99" s="90">
        <f t="shared" ref="Y99:Y114" si="52" xml:space="preserve"> (U99*10% + V99*10% + W99*10% + X99*10%+ Q99*5% + R99*5% + S99*5% + T99*5%+M99*10% + N99*15% + O99*5% + P99*10%)</f>
        <v>1.0000000000000002</v>
      </c>
      <c r="Z99" s="88">
        <v>0.5</v>
      </c>
      <c r="AA99" s="86">
        <v>0.5</v>
      </c>
      <c r="AB99" s="134">
        <v>0.5</v>
      </c>
      <c r="AC99" s="89">
        <v>0.5</v>
      </c>
      <c r="AD99" s="96">
        <f t="shared" ref="AD99:AD114" si="53" xml:space="preserve"> Z99*45% + AA99*45% + AB99*5% + AC99*5%</f>
        <v>0.5</v>
      </c>
      <c r="AE99" s="88">
        <v>0.9</v>
      </c>
      <c r="AF99" s="86">
        <v>0</v>
      </c>
      <c r="AG99" s="82">
        <v>0.7</v>
      </c>
      <c r="AH99" s="87">
        <v>0</v>
      </c>
      <c r="AI99" s="84">
        <f xml:space="preserve"> AE99*5% + AF99*30% + AG99*35% + AH99*30%</f>
        <v>0.28999999999999998</v>
      </c>
      <c r="AJ99" s="87">
        <v>1</v>
      </c>
      <c r="AK99" s="87">
        <v>1</v>
      </c>
      <c r="AL99" s="87"/>
      <c r="AM99" s="97">
        <v>0.55000000000000004</v>
      </c>
      <c r="AN99" s="97">
        <v>0.55000000000000004</v>
      </c>
      <c r="AO99" s="97">
        <v>0.55000000000000004</v>
      </c>
      <c r="AP99" s="97">
        <v>0.55000000000000004</v>
      </c>
      <c r="AQ99" s="84">
        <f t="shared" ref="AQ99:AQ114" si="54" xml:space="preserve"> AM99*15% + AN99*35% + AO99*15% + AP99*35%</f>
        <v>0.55000000000000004</v>
      </c>
      <c r="AR99" s="88">
        <v>0</v>
      </c>
      <c r="AS99" s="88">
        <v>0</v>
      </c>
      <c r="AT99" s="88">
        <v>0</v>
      </c>
      <c r="AU99" s="88">
        <v>0</v>
      </c>
      <c r="AV99" s="84">
        <f t="shared" ref="AV99:AV114" si="55" xml:space="preserve"> AR99*30% + AS99*30% + AT99*15% + AU99*25%</f>
        <v>0</v>
      </c>
      <c r="AW99" s="88">
        <v>0</v>
      </c>
      <c r="AX99" s="88">
        <v>0</v>
      </c>
      <c r="AY99" s="88">
        <v>0</v>
      </c>
      <c r="AZ99" s="84">
        <f t="shared" ref="AZ99:AZ114" si="56" xml:space="preserve">  AW99*30% + AX99*45% + AY99*25%</f>
        <v>0</v>
      </c>
      <c r="BA99" s="88">
        <v>0</v>
      </c>
      <c r="BB99" s="88">
        <v>0</v>
      </c>
      <c r="BC99" s="153">
        <v>0</v>
      </c>
      <c r="BD99" s="84">
        <f t="shared" ref="BD99:BD114" si="57" xml:space="preserve">  BA99*30% + BB99*45% + BC99*25%</f>
        <v>0</v>
      </c>
      <c r="BE99" s="135"/>
      <c r="BF99" s="92" t="e">
        <f t="shared" ref="BF99:BF114" si="58">(
(COUNTIF(B99:E99,"✓")/(COUNTIF(B99:E99,"✓")+COUNTIF(B99:E99,"x")))*0.2 +
(COUNTIF(F99:J99,"✓")/(COUNTIF(F99:J99,"✓")+COUNTIF(F99:J99,"x")))*0.1 +
(COUNTIF(K99:O99,"✓")/(COUNTIF(K99:O99,"✓")+COUNTIF(K99:O99,"x")))*0.1 +
(COUNTIF(P99:S99,"✓")/(COUNTIF(P99:S99,"✓")+COUNTIF(P99:S99,"x")))*0.1 +
(COUNTIF(T99:W99,"✓")/(COUNTIF(T99:W99,"✓")+COUNTIF(T99:W99,"x")))*0.1 +
(COUNTIF(X99:AB99,"✓")/(COUNTIF(X99:AB99,"✓")+COUNTIF(X99:AB99,"x")))*0.1 +
(COUNTIF(AC99:AO99,"✓")/(COUNTIF(AC99:AO99,"✓")+COUNTIF(AC99:AO99,"x")))*0.1 +
(COUNTIF(AP99:AT99,"✓")/(COUNTIF(AP99:AT99,"✓")+COUNTIF(AP99:AT99,"x")))*0.05 +
(COUNTIF(AU99:BB99,"✓")/(COUNTIF(AU99:BB99,"✓")+COUNTIF(AU99:BB99,"x")))*0.1 +
(COUNTIF(BC99:BC99,"✓")/(COUNTIF(BC99:BC99,"✓")+COUNTIF(BC99:BC99,"x")))*0.05
)</f>
        <v>#DIV/0!</v>
      </c>
      <c r="BG99" s="204"/>
    </row>
    <row r="100" spans="2:59" s="101" customFormat="1" ht="43.5" customHeight="1" thickBot="1" x14ac:dyDescent="0.4">
      <c r="B100" s="95">
        <v>602</v>
      </c>
      <c r="C100" s="81">
        <v>1</v>
      </c>
      <c r="D100" s="82">
        <v>1</v>
      </c>
      <c r="E100" s="82">
        <v>1</v>
      </c>
      <c r="F100" s="83">
        <v>1</v>
      </c>
      <c r="G100" s="133">
        <f t="shared" si="50"/>
        <v>1</v>
      </c>
      <c r="H100" s="88">
        <v>1</v>
      </c>
      <c r="I100" s="86">
        <v>1</v>
      </c>
      <c r="J100" s="82">
        <v>1</v>
      </c>
      <c r="K100" s="89">
        <v>1</v>
      </c>
      <c r="L100" s="90">
        <f t="shared" si="51"/>
        <v>1</v>
      </c>
      <c r="M100" s="85">
        <v>1</v>
      </c>
      <c r="N100" s="86">
        <v>1</v>
      </c>
      <c r="O100" s="82">
        <v>1</v>
      </c>
      <c r="P100" s="87">
        <v>1</v>
      </c>
      <c r="Q100" s="88">
        <v>1</v>
      </c>
      <c r="R100" s="86">
        <v>1</v>
      </c>
      <c r="S100" s="82">
        <v>1</v>
      </c>
      <c r="T100" s="89">
        <v>1</v>
      </c>
      <c r="U100" s="88">
        <v>1</v>
      </c>
      <c r="V100" s="86">
        <v>1</v>
      </c>
      <c r="W100" s="82">
        <v>1</v>
      </c>
      <c r="X100" s="89">
        <v>1</v>
      </c>
      <c r="Y100" s="90">
        <f t="shared" si="52"/>
        <v>1.0000000000000002</v>
      </c>
      <c r="Z100" s="88">
        <v>0.5</v>
      </c>
      <c r="AA100" s="86">
        <v>0.5</v>
      </c>
      <c r="AB100" s="82">
        <v>0.5</v>
      </c>
      <c r="AC100" s="89">
        <v>0.5</v>
      </c>
      <c r="AD100" s="90">
        <f t="shared" si="53"/>
        <v>0.5</v>
      </c>
      <c r="AE100" s="88">
        <v>0.7</v>
      </c>
      <c r="AF100" s="86">
        <v>0.7</v>
      </c>
      <c r="AG100" s="82">
        <v>0.7</v>
      </c>
      <c r="AH100" s="87">
        <v>0.7</v>
      </c>
      <c r="AI100" s="84">
        <f t="shared" ref="AI100:AI114" si="59" xml:space="preserve"> AE100*5% + AF100*30% + AG100*35% + AH100*30%</f>
        <v>0.7</v>
      </c>
      <c r="AJ100" s="87">
        <v>0</v>
      </c>
      <c r="AK100" s="87">
        <v>1</v>
      </c>
      <c r="AL100" s="87"/>
      <c r="AM100" s="97">
        <v>0.55000000000000004</v>
      </c>
      <c r="AN100" s="97">
        <v>0.55000000000000004</v>
      </c>
      <c r="AO100" s="97">
        <v>0.55000000000000004</v>
      </c>
      <c r="AP100" s="97">
        <v>0.55000000000000004</v>
      </c>
      <c r="AQ100" s="84">
        <f t="shared" si="54"/>
        <v>0.55000000000000004</v>
      </c>
      <c r="AR100" s="88">
        <v>0</v>
      </c>
      <c r="AS100" s="88">
        <v>0</v>
      </c>
      <c r="AT100" s="88">
        <v>0</v>
      </c>
      <c r="AU100" s="88">
        <v>0</v>
      </c>
      <c r="AV100" s="84">
        <f t="shared" si="55"/>
        <v>0</v>
      </c>
      <c r="AW100" s="88">
        <v>0</v>
      </c>
      <c r="AX100" s="88">
        <v>0</v>
      </c>
      <c r="AY100" s="88">
        <v>0</v>
      </c>
      <c r="AZ100" s="84">
        <f t="shared" si="56"/>
        <v>0</v>
      </c>
      <c r="BA100" s="88">
        <v>0</v>
      </c>
      <c r="BB100" s="88">
        <v>0</v>
      </c>
      <c r="BC100" s="153">
        <v>0</v>
      </c>
      <c r="BD100" s="84">
        <f t="shared" si="57"/>
        <v>0</v>
      </c>
      <c r="BE100" s="135"/>
      <c r="BF100" s="92" t="e">
        <f t="shared" si="58"/>
        <v>#DIV/0!</v>
      </c>
      <c r="BG100" s="205"/>
    </row>
    <row r="101" spans="2:59" s="94" customFormat="1" ht="43.5" customHeight="1" thickBot="1" x14ac:dyDescent="0.4">
      <c r="B101" s="80">
        <v>603</v>
      </c>
      <c r="C101" s="81">
        <v>1</v>
      </c>
      <c r="D101" s="82">
        <v>1</v>
      </c>
      <c r="E101" s="82">
        <v>1</v>
      </c>
      <c r="F101" s="83">
        <v>1</v>
      </c>
      <c r="G101" s="133">
        <f t="shared" si="50"/>
        <v>1</v>
      </c>
      <c r="H101" s="88">
        <v>0</v>
      </c>
      <c r="I101" s="86">
        <v>1</v>
      </c>
      <c r="J101" s="82">
        <v>1</v>
      </c>
      <c r="K101" s="89">
        <v>0</v>
      </c>
      <c r="L101" s="90">
        <f t="shared" si="51"/>
        <v>0.4</v>
      </c>
      <c r="M101" s="85">
        <v>1</v>
      </c>
      <c r="N101" s="86">
        <v>1</v>
      </c>
      <c r="O101" s="82">
        <v>1</v>
      </c>
      <c r="P101" s="87">
        <v>1</v>
      </c>
      <c r="Q101" s="88">
        <v>1</v>
      </c>
      <c r="R101" s="86">
        <v>1</v>
      </c>
      <c r="S101" s="82">
        <v>1</v>
      </c>
      <c r="T101" s="89">
        <v>1</v>
      </c>
      <c r="U101" s="88">
        <v>1</v>
      </c>
      <c r="V101" s="86">
        <v>1</v>
      </c>
      <c r="W101" s="82">
        <v>1</v>
      </c>
      <c r="X101" s="89">
        <v>1</v>
      </c>
      <c r="Y101" s="90">
        <f t="shared" si="52"/>
        <v>1.0000000000000002</v>
      </c>
      <c r="Z101" s="88">
        <v>0.5</v>
      </c>
      <c r="AA101" s="86">
        <v>0.5</v>
      </c>
      <c r="AB101" s="82">
        <v>0.5</v>
      </c>
      <c r="AC101" s="89">
        <v>0.5</v>
      </c>
      <c r="AD101" s="90">
        <f t="shared" si="53"/>
        <v>0.5</v>
      </c>
      <c r="AE101" s="88">
        <v>1</v>
      </c>
      <c r="AF101" s="86">
        <v>0.7</v>
      </c>
      <c r="AG101" s="82">
        <v>0.7</v>
      </c>
      <c r="AH101" s="87">
        <v>0.7</v>
      </c>
      <c r="AI101" s="84">
        <f t="shared" si="59"/>
        <v>0.71499999999999997</v>
      </c>
      <c r="AJ101" s="87">
        <v>1</v>
      </c>
      <c r="AK101" s="87">
        <v>1</v>
      </c>
      <c r="AL101" s="87"/>
      <c r="AM101" s="97">
        <v>0.55000000000000004</v>
      </c>
      <c r="AN101" s="97">
        <v>0.55000000000000004</v>
      </c>
      <c r="AO101" s="97">
        <v>0.55000000000000004</v>
      </c>
      <c r="AP101" s="97">
        <v>0.55000000000000004</v>
      </c>
      <c r="AQ101" s="84">
        <f t="shared" si="54"/>
        <v>0.55000000000000004</v>
      </c>
      <c r="AR101" s="88">
        <v>0</v>
      </c>
      <c r="AS101" s="88">
        <v>0</v>
      </c>
      <c r="AT101" s="88">
        <v>0</v>
      </c>
      <c r="AU101" s="88">
        <v>0</v>
      </c>
      <c r="AV101" s="84">
        <f t="shared" si="55"/>
        <v>0</v>
      </c>
      <c r="AW101" s="88">
        <v>0</v>
      </c>
      <c r="AX101" s="88">
        <v>0</v>
      </c>
      <c r="AY101" s="88">
        <v>0</v>
      </c>
      <c r="AZ101" s="84">
        <f t="shared" si="56"/>
        <v>0</v>
      </c>
      <c r="BA101" s="88">
        <v>0</v>
      </c>
      <c r="BB101" s="88">
        <v>0</v>
      </c>
      <c r="BC101" s="153">
        <v>0</v>
      </c>
      <c r="BD101" s="84">
        <f t="shared" si="57"/>
        <v>0</v>
      </c>
      <c r="BE101" s="135"/>
      <c r="BF101" s="92" t="e">
        <f t="shared" si="58"/>
        <v>#DIV/0!</v>
      </c>
      <c r="BG101" s="103"/>
    </row>
    <row r="102" spans="2:59" s="94" customFormat="1" ht="43.5" customHeight="1" thickBot="1" x14ac:dyDescent="0.4">
      <c r="B102" s="80">
        <v>604</v>
      </c>
      <c r="C102" s="81">
        <v>1</v>
      </c>
      <c r="D102" s="82">
        <v>1</v>
      </c>
      <c r="E102" s="82">
        <v>1</v>
      </c>
      <c r="F102" s="83">
        <v>1</v>
      </c>
      <c r="G102" s="133">
        <f t="shared" si="50"/>
        <v>1</v>
      </c>
      <c r="H102" s="88">
        <v>0.9</v>
      </c>
      <c r="I102" s="86">
        <v>0.9</v>
      </c>
      <c r="J102" s="82">
        <v>1</v>
      </c>
      <c r="K102" s="89">
        <v>0.9</v>
      </c>
      <c r="L102" s="90">
        <f t="shared" si="51"/>
        <v>0.91</v>
      </c>
      <c r="M102" s="85">
        <v>1</v>
      </c>
      <c r="N102" s="86">
        <v>1</v>
      </c>
      <c r="O102" s="82">
        <v>1</v>
      </c>
      <c r="P102" s="87">
        <v>1</v>
      </c>
      <c r="Q102" s="88">
        <v>1</v>
      </c>
      <c r="R102" s="86">
        <v>1</v>
      </c>
      <c r="S102" s="82">
        <v>1</v>
      </c>
      <c r="T102" s="89">
        <v>1</v>
      </c>
      <c r="U102" s="88">
        <v>1</v>
      </c>
      <c r="V102" s="86">
        <v>1</v>
      </c>
      <c r="W102" s="82">
        <v>1</v>
      </c>
      <c r="X102" s="89">
        <v>1</v>
      </c>
      <c r="Y102" s="90">
        <f t="shared" si="52"/>
        <v>1.0000000000000002</v>
      </c>
      <c r="Z102" s="88">
        <v>0.5</v>
      </c>
      <c r="AA102" s="86">
        <v>0.5</v>
      </c>
      <c r="AB102" s="82">
        <v>0.5</v>
      </c>
      <c r="AC102" s="89">
        <v>0.5</v>
      </c>
      <c r="AD102" s="90">
        <f t="shared" si="53"/>
        <v>0.5</v>
      </c>
      <c r="AE102" s="88">
        <v>0.7</v>
      </c>
      <c r="AF102" s="86">
        <v>1</v>
      </c>
      <c r="AG102" s="82">
        <v>1</v>
      </c>
      <c r="AH102" s="87">
        <v>0</v>
      </c>
      <c r="AI102" s="84">
        <f t="shared" si="59"/>
        <v>0.68499999999999994</v>
      </c>
      <c r="AJ102" s="87">
        <v>1</v>
      </c>
      <c r="AK102" s="87">
        <v>0</v>
      </c>
      <c r="AL102" s="87"/>
      <c r="AM102" s="97">
        <v>0.55000000000000004</v>
      </c>
      <c r="AN102" s="97">
        <v>0.55000000000000004</v>
      </c>
      <c r="AO102" s="97">
        <v>0.55000000000000004</v>
      </c>
      <c r="AP102" s="97">
        <v>0.55000000000000004</v>
      </c>
      <c r="AQ102" s="84">
        <f t="shared" si="54"/>
        <v>0.55000000000000004</v>
      </c>
      <c r="AR102" s="88">
        <v>0</v>
      </c>
      <c r="AS102" s="88">
        <v>0</v>
      </c>
      <c r="AT102" s="88">
        <v>0</v>
      </c>
      <c r="AU102" s="88">
        <v>0</v>
      </c>
      <c r="AV102" s="84">
        <f t="shared" si="55"/>
        <v>0</v>
      </c>
      <c r="AW102" s="88">
        <v>0</v>
      </c>
      <c r="AX102" s="88">
        <v>0</v>
      </c>
      <c r="AY102" s="88">
        <v>0</v>
      </c>
      <c r="AZ102" s="84">
        <f t="shared" si="56"/>
        <v>0</v>
      </c>
      <c r="BA102" s="88">
        <v>0</v>
      </c>
      <c r="BB102" s="88">
        <v>0</v>
      </c>
      <c r="BC102" s="153">
        <v>0</v>
      </c>
      <c r="BD102" s="84">
        <f t="shared" si="57"/>
        <v>0</v>
      </c>
      <c r="BE102" s="135"/>
      <c r="BF102" s="92" t="e">
        <f t="shared" si="58"/>
        <v>#DIV/0!</v>
      </c>
      <c r="BG102" s="102"/>
    </row>
    <row r="103" spans="2:59" s="94" customFormat="1" ht="43.5" customHeight="1" thickBot="1" x14ac:dyDescent="0.4">
      <c r="B103" s="95">
        <v>605</v>
      </c>
      <c r="C103" s="81">
        <v>1</v>
      </c>
      <c r="D103" s="82">
        <v>1</v>
      </c>
      <c r="E103" s="82">
        <v>1</v>
      </c>
      <c r="F103" s="83">
        <v>1</v>
      </c>
      <c r="G103" s="133">
        <f t="shared" si="50"/>
        <v>1</v>
      </c>
      <c r="H103" s="88">
        <v>1</v>
      </c>
      <c r="I103" s="86">
        <v>1</v>
      </c>
      <c r="J103" s="82">
        <v>1</v>
      </c>
      <c r="K103" s="89">
        <v>1</v>
      </c>
      <c r="L103" s="90">
        <f t="shared" si="51"/>
        <v>1</v>
      </c>
      <c r="M103" s="85">
        <v>1</v>
      </c>
      <c r="N103" s="86">
        <v>1</v>
      </c>
      <c r="O103" s="82">
        <v>1</v>
      </c>
      <c r="P103" s="87">
        <v>1</v>
      </c>
      <c r="Q103" s="88">
        <v>1</v>
      </c>
      <c r="R103" s="86">
        <v>1</v>
      </c>
      <c r="S103" s="82">
        <v>1</v>
      </c>
      <c r="T103" s="89">
        <v>1</v>
      </c>
      <c r="U103" s="88">
        <v>1</v>
      </c>
      <c r="V103" s="86">
        <v>1</v>
      </c>
      <c r="W103" s="82">
        <v>1</v>
      </c>
      <c r="X103" s="89">
        <v>1</v>
      </c>
      <c r="Y103" s="90">
        <f t="shared" si="52"/>
        <v>1.0000000000000002</v>
      </c>
      <c r="Z103" s="88">
        <v>0.5</v>
      </c>
      <c r="AA103" s="86">
        <v>0.5</v>
      </c>
      <c r="AB103" s="82">
        <v>0.5</v>
      </c>
      <c r="AC103" s="89">
        <v>0.5</v>
      </c>
      <c r="AD103" s="90">
        <f t="shared" si="53"/>
        <v>0.5</v>
      </c>
      <c r="AE103" s="88">
        <v>1</v>
      </c>
      <c r="AF103" s="86">
        <v>0.7</v>
      </c>
      <c r="AG103" s="82">
        <v>0.7</v>
      </c>
      <c r="AH103" s="87">
        <v>0.7</v>
      </c>
      <c r="AI103" s="84">
        <f t="shared" si="59"/>
        <v>0.71499999999999997</v>
      </c>
      <c r="AJ103" s="87">
        <v>1</v>
      </c>
      <c r="AK103" s="87">
        <v>1</v>
      </c>
      <c r="AL103" s="87"/>
      <c r="AM103" s="97">
        <v>0.55000000000000004</v>
      </c>
      <c r="AN103" s="97">
        <v>0.55000000000000004</v>
      </c>
      <c r="AO103" s="97">
        <v>0.55000000000000004</v>
      </c>
      <c r="AP103" s="97">
        <v>0.55000000000000004</v>
      </c>
      <c r="AQ103" s="84">
        <f t="shared" si="54"/>
        <v>0.55000000000000004</v>
      </c>
      <c r="AR103" s="88">
        <v>0</v>
      </c>
      <c r="AS103" s="88">
        <v>0</v>
      </c>
      <c r="AT103" s="88">
        <v>0</v>
      </c>
      <c r="AU103" s="88">
        <v>0</v>
      </c>
      <c r="AV103" s="84">
        <f t="shared" si="55"/>
        <v>0</v>
      </c>
      <c r="AW103" s="88">
        <v>0</v>
      </c>
      <c r="AX103" s="88">
        <v>0</v>
      </c>
      <c r="AY103" s="88">
        <v>0</v>
      </c>
      <c r="AZ103" s="84">
        <f t="shared" si="56"/>
        <v>0</v>
      </c>
      <c r="BA103" s="88">
        <v>0</v>
      </c>
      <c r="BB103" s="88">
        <v>0</v>
      </c>
      <c r="BC103" s="153">
        <v>0</v>
      </c>
      <c r="BD103" s="84">
        <f t="shared" si="57"/>
        <v>0</v>
      </c>
      <c r="BE103" s="135"/>
      <c r="BF103" s="92" t="e">
        <f t="shared" si="58"/>
        <v>#DIV/0!</v>
      </c>
      <c r="BG103" s="103"/>
    </row>
    <row r="104" spans="2:59" s="94" customFormat="1" ht="43.5" customHeight="1" thickBot="1" x14ac:dyDescent="0.4">
      <c r="B104" s="80">
        <v>606</v>
      </c>
      <c r="C104" s="81">
        <v>1</v>
      </c>
      <c r="D104" s="82">
        <v>1</v>
      </c>
      <c r="E104" s="82">
        <v>1</v>
      </c>
      <c r="F104" s="83">
        <v>1</v>
      </c>
      <c r="G104" s="133">
        <f t="shared" si="50"/>
        <v>1</v>
      </c>
      <c r="H104" s="88">
        <v>0.9</v>
      </c>
      <c r="I104" s="86">
        <v>0.9</v>
      </c>
      <c r="J104" s="82">
        <v>1</v>
      </c>
      <c r="K104" s="89">
        <v>0.9</v>
      </c>
      <c r="L104" s="90">
        <f t="shared" si="51"/>
        <v>0.91</v>
      </c>
      <c r="M104" s="85">
        <v>1</v>
      </c>
      <c r="N104" s="86">
        <v>1</v>
      </c>
      <c r="O104" s="82">
        <v>1</v>
      </c>
      <c r="P104" s="87">
        <v>1</v>
      </c>
      <c r="Q104" s="88">
        <v>1</v>
      </c>
      <c r="R104" s="86">
        <v>1</v>
      </c>
      <c r="S104" s="82">
        <v>1</v>
      </c>
      <c r="T104" s="89">
        <v>1</v>
      </c>
      <c r="U104" s="88">
        <v>1</v>
      </c>
      <c r="V104" s="86">
        <v>1</v>
      </c>
      <c r="W104" s="82">
        <v>1</v>
      </c>
      <c r="X104" s="89">
        <v>1</v>
      </c>
      <c r="Y104" s="90">
        <f t="shared" si="52"/>
        <v>1.0000000000000002</v>
      </c>
      <c r="Z104" s="88">
        <v>0.5</v>
      </c>
      <c r="AA104" s="86">
        <v>0.5</v>
      </c>
      <c r="AB104" s="82">
        <v>0.5</v>
      </c>
      <c r="AC104" s="89">
        <v>0.5</v>
      </c>
      <c r="AD104" s="90">
        <f t="shared" si="53"/>
        <v>0.5</v>
      </c>
      <c r="AE104" s="88">
        <v>0.7</v>
      </c>
      <c r="AF104" s="86">
        <v>0</v>
      </c>
      <c r="AG104" s="82">
        <v>1</v>
      </c>
      <c r="AH104" s="87">
        <v>1</v>
      </c>
      <c r="AI104" s="84">
        <f t="shared" si="59"/>
        <v>0.68499999999999994</v>
      </c>
      <c r="AJ104" s="87">
        <v>1</v>
      </c>
      <c r="AK104" s="87">
        <v>0</v>
      </c>
      <c r="AL104" s="87"/>
      <c r="AM104" s="97">
        <v>0.55000000000000004</v>
      </c>
      <c r="AN104" s="97">
        <v>0.55000000000000004</v>
      </c>
      <c r="AO104" s="97">
        <v>0.55000000000000004</v>
      </c>
      <c r="AP104" s="97">
        <v>0.55000000000000004</v>
      </c>
      <c r="AQ104" s="84">
        <f t="shared" si="54"/>
        <v>0.55000000000000004</v>
      </c>
      <c r="AR104" s="88">
        <v>0</v>
      </c>
      <c r="AS104" s="88">
        <v>0</v>
      </c>
      <c r="AT104" s="88">
        <v>0</v>
      </c>
      <c r="AU104" s="88">
        <v>0</v>
      </c>
      <c r="AV104" s="84">
        <f t="shared" si="55"/>
        <v>0</v>
      </c>
      <c r="AW104" s="88">
        <v>0</v>
      </c>
      <c r="AX104" s="88">
        <v>0</v>
      </c>
      <c r="AY104" s="88">
        <v>0</v>
      </c>
      <c r="AZ104" s="84">
        <f t="shared" si="56"/>
        <v>0</v>
      </c>
      <c r="BA104" s="88">
        <v>0</v>
      </c>
      <c r="BB104" s="88">
        <v>0</v>
      </c>
      <c r="BC104" s="153">
        <v>0</v>
      </c>
      <c r="BD104" s="84">
        <f t="shared" si="57"/>
        <v>0</v>
      </c>
      <c r="BE104" s="135"/>
      <c r="BF104" s="92" t="e">
        <f t="shared" si="58"/>
        <v>#DIV/0!</v>
      </c>
      <c r="BG104" s="104"/>
    </row>
    <row r="105" spans="2:59" s="94" customFormat="1" ht="43.5" customHeight="1" thickBot="1" x14ac:dyDescent="0.4">
      <c r="B105" s="80">
        <v>607</v>
      </c>
      <c r="C105" s="81">
        <v>1</v>
      </c>
      <c r="D105" s="82">
        <v>1</v>
      </c>
      <c r="E105" s="82">
        <v>1</v>
      </c>
      <c r="F105" s="83">
        <v>1</v>
      </c>
      <c r="G105" s="133">
        <f t="shared" si="50"/>
        <v>1</v>
      </c>
      <c r="H105" s="88">
        <v>1</v>
      </c>
      <c r="I105" s="86">
        <v>1</v>
      </c>
      <c r="J105" s="82">
        <v>1</v>
      </c>
      <c r="K105" s="89">
        <v>1</v>
      </c>
      <c r="L105" s="90">
        <f t="shared" si="51"/>
        <v>1</v>
      </c>
      <c r="M105" s="85">
        <v>1</v>
      </c>
      <c r="N105" s="86">
        <v>1</v>
      </c>
      <c r="O105" s="82">
        <v>1</v>
      </c>
      <c r="P105" s="87">
        <v>1</v>
      </c>
      <c r="Q105" s="88">
        <v>1</v>
      </c>
      <c r="R105" s="86">
        <v>1</v>
      </c>
      <c r="S105" s="82">
        <v>1</v>
      </c>
      <c r="T105" s="89">
        <v>1</v>
      </c>
      <c r="U105" s="88">
        <v>1</v>
      </c>
      <c r="V105" s="86">
        <v>1</v>
      </c>
      <c r="W105" s="82">
        <v>1</v>
      </c>
      <c r="X105" s="89">
        <v>1</v>
      </c>
      <c r="Y105" s="90">
        <f t="shared" si="52"/>
        <v>1.0000000000000002</v>
      </c>
      <c r="Z105" s="88">
        <v>0.5</v>
      </c>
      <c r="AA105" s="86">
        <v>0.5</v>
      </c>
      <c r="AB105" s="82">
        <v>0.5</v>
      </c>
      <c r="AC105" s="89">
        <v>0.5</v>
      </c>
      <c r="AD105" s="90">
        <f t="shared" si="53"/>
        <v>0.5</v>
      </c>
      <c r="AE105" s="88">
        <v>1</v>
      </c>
      <c r="AF105" s="86">
        <v>0.7</v>
      </c>
      <c r="AG105" s="82">
        <v>0.7</v>
      </c>
      <c r="AH105" s="87">
        <v>0.7</v>
      </c>
      <c r="AI105" s="84">
        <f t="shared" si="59"/>
        <v>0.71499999999999997</v>
      </c>
      <c r="AJ105" s="87">
        <v>1</v>
      </c>
      <c r="AK105" s="87">
        <v>1</v>
      </c>
      <c r="AL105" s="87"/>
      <c r="AM105" s="97">
        <v>0.55000000000000004</v>
      </c>
      <c r="AN105" s="97">
        <v>0.55000000000000004</v>
      </c>
      <c r="AO105" s="97">
        <v>0.55000000000000004</v>
      </c>
      <c r="AP105" s="97">
        <v>0.55000000000000004</v>
      </c>
      <c r="AQ105" s="84">
        <f t="shared" si="54"/>
        <v>0.55000000000000004</v>
      </c>
      <c r="AR105" s="88">
        <v>0</v>
      </c>
      <c r="AS105" s="88">
        <v>0</v>
      </c>
      <c r="AT105" s="88">
        <v>0</v>
      </c>
      <c r="AU105" s="88">
        <v>0</v>
      </c>
      <c r="AV105" s="84">
        <f t="shared" si="55"/>
        <v>0</v>
      </c>
      <c r="AW105" s="88">
        <v>0</v>
      </c>
      <c r="AX105" s="88">
        <v>0</v>
      </c>
      <c r="AY105" s="88">
        <v>0</v>
      </c>
      <c r="AZ105" s="84">
        <f t="shared" si="56"/>
        <v>0</v>
      </c>
      <c r="BA105" s="88">
        <v>0</v>
      </c>
      <c r="BB105" s="88">
        <v>0</v>
      </c>
      <c r="BC105" s="153">
        <v>0</v>
      </c>
      <c r="BD105" s="84">
        <f t="shared" si="57"/>
        <v>0</v>
      </c>
      <c r="BE105" s="135"/>
      <c r="BF105" s="92" t="e">
        <f t="shared" si="58"/>
        <v>#DIV/0!</v>
      </c>
      <c r="BG105" s="103"/>
    </row>
    <row r="106" spans="2:59" s="94" customFormat="1" ht="43.5" customHeight="1" thickBot="1" x14ac:dyDescent="0.4">
      <c r="B106" s="95">
        <v>608</v>
      </c>
      <c r="C106" s="81">
        <v>1</v>
      </c>
      <c r="D106" s="82">
        <v>1</v>
      </c>
      <c r="E106" s="82">
        <v>1</v>
      </c>
      <c r="F106" s="83">
        <v>1</v>
      </c>
      <c r="G106" s="133">
        <f t="shared" si="50"/>
        <v>1</v>
      </c>
      <c r="H106" s="88">
        <v>0.9</v>
      </c>
      <c r="I106" s="86">
        <v>0.9</v>
      </c>
      <c r="J106" s="82">
        <v>0.9</v>
      </c>
      <c r="K106" s="89">
        <v>0.9</v>
      </c>
      <c r="L106" s="90">
        <f t="shared" si="51"/>
        <v>0.9</v>
      </c>
      <c r="M106" s="85">
        <v>1</v>
      </c>
      <c r="N106" s="86">
        <v>1</v>
      </c>
      <c r="O106" s="82">
        <v>1</v>
      </c>
      <c r="P106" s="87">
        <v>1</v>
      </c>
      <c r="Q106" s="88">
        <v>1</v>
      </c>
      <c r="R106" s="86">
        <v>1</v>
      </c>
      <c r="S106" s="82">
        <v>1</v>
      </c>
      <c r="T106" s="89">
        <v>1</v>
      </c>
      <c r="U106" s="88">
        <v>1</v>
      </c>
      <c r="V106" s="86">
        <v>1</v>
      </c>
      <c r="W106" s="82">
        <v>1</v>
      </c>
      <c r="X106" s="89">
        <v>1</v>
      </c>
      <c r="Y106" s="90">
        <f t="shared" si="52"/>
        <v>1.0000000000000002</v>
      </c>
      <c r="Z106" s="88">
        <v>0.5</v>
      </c>
      <c r="AA106" s="86">
        <v>0.5</v>
      </c>
      <c r="AB106" s="82">
        <v>0.5</v>
      </c>
      <c r="AC106" s="89">
        <v>0.5</v>
      </c>
      <c r="AD106" s="90">
        <f t="shared" si="53"/>
        <v>0.5</v>
      </c>
      <c r="AE106" s="88">
        <v>1</v>
      </c>
      <c r="AF106" s="86">
        <v>1</v>
      </c>
      <c r="AG106" s="82">
        <v>1</v>
      </c>
      <c r="AH106" s="87">
        <v>0</v>
      </c>
      <c r="AI106" s="84">
        <f t="shared" si="59"/>
        <v>0.7</v>
      </c>
      <c r="AJ106" s="87">
        <v>1</v>
      </c>
      <c r="AK106" s="87">
        <v>0</v>
      </c>
      <c r="AL106" s="87"/>
      <c r="AM106" s="97">
        <v>0.55000000000000004</v>
      </c>
      <c r="AN106" s="97">
        <v>0.55000000000000004</v>
      </c>
      <c r="AO106" s="97">
        <v>0.55000000000000004</v>
      </c>
      <c r="AP106" s="97">
        <v>0.55000000000000004</v>
      </c>
      <c r="AQ106" s="84">
        <f t="shared" si="54"/>
        <v>0.55000000000000004</v>
      </c>
      <c r="AR106" s="88">
        <v>0</v>
      </c>
      <c r="AS106" s="88">
        <v>0</v>
      </c>
      <c r="AT106" s="88">
        <v>0</v>
      </c>
      <c r="AU106" s="88">
        <v>0</v>
      </c>
      <c r="AV106" s="84">
        <f t="shared" si="55"/>
        <v>0</v>
      </c>
      <c r="AW106" s="88">
        <v>0</v>
      </c>
      <c r="AX106" s="88">
        <v>0</v>
      </c>
      <c r="AY106" s="88">
        <v>0</v>
      </c>
      <c r="AZ106" s="84">
        <f t="shared" si="56"/>
        <v>0</v>
      </c>
      <c r="BA106" s="88">
        <v>0</v>
      </c>
      <c r="BB106" s="88">
        <v>0</v>
      </c>
      <c r="BC106" s="153">
        <v>0</v>
      </c>
      <c r="BD106" s="84">
        <f t="shared" si="57"/>
        <v>0</v>
      </c>
      <c r="BE106" s="135"/>
      <c r="BF106" s="92" t="e">
        <f t="shared" si="58"/>
        <v>#DIV/0!</v>
      </c>
      <c r="BG106" s="104"/>
    </row>
    <row r="107" spans="2:59" s="94" customFormat="1" ht="43.5" customHeight="1" thickBot="1" x14ac:dyDescent="0.4">
      <c r="B107" s="80">
        <v>609</v>
      </c>
      <c r="C107" s="81">
        <v>1</v>
      </c>
      <c r="D107" s="82">
        <v>1</v>
      </c>
      <c r="E107" s="82">
        <v>1</v>
      </c>
      <c r="F107" s="83">
        <v>1</v>
      </c>
      <c r="G107" s="133">
        <f t="shared" si="50"/>
        <v>1</v>
      </c>
      <c r="H107" s="88">
        <v>1</v>
      </c>
      <c r="I107" s="86">
        <v>1</v>
      </c>
      <c r="J107" s="82">
        <v>1</v>
      </c>
      <c r="K107" s="89">
        <v>1</v>
      </c>
      <c r="L107" s="90">
        <f t="shared" si="51"/>
        <v>1</v>
      </c>
      <c r="M107" s="85">
        <v>1</v>
      </c>
      <c r="N107" s="86">
        <v>1</v>
      </c>
      <c r="O107" s="82">
        <v>1</v>
      </c>
      <c r="P107" s="87">
        <v>1</v>
      </c>
      <c r="Q107" s="88">
        <v>1</v>
      </c>
      <c r="R107" s="86">
        <v>1</v>
      </c>
      <c r="S107" s="82">
        <v>1</v>
      </c>
      <c r="T107" s="89">
        <v>1</v>
      </c>
      <c r="U107" s="88">
        <v>1</v>
      </c>
      <c r="V107" s="86">
        <v>1</v>
      </c>
      <c r="W107" s="82">
        <v>1</v>
      </c>
      <c r="X107" s="89">
        <v>1</v>
      </c>
      <c r="Y107" s="90">
        <f t="shared" si="52"/>
        <v>1.0000000000000002</v>
      </c>
      <c r="Z107" s="88">
        <v>0.5</v>
      </c>
      <c r="AA107" s="86">
        <v>0.5</v>
      </c>
      <c r="AB107" s="82">
        <v>0.5</v>
      </c>
      <c r="AC107" s="89">
        <v>0.5</v>
      </c>
      <c r="AD107" s="90">
        <f t="shared" si="53"/>
        <v>0.5</v>
      </c>
      <c r="AE107" s="88">
        <v>1</v>
      </c>
      <c r="AF107" s="86">
        <v>0.7</v>
      </c>
      <c r="AG107" s="82">
        <v>0.7</v>
      </c>
      <c r="AH107" s="87">
        <v>0.7</v>
      </c>
      <c r="AI107" s="84">
        <f t="shared" si="59"/>
        <v>0.71499999999999997</v>
      </c>
      <c r="AJ107" s="87">
        <v>1</v>
      </c>
      <c r="AK107" s="87">
        <v>1</v>
      </c>
      <c r="AL107" s="87"/>
      <c r="AM107" s="97">
        <v>0.55000000000000004</v>
      </c>
      <c r="AN107" s="97">
        <v>0.55000000000000004</v>
      </c>
      <c r="AO107" s="97">
        <v>0.55000000000000004</v>
      </c>
      <c r="AP107" s="97">
        <v>0.55000000000000004</v>
      </c>
      <c r="AQ107" s="84">
        <f t="shared" si="54"/>
        <v>0.55000000000000004</v>
      </c>
      <c r="AR107" s="88">
        <v>0</v>
      </c>
      <c r="AS107" s="88">
        <v>0</v>
      </c>
      <c r="AT107" s="88">
        <v>0</v>
      </c>
      <c r="AU107" s="88">
        <v>0</v>
      </c>
      <c r="AV107" s="84">
        <f t="shared" si="55"/>
        <v>0</v>
      </c>
      <c r="AW107" s="88">
        <v>0</v>
      </c>
      <c r="AX107" s="88">
        <v>0</v>
      </c>
      <c r="AY107" s="88">
        <v>0</v>
      </c>
      <c r="AZ107" s="84">
        <f t="shared" si="56"/>
        <v>0</v>
      </c>
      <c r="BA107" s="88">
        <v>0</v>
      </c>
      <c r="BB107" s="88">
        <v>0</v>
      </c>
      <c r="BC107" s="153">
        <v>0</v>
      </c>
      <c r="BD107" s="84">
        <f t="shared" si="57"/>
        <v>0</v>
      </c>
      <c r="BE107" s="135"/>
      <c r="BF107" s="92" t="e">
        <f t="shared" si="58"/>
        <v>#DIV/0!</v>
      </c>
      <c r="BG107" s="103"/>
    </row>
    <row r="108" spans="2:59" s="94" customFormat="1" ht="43.5" customHeight="1" thickBot="1" x14ac:dyDescent="0.4">
      <c r="B108" s="80">
        <v>610</v>
      </c>
      <c r="C108" s="81">
        <v>1</v>
      </c>
      <c r="D108" s="82">
        <v>1</v>
      </c>
      <c r="E108" s="82">
        <v>1</v>
      </c>
      <c r="F108" s="83">
        <v>1</v>
      </c>
      <c r="G108" s="133">
        <f t="shared" si="50"/>
        <v>1</v>
      </c>
      <c r="H108" s="88">
        <v>1</v>
      </c>
      <c r="I108" s="86">
        <v>1</v>
      </c>
      <c r="J108" s="82">
        <v>1</v>
      </c>
      <c r="K108" s="89">
        <v>1</v>
      </c>
      <c r="L108" s="90">
        <f t="shared" si="51"/>
        <v>1</v>
      </c>
      <c r="M108" s="85">
        <v>1</v>
      </c>
      <c r="N108" s="86">
        <v>1</v>
      </c>
      <c r="O108" s="82">
        <v>1</v>
      </c>
      <c r="P108" s="87">
        <v>1</v>
      </c>
      <c r="Q108" s="88">
        <v>1</v>
      </c>
      <c r="R108" s="86">
        <v>1</v>
      </c>
      <c r="S108" s="82">
        <v>1</v>
      </c>
      <c r="T108" s="89">
        <v>1</v>
      </c>
      <c r="U108" s="88">
        <v>1</v>
      </c>
      <c r="V108" s="86">
        <v>1</v>
      </c>
      <c r="W108" s="82">
        <v>1</v>
      </c>
      <c r="X108" s="89">
        <v>1</v>
      </c>
      <c r="Y108" s="90">
        <f t="shared" si="52"/>
        <v>1.0000000000000002</v>
      </c>
      <c r="Z108" s="88">
        <v>0.5</v>
      </c>
      <c r="AA108" s="86">
        <v>0.5</v>
      </c>
      <c r="AB108" s="82">
        <v>0.5</v>
      </c>
      <c r="AC108" s="89">
        <v>0.5</v>
      </c>
      <c r="AD108" s="90">
        <f t="shared" si="53"/>
        <v>0.5</v>
      </c>
      <c r="AE108" s="88">
        <v>1</v>
      </c>
      <c r="AF108" s="86">
        <v>1</v>
      </c>
      <c r="AG108" s="82">
        <v>1</v>
      </c>
      <c r="AH108" s="87">
        <v>1</v>
      </c>
      <c r="AI108" s="84">
        <f t="shared" si="59"/>
        <v>1</v>
      </c>
      <c r="AJ108" s="87">
        <v>1</v>
      </c>
      <c r="AK108" s="87">
        <v>1</v>
      </c>
      <c r="AL108" s="87"/>
      <c r="AM108" s="97">
        <v>0.55000000000000004</v>
      </c>
      <c r="AN108" s="97">
        <v>0.55000000000000004</v>
      </c>
      <c r="AO108" s="97">
        <v>0.55000000000000004</v>
      </c>
      <c r="AP108" s="97">
        <v>0.55000000000000004</v>
      </c>
      <c r="AQ108" s="84">
        <f t="shared" si="54"/>
        <v>0.55000000000000004</v>
      </c>
      <c r="AR108" s="88">
        <v>0</v>
      </c>
      <c r="AS108" s="88">
        <v>0</v>
      </c>
      <c r="AT108" s="88">
        <v>0</v>
      </c>
      <c r="AU108" s="88">
        <v>0</v>
      </c>
      <c r="AV108" s="84">
        <f t="shared" si="55"/>
        <v>0</v>
      </c>
      <c r="AW108" s="88">
        <v>0</v>
      </c>
      <c r="AX108" s="88">
        <v>0</v>
      </c>
      <c r="AY108" s="88">
        <v>0</v>
      </c>
      <c r="AZ108" s="84">
        <f t="shared" si="56"/>
        <v>0</v>
      </c>
      <c r="BA108" s="88">
        <v>0</v>
      </c>
      <c r="BB108" s="88">
        <v>0</v>
      </c>
      <c r="BC108" s="153">
        <v>0</v>
      </c>
      <c r="BD108" s="84">
        <f t="shared" si="57"/>
        <v>0</v>
      </c>
      <c r="BE108" s="135"/>
      <c r="BF108" s="92" t="e">
        <f t="shared" si="58"/>
        <v>#DIV/0!</v>
      </c>
      <c r="BG108" s="103"/>
    </row>
    <row r="109" spans="2:59" s="94" customFormat="1" ht="43.5" customHeight="1" thickBot="1" x14ac:dyDescent="0.4">
      <c r="B109" s="95">
        <v>611</v>
      </c>
      <c r="C109" s="81">
        <v>1</v>
      </c>
      <c r="D109" s="82">
        <v>1</v>
      </c>
      <c r="E109" s="82">
        <v>1</v>
      </c>
      <c r="F109" s="83">
        <v>1</v>
      </c>
      <c r="G109" s="133">
        <f t="shared" si="50"/>
        <v>1</v>
      </c>
      <c r="H109" s="88">
        <v>1</v>
      </c>
      <c r="I109" s="86">
        <v>1</v>
      </c>
      <c r="J109" s="82">
        <v>1</v>
      </c>
      <c r="K109" s="89">
        <v>1</v>
      </c>
      <c r="L109" s="90">
        <f t="shared" si="51"/>
        <v>1</v>
      </c>
      <c r="M109" s="85">
        <v>1</v>
      </c>
      <c r="N109" s="86">
        <v>1</v>
      </c>
      <c r="O109" s="82">
        <v>0.9</v>
      </c>
      <c r="P109" s="87">
        <v>1</v>
      </c>
      <c r="Q109" s="88">
        <v>1</v>
      </c>
      <c r="R109" s="86">
        <v>1</v>
      </c>
      <c r="S109" s="82">
        <v>1</v>
      </c>
      <c r="T109" s="89">
        <v>1</v>
      </c>
      <c r="U109" s="88">
        <v>1</v>
      </c>
      <c r="V109" s="86">
        <v>1</v>
      </c>
      <c r="W109" s="82">
        <v>1</v>
      </c>
      <c r="X109" s="89">
        <v>1</v>
      </c>
      <c r="Y109" s="90">
        <f t="shared" si="52"/>
        <v>0.99500000000000011</v>
      </c>
      <c r="Z109" s="88">
        <v>0.5</v>
      </c>
      <c r="AA109" s="86">
        <v>0.5</v>
      </c>
      <c r="AB109" s="82">
        <v>0.5</v>
      </c>
      <c r="AC109" s="89">
        <v>0.5</v>
      </c>
      <c r="AD109" s="90">
        <f t="shared" si="53"/>
        <v>0.5</v>
      </c>
      <c r="AE109" s="88">
        <v>1</v>
      </c>
      <c r="AF109" s="86">
        <v>0.7</v>
      </c>
      <c r="AG109" s="82">
        <v>0.7</v>
      </c>
      <c r="AH109" s="87">
        <v>0.7</v>
      </c>
      <c r="AI109" s="84">
        <f t="shared" si="59"/>
        <v>0.71499999999999997</v>
      </c>
      <c r="AJ109" s="87">
        <v>1</v>
      </c>
      <c r="AK109" s="87">
        <v>1</v>
      </c>
      <c r="AL109" s="87"/>
      <c r="AM109" s="97">
        <v>0.55000000000000004</v>
      </c>
      <c r="AN109" s="97">
        <v>0.55000000000000004</v>
      </c>
      <c r="AO109" s="97">
        <v>0.55000000000000004</v>
      </c>
      <c r="AP109" s="97">
        <v>0.55000000000000004</v>
      </c>
      <c r="AQ109" s="84">
        <f t="shared" si="54"/>
        <v>0.55000000000000004</v>
      </c>
      <c r="AR109" s="88">
        <v>0</v>
      </c>
      <c r="AS109" s="88">
        <v>0</v>
      </c>
      <c r="AT109" s="88">
        <v>0</v>
      </c>
      <c r="AU109" s="88">
        <v>0</v>
      </c>
      <c r="AV109" s="84">
        <f t="shared" si="55"/>
        <v>0</v>
      </c>
      <c r="AW109" s="88">
        <v>0</v>
      </c>
      <c r="AX109" s="88">
        <v>0</v>
      </c>
      <c r="AY109" s="88">
        <v>0</v>
      </c>
      <c r="AZ109" s="84">
        <f t="shared" si="56"/>
        <v>0</v>
      </c>
      <c r="BA109" s="88">
        <v>0</v>
      </c>
      <c r="BB109" s="88">
        <v>0</v>
      </c>
      <c r="BC109" s="153">
        <v>0</v>
      </c>
      <c r="BD109" s="84">
        <f t="shared" si="57"/>
        <v>0</v>
      </c>
      <c r="BE109" s="135"/>
      <c r="BF109" s="92" t="e">
        <f t="shared" si="58"/>
        <v>#DIV/0!</v>
      </c>
      <c r="BG109" s="102"/>
    </row>
    <row r="110" spans="2:59" s="94" customFormat="1" ht="43.5" customHeight="1" thickBot="1" x14ac:dyDescent="0.4">
      <c r="B110" s="80">
        <v>612</v>
      </c>
      <c r="C110" s="81">
        <v>1</v>
      </c>
      <c r="D110" s="82">
        <v>1</v>
      </c>
      <c r="E110" s="82">
        <v>1</v>
      </c>
      <c r="F110" s="83">
        <v>1</v>
      </c>
      <c r="G110" s="133">
        <f t="shared" si="50"/>
        <v>1</v>
      </c>
      <c r="H110" s="88">
        <v>1</v>
      </c>
      <c r="I110" s="86">
        <v>1</v>
      </c>
      <c r="J110" s="82">
        <v>1</v>
      </c>
      <c r="K110" s="89">
        <v>1</v>
      </c>
      <c r="L110" s="90">
        <f t="shared" si="51"/>
        <v>1</v>
      </c>
      <c r="M110" s="85">
        <v>1</v>
      </c>
      <c r="N110" s="86">
        <v>1</v>
      </c>
      <c r="O110" s="82">
        <v>1</v>
      </c>
      <c r="P110" s="87">
        <v>1</v>
      </c>
      <c r="Q110" s="88">
        <v>1</v>
      </c>
      <c r="R110" s="86">
        <v>1</v>
      </c>
      <c r="S110" s="82">
        <v>1</v>
      </c>
      <c r="T110" s="89">
        <v>1</v>
      </c>
      <c r="U110" s="88">
        <v>1</v>
      </c>
      <c r="V110" s="86">
        <v>1</v>
      </c>
      <c r="W110" s="82">
        <v>1</v>
      </c>
      <c r="X110" s="89">
        <v>1</v>
      </c>
      <c r="Y110" s="90">
        <f t="shared" si="52"/>
        <v>1.0000000000000002</v>
      </c>
      <c r="Z110" s="88">
        <v>0.5</v>
      </c>
      <c r="AA110" s="86">
        <v>0.5</v>
      </c>
      <c r="AB110" s="82">
        <v>0.5</v>
      </c>
      <c r="AC110" s="89">
        <v>0.5</v>
      </c>
      <c r="AD110" s="90">
        <f t="shared" si="53"/>
        <v>0.5</v>
      </c>
      <c r="AE110" s="88">
        <v>1</v>
      </c>
      <c r="AF110" s="86">
        <v>1</v>
      </c>
      <c r="AG110" s="82">
        <v>1</v>
      </c>
      <c r="AH110" s="87">
        <v>1</v>
      </c>
      <c r="AI110" s="84">
        <f t="shared" si="59"/>
        <v>1</v>
      </c>
      <c r="AJ110" s="87">
        <v>1</v>
      </c>
      <c r="AK110" s="87">
        <v>1</v>
      </c>
      <c r="AL110" s="87"/>
      <c r="AM110" s="97">
        <v>0.55000000000000004</v>
      </c>
      <c r="AN110" s="97">
        <v>0.55000000000000004</v>
      </c>
      <c r="AO110" s="97">
        <v>0.55000000000000004</v>
      </c>
      <c r="AP110" s="97">
        <v>0.55000000000000004</v>
      </c>
      <c r="AQ110" s="84">
        <f t="shared" si="54"/>
        <v>0.55000000000000004</v>
      </c>
      <c r="AR110" s="88">
        <v>0</v>
      </c>
      <c r="AS110" s="88">
        <v>0</v>
      </c>
      <c r="AT110" s="88">
        <v>0</v>
      </c>
      <c r="AU110" s="88">
        <v>0</v>
      </c>
      <c r="AV110" s="84">
        <f t="shared" si="55"/>
        <v>0</v>
      </c>
      <c r="AW110" s="88">
        <v>0</v>
      </c>
      <c r="AX110" s="88">
        <v>0</v>
      </c>
      <c r="AY110" s="88">
        <v>0</v>
      </c>
      <c r="AZ110" s="84">
        <f t="shared" si="56"/>
        <v>0</v>
      </c>
      <c r="BA110" s="88">
        <v>0</v>
      </c>
      <c r="BB110" s="88">
        <v>0</v>
      </c>
      <c r="BC110" s="153">
        <v>0</v>
      </c>
      <c r="BD110" s="84">
        <f t="shared" si="57"/>
        <v>0</v>
      </c>
      <c r="BE110" s="135"/>
      <c r="BF110" s="92" t="e">
        <f t="shared" si="58"/>
        <v>#DIV/0!</v>
      </c>
      <c r="BG110" s="102"/>
    </row>
    <row r="111" spans="2:59" s="94" customFormat="1" ht="43.5" customHeight="1" thickBot="1" x14ac:dyDescent="0.4">
      <c r="B111" s="80">
        <v>613</v>
      </c>
      <c r="C111" s="81">
        <v>1</v>
      </c>
      <c r="D111" s="82">
        <v>1</v>
      </c>
      <c r="E111" s="82">
        <v>1</v>
      </c>
      <c r="F111" s="83">
        <v>1</v>
      </c>
      <c r="G111" s="133">
        <f t="shared" si="50"/>
        <v>1</v>
      </c>
      <c r="H111" s="88">
        <v>1</v>
      </c>
      <c r="I111" s="86">
        <v>1</v>
      </c>
      <c r="J111" s="82">
        <v>1</v>
      </c>
      <c r="K111" s="89">
        <v>1</v>
      </c>
      <c r="L111" s="90">
        <f t="shared" si="51"/>
        <v>1</v>
      </c>
      <c r="M111" s="85">
        <v>1</v>
      </c>
      <c r="N111" s="86">
        <v>1</v>
      </c>
      <c r="O111" s="82">
        <v>1</v>
      </c>
      <c r="P111" s="87">
        <v>1</v>
      </c>
      <c r="Q111" s="88">
        <v>1</v>
      </c>
      <c r="R111" s="86">
        <v>1</v>
      </c>
      <c r="S111" s="82">
        <v>1</v>
      </c>
      <c r="T111" s="89">
        <v>1</v>
      </c>
      <c r="U111" s="88">
        <v>1</v>
      </c>
      <c r="V111" s="86">
        <v>1</v>
      </c>
      <c r="W111" s="82">
        <v>1</v>
      </c>
      <c r="X111" s="89">
        <v>1</v>
      </c>
      <c r="Y111" s="90">
        <f t="shared" si="52"/>
        <v>1.0000000000000002</v>
      </c>
      <c r="Z111" s="88">
        <v>0.5</v>
      </c>
      <c r="AA111" s="86">
        <v>0.5</v>
      </c>
      <c r="AB111" s="82">
        <v>0.5</v>
      </c>
      <c r="AC111" s="89">
        <v>0.5</v>
      </c>
      <c r="AD111" s="90">
        <f t="shared" si="53"/>
        <v>0.5</v>
      </c>
      <c r="AE111" s="88">
        <v>1</v>
      </c>
      <c r="AF111" s="86">
        <v>0.7</v>
      </c>
      <c r="AG111" s="82">
        <v>0.7</v>
      </c>
      <c r="AH111" s="87">
        <v>0</v>
      </c>
      <c r="AI111" s="84">
        <f t="shared" si="59"/>
        <v>0.505</v>
      </c>
      <c r="AJ111" s="87">
        <v>1</v>
      </c>
      <c r="AK111" s="87">
        <v>1</v>
      </c>
      <c r="AL111" s="87"/>
      <c r="AM111" s="97">
        <v>0.55000000000000004</v>
      </c>
      <c r="AN111" s="97">
        <v>0.55000000000000004</v>
      </c>
      <c r="AO111" s="97">
        <v>0.55000000000000004</v>
      </c>
      <c r="AP111" s="97">
        <v>0.55000000000000004</v>
      </c>
      <c r="AQ111" s="84">
        <f t="shared" si="54"/>
        <v>0.55000000000000004</v>
      </c>
      <c r="AR111" s="88">
        <v>0</v>
      </c>
      <c r="AS111" s="88">
        <v>0</v>
      </c>
      <c r="AT111" s="88">
        <v>0</v>
      </c>
      <c r="AU111" s="88">
        <v>0</v>
      </c>
      <c r="AV111" s="84">
        <f t="shared" si="55"/>
        <v>0</v>
      </c>
      <c r="AW111" s="88">
        <v>0</v>
      </c>
      <c r="AX111" s="88">
        <v>0</v>
      </c>
      <c r="AY111" s="88">
        <v>0</v>
      </c>
      <c r="AZ111" s="84">
        <f t="shared" si="56"/>
        <v>0</v>
      </c>
      <c r="BA111" s="88">
        <v>0</v>
      </c>
      <c r="BB111" s="88">
        <v>0</v>
      </c>
      <c r="BC111" s="153">
        <v>0</v>
      </c>
      <c r="BD111" s="84">
        <f t="shared" si="57"/>
        <v>0</v>
      </c>
      <c r="BE111" s="135"/>
      <c r="BF111" s="92" t="e">
        <f t="shared" si="58"/>
        <v>#DIV/0!</v>
      </c>
      <c r="BG111" s="105"/>
    </row>
    <row r="112" spans="2:59" s="94" customFormat="1" ht="43.5" customHeight="1" thickBot="1" x14ac:dyDescent="0.4">
      <c r="B112" s="95">
        <v>614</v>
      </c>
      <c r="C112" s="81">
        <v>1</v>
      </c>
      <c r="D112" s="82">
        <v>1</v>
      </c>
      <c r="E112" s="82">
        <v>1</v>
      </c>
      <c r="F112" s="83">
        <v>1</v>
      </c>
      <c r="G112" s="133">
        <f t="shared" si="50"/>
        <v>1</v>
      </c>
      <c r="H112" s="88">
        <v>1</v>
      </c>
      <c r="I112" s="86">
        <v>1</v>
      </c>
      <c r="J112" s="82">
        <v>1</v>
      </c>
      <c r="K112" s="89">
        <v>1</v>
      </c>
      <c r="L112" s="90">
        <f t="shared" si="51"/>
        <v>1</v>
      </c>
      <c r="M112" s="85">
        <v>1</v>
      </c>
      <c r="N112" s="86">
        <v>1</v>
      </c>
      <c r="O112" s="82">
        <v>1</v>
      </c>
      <c r="P112" s="87">
        <v>1</v>
      </c>
      <c r="Q112" s="88">
        <v>1</v>
      </c>
      <c r="R112" s="86">
        <v>1</v>
      </c>
      <c r="S112" s="82">
        <v>1</v>
      </c>
      <c r="T112" s="89">
        <v>1</v>
      </c>
      <c r="U112" s="88">
        <v>1</v>
      </c>
      <c r="V112" s="86">
        <v>1</v>
      </c>
      <c r="W112" s="82">
        <v>1</v>
      </c>
      <c r="X112" s="89">
        <v>1</v>
      </c>
      <c r="Y112" s="90">
        <f t="shared" si="52"/>
        <v>1.0000000000000002</v>
      </c>
      <c r="Z112" s="88">
        <v>0.5</v>
      </c>
      <c r="AA112" s="86">
        <v>0.5</v>
      </c>
      <c r="AB112" s="82">
        <v>0.5</v>
      </c>
      <c r="AC112" s="89">
        <v>0.5</v>
      </c>
      <c r="AD112" s="90">
        <f t="shared" si="53"/>
        <v>0.5</v>
      </c>
      <c r="AE112" s="88">
        <v>1</v>
      </c>
      <c r="AF112" s="86">
        <v>1</v>
      </c>
      <c r="AG112" s="82">
        <v>1</v>
      </c>
      <c r="AH112" s="87">
        <v>1</v>
      </c>
      <c r="AI112" s="84">
        <f t="shared" si="59"/>
        <v>1</v>
      </c>
      <c r="AJ112" s="87">
        <v>1</v>
      </c>
      <c r="AK112" s="87">
        <v>1</v>
      </c>
      <c r="AL112" s="87"/>
      <c r="AM112" s="97">
        <v>0.55000000000000004</v>
      </c>
      <c r="AN112" s="97">
        <v>0.55000000000000004</v>
      </c>
      <c r="AO112" s="97">
        <v>0.55000000000000004</v>
      </c>
      <c r="AP112" s="97">
        <v>0.55000000000000004</v>
      </c>
      <c r="AQ112" s="84">
        <f t="shared" si="54"/>
        <v>0.55000000000000004</v>
      </c>
      <c r="AR112" s="88">
        <v>0</v>
      </c>
      <c r="AS112" s="88">
        <v>0</v>
      </c>
      <c r="AT112" s="88">
        <v>0</v>
      </c>
      <c r="AU112" s="88">
        <v>0</v>
      </c>
      <c r="AV112" s="84">
        <f t="shared" si="55"/>
        <v>0</v>
      </c>
      <c r="AW112" s="88">
        <v>0</v>
      </c>
      <c r="AX112" s="88">
        <v>0</v>
      </c>
      <c r="AY112" s="88">
        <v>0</v>
      </c>
      <c r="AZ112" s="84">
        <f t="shared" si="56"/>
        <v>0</v>
      </c>
      <c r="BA112" s="88">
        <v>0</v>
      </c>
      <c r="BB112" s="88">
        <v>0</v>
      </c>
      <c r="BC112" s="153">
        <v>0</v>
      </c>
      <c r="BD112" s="84">
        <f t="shared" si="57"/>
        <v>0</v>
      </c>
      <c r="BE112" s="135"/>
      <c r="BF112" s="92" t="e">
        <f t="shared" si="58"/>
        <v>#DIV/0!</v>
      </c>
      <c r="BG112" s="103"/>
    </row>
    <row r="113" spans="2:59" s="94" customFormat="1" ht="43.5" customHeight="1" thickBot="1" x14ac:dyDescent="0.4">
      <c r="B113" s="80">
        <v>615</v>
      </c>
      <c r="C113" s="81">
        <v>1</v>
      </c>
      <c r="D113" s="82">
        <v>1</v>
      </c>
      <c r="E113" s="82">
        <v>1</v>
      </c>
      <c r="F113" s="83">
        <v>1</v>
      </c>
      <c r="G113" s="133">
        <f t="shared" si="50"/>
        <v>1</v>
      </c>
      <c r="H113" s="88">
        <v>1</v>
      </c>
      <c r="I113" s="86">
        <v>1</v>
      </c>
      <c r="J113" s="82">
        <v>1</v>
      </c>
      <c r="K113" s="89">
        <v>1</v>
      </c>
      <c r="L113" s="90">
        <f t="shared" si="51"/>
        <v>1</v>
      </c>
      <c r="M113" s="85">
        <v>1</v>
      </c>
      <c r="N113" s="86">
        <v>1</v>
      </c>
      <c r="O113" s="82">
        <v>1</v>
      </c>
      <c r="P113" s="87">
        <v>1</v>
      </c>
      <c r="Q113" s="88">
        <v>1</v>
      </c>
      <c r="R113" s="86">
        <v>1</v>
      </c>
      <c r="S113" s="82">
        <v>1</v>
      </c>
      <c r="T113" s="89">
        <v>1</v>
      </c>
      <c r="U113" s="88">
        <v>1</v>
      </c>
      <c r="V113" s="86">
        <v>1</v>
      </c>
      <c r="W113" s="82">
        <v>1</v>
      </c>
      <c r="X113" s="89">
        <v>1</v>
      </c>
      <c r="Y113" s="90">
        <f t="shared" si="52"/>
        <v>1.0000000000000002</v>
      </c>
      <c r="Z113" s="88">
        <v>0.5</v>
      </c>
      <c r="AA113" s="86">
        <v>0.5</v>
      </c>
      <c r="AB113" s="82">
        <v>0.5</v>
      </c>
      <c r="AC113" s="89">
        <v>0.5</v>
      </c>
      <c r="AD113" s="90">
        <f t="shared" si="53"/>
        <v>0.5</v>
      </c>
      <c r="AE113" s="88">
        <v>0.7</v>
      </c>
      <c r="AF113" s="86">
        <v>0</v>
      </c>
      <c r="AG113" s="82">
        <v>0.7</v>
      </c>
      <c r="AH113" s="87">
        <v>0.7</v>
      </c>
      <c r="AI113" s="84">
        <f t="shared" si="59"/>
        <v>0.49</v>
      </c>
      <c r="AJ113" s="87">
        <v>1</v>
      </c>
      <c r="AK113" s="87">
        <v>1</v>
      </c>
      <c r="AL113" s="87"/>
      <c r="AM113" s="97">
        <v>0.55000000000000004</v>
      </c>
      <c r="AN113" s="97">
        <v>0.55000000000000004</v>
      </c>
      <c r="AO113" s="97">
        <v>0.55000000000000004</v>
      </c>
      <c r="AP113" s="97">
        <v>0.55000000000000004</v>
      </c>
      <c r="AQ113" s="84">
        <f t="shared" si="54"/>
        <v>0.55000000000000004</v>
      </c>
      <c r="AR113" s="88">
        <v>0</v>
      </c>
      <c r="AS113" s="88">
        <v>0</v>
      </c>
      <c r="AT113" s="88">
        <v>0</v>
      </c>
      <c r="AU113" s="88">
        <v>0</v>
      </c>
      <c r="AV113" s="84">
        <f t="shared" si="55"/>
        <v>0</v>
      </c>
      <c r="AW113" s="88">
        <v>0</v>
      </c>
      <c r="AX113" s="88">
        <v>0</v>
      </c>
      <c r="AY113" s="88">
        <v>0</v>
      </c>
      <c r="AZ113" s="84">
        <f t="shared" si="56"/>
        <v>0</v>
      </c>
      <c r="BA113" s="88">
        <v>0</v>
      </c>
      <c r="BB113" s="88">
        <v>0</v>
      </c>
      <c r="BC113" s="153">
        <v>0</v>
      </c>
      <c r="BD113" s="84">
        <f t="shared" si="57"/>
        <v>0</v>
      </c>
      <c r="BE113" s="135"/>
      <c r="BF113" s="92" t="e">
        <f t="shared" si="58"/>
        <v>#DIV/0!</v>
      </c>
      <c r="BG113" s="103"/>
    </row>
    <row r="114" spans="2:59" s="94" customFormat="1" ht="43.5" customHeight="1" thickBot="1" x14ac:dyDescent="0.4">
      <c r="B114" s="154">
        <v>616</v>
      </c>
      <c r="C114" s="137">
        <v>1</v>
      </c>
      <c r="D114" s="110">
        <v>1</v>
      </c>
      <c r="E114" s="110">
        <v>1</v>
      </c>
      <c r="F114" s="138">
        <v>1</v>
      </c>
      <c r="G114" s="133">
        <f t="shared" si="50"/>
        <v>1</v>
      </c>
      <c r="H114" s="108">
        <v>1</v>
      </c>
      <c r="I114" s="109">
        <v>1</v>
      </c>
      <c r="J114" s="110">
        <v>1</v>
      </c>
      <c r="K114" s="111">
        <v>1</v>
      </c>
      <c r="L114" s="90">
        <f t="shared" si="51"/>
        <v>1</v>
      </c>
      <c r="M114" s="112">
        <v>1</v>
      </c>
      <c r="N114" s="109">
        <v>1</v>
      </c>
      <c r="O114" s="110">
        <v>0.9</v>
      </c>
      <c r="P114" s="113">
        <v>1</v>
      </c>
      <c r="Q114" s="108">
        <v>1</v>
      </c>
      <c r="R114" s="109">
        <v>1</v>
      </c>
      <c r="S114" s="110">
        <v>1</v>
      </c>
      <c r="T114" s="111">
        <v>1</v>
      </c>
      <c r="U114" s="108">
        <v>1</v>
      </c>
      <c r="V114" s="109">
        <v>1</v>
      </c>
      <c r="W114" s="110">
        <v>1</v>
      </c>
      <c r="X114" s="111">
        <v>1</v>
      </c>
      <c r="Y114" s="90">
        <f t="shared" si="52"/>
        <v>0.99500000000000011</v>
      </c>
      <c r="Z114" s="108">
        <v>0.5</v>
      </c>
      <c r="AA114" s="109">
        <v>0.5</v>
      </c>
      <c r="AB114" s="110">
        <v>0.5</v>
      </c>
      <c r="AC114" s="111">
        <v>0.5</v>
      </c>
      <c r="AD114" s="90">
        <f t="shared" si="53"/>
        <v>0.5</v>
      </c>
      <c r="AE114" s="108">
        <v>0.9</v>
      </c>
      <c r="AF114" s="109">
        <v>0</v>
      </c>
      <c r="AG114" s="110">
        <v>0</v>
      </c>
      <c r="AH114" s="113">
        <v>1</v>
      </c>
      <c r="AI114" s="84">
        <f t="shared" si="59"/>
        <v>0.34499999999999997</v>
      </c>
      <c r="AJ114" s="87">
        <v>1</v>
      </c>
      <c r="AK114" s="87">
        <v>1</v>
      </c>
      <c r="AL114" s="87"/>
      <c r="AM114" s="97">
        <v>0.55000000000000004</v>
      </c>
      <c r="AN114" s="97">
        <v>0.55000000000000004</v>
      </c>
      <c r="AO114" s="97">
        <v>0.55000000000000004</v>
      </c>
      <c r="AP114" s="97">
        <v>0.55000000000000004</v>
      </c>
      <c r="AQ114" s="84">
        <f t="shared" si="54"/>
        <v>0.55000000000000004</v>
      </c>
      <c r="AR114" s="88">
        <v>0</v>
      </c>
      <c r="AS114" s="88">
        <v>0</v>
      </c>
      <c r="AT114" s="88">
        <v>0</v>
      </c>
      <c r="AU114" s="88">
        <v>0</v>
      </c>
      <c r="AV114" s="84">
        <f t="shared" si="55"/>
        <v>0</v>
      </c>
      <c r="AW114" s="88">
        <v>0</v>
      </c>
      <c r="AX114" s="88">
        <v>0</v>
      </c>
      <c r="AY114" s="88">
        <v>0</v>
      </c>
      <c r="AZ114" s="84">
        <f t="shared" si="56"/>
        <v>0</v>
      </c>
      <c r="BA114" s="88">
        <v>0</v>
      </c>
      <c r="BB114" s="88">
        <v>0</v>
      </c>
      <c r="BC114" s="153">
        <v>0</v>
      </c>
      <c r="BD114" s="84">
        <f t="shared" si="57"/>
        <v>0</v>
      </c>
      <c r="BE114" s="135"/>
      <c r="BF114" s="92" t="e">
        <f t="shared" si="58"/>
        <v>#DIV/0!</v>
      </c>
      <c r="BG114" s="118"/>
    </row>
    <row r="115" spans="2:59" ht="43.5" customHeight="1" thickBot="1" x14ac:dyDescent="0.35">
      <c r="B115" s="173" t="s">
        <v>97</v>
      </c>
      <c r="C115" s="174"/>
      <c r="D115" s="174"/>
      <c r="E115" s="174"/>
      <c r="F115" s="174"/>
      <c r="G115" s="174"/>
      <c r="H115" s="174"/>
      <c r="I115" s="174"/>
      <c r="J115" s="174"/>
      <c r="K115" s="174"/>
      <c r="L115" s="174"/>
      <c r="M115" s="174"/>
      <c r="N115" s="174"/>
      <c r="O115" s="174"/>
      <c r="P115" s="174"/>
      <c r="Q115" s="174"/>
      <c r="R115" s="174"/>
      <c r="S115" s="174"/>
      <c r="T115" s="174"/>
      <c r="U115" s="174"/>
      <c r="V115" s="174"/>
      <c r="W115" s="174"/>
      <c r="X115" s="174"/>
      <c r="Y115" s="174"/>
      <c r="Z115" s="174"/>
      <c r="AA115" s="174"/>
      <c r="AB115" s="174"/>
      <c r="AC115" s="174"/>
      <c r="AD115" s="174"/>
      <c r="AE115" s="174"/>
      <c r="AF115" s="174"/>
      <c r="AG115" s="174"/>
      <c r="AH115" s="174"/>
      <c r="AI115" s="174"/>
      <c r="AJ115" s="174"/>
      <c r="AK115" s="174"/>
      <c r="AL115" s="174"/>
      <c r="AM115" s="174"/>
      <c r="AN115" s="174"/>
      <c r="AO115" s="174"/>
      <c r="AP115" s="174"/>
      <c r="AQ115" s="174"/>
      <c r="AR115" s="174"/>
      <c r="AS115" s="174"/>
      <c r="AT115" s="174"/>
      <c r="AU115" s="174"/>
      <c r="AV115" s="174"/>
      <c r="AW115" s="174"/>
      <c r="AX115" s="174"/>
      <c r="AY115" s="174"/>
      <c r="AZ115" s="174"/>
      <c r="BA115" s="174"/>
      <c r="BB115" s="174"/>
      <c r="BC115" s="174"/>
      <c r="BD115" s="174"/>
      <c r="BE115" s="174"/>
      <c r="BF115" s="174"/>
      <c r="BG115" s="176"/>
    </row>
    <row r="116" spans="2:59" ht="43.5" customHeight="1" thickBot="1" x14ac:dyDescent="0.35">
      <c r="B116" s="80">
        <v>701</v>
      </c>
      <c r="C116" s="81">
        <v>1</v>
      </c>
      <c r="D116" s="82">
        <v>1</v>
      </c>
      <c r="E116" s="82">
        <v>1</v>
      </c>
      <c r="F116" s="83">
        <v>1</v>
      </c>
      <c r="G116" s="133">
        <f t="shared" ref="G116:G131" si="60" xml:space="preserve"> C116*45% + D116*45% + E116*5% + F116*5%</f>
        <v>1</v>
      </c>
      <c r="H116" s="88">
        <v>1</v>
      </c>
      <c r="I116" s="86">
        <v>0.95</v>
      </c>
      <c r="J116" s="82">
        <v>1</v>
      </c>
      <c r="K116" s="89">
        <v>1</v>
      </c>
      <c r="L116" s="90">
        <f t="shared" ref="L116:L131" si="61" xml:space="preserve"> H116*30% + I116*30% + J116*10% + K116*30%</f>
        <v>0.98499999999999988</v>
      </c>
      <c r="M116" s="85">
        <v>1</v>
      </c>
      <c r="N116" s="86">
        <v>1</v>
      </c>
      <c r="O116" s="82">
        <v>0.95</v>
      </c>
      <c r="P116" s="87">
        <v>1</v>
      </c>
      <c r="Q116" s="88">
        <v>1</v>
      </c>
      <c r="R116" s="86">
        <v>1</v>
      </c>
      <c r="S116" s="82">
        <v>1</v>
      </c>
      <c r="T116" s="89">
        <v>1</v>
      </c>
      <c r="U116" s="88">
        <v>1</v>
      </c>
      <c r="V116" s="86">
        <v>1</v>
      </c>
      <c r="W116" s="82">
        <v>1</v>
      </c>
      <c r="X116" s="89">
        <v>1</v>
      </c>
      <c r="Y116" s="90">
        <f t="shared" ref="Y116:Y131" si="62" xml:space="preserve"> (U116*10% + V116*10% + W116*10% + X116*10%+ Q116*5% + R116*5% + S116*5% + T116*5%+M116*10% + N116*15% + O116*5% + P116*10%)</f>
        <v>0.99750000000000005</v>
      </c>
      <c r="Z116" s="88">
        <v>0.1</v>
      </c>
      <c r="AA116" s="86">
        <v>0.1</v>
      </c>
      <c r="AB116" s="82">
        <v>0.1</v>
      </c>
      <c r="AC116" s="89">
        <v>0.1</v>
      </c>
      <c r="AD116" s="90">
        <f t="shared" ref="AD116:AD131" si="63" xml:space="preserve"> Z116*45% + AA116*45% + AB116*5% + AC116*5%</f>
        <v>0.10000000000000002</v>
      </c>
      <c r="AE116" s="88">
        <v>1</v>
      </c>
      <c r="AF116" s="86">
        <v>0</v>
      </c>
      <c r="AG116" s="82">
        <v>0</v>
      </c>
      <c r="AH116" s="87">
        <v>0</v>
      </c>
      <c r="AI116" s="84">
        <f xml:space="preserve"> AE116*5% + AF116*30% + AG116*35% + AH116*30%</f>
        <v>0.05</v>
      </c>
      <c r="AJ116" s="87">
        <v>1</v>
      </c>
      <c r="AK116" s="87">
        <v>1</v>
      </c>
      <c r="AL116" s="87"/>
      <c r="AM116" s="85">
        <v>0.3</v>
      </c>
      <c r="AN116" s="85">
        <v>0.3</v>
      </c>
      <c r="AO116" s="85">
        <v>0.3</v>
      </c>
      <c r="AP116" s="85">
        <v>0.3</v>
      </c>
      <c r="AQ116" s="84">
        <f t="shared" ref="AQ116:AQ131" si="64" xml:space="preserve"> AM116*15% + AN116*35% + AO116*15% + AP116*35%</f>
        <v>0.3</v>
      </c>
      <c r="AR116" s="88">
        <v>0</v>
      </c>
      <c r="AS116" s="88">
        <v>0</v>
      </c>
      <c r="AT116" s="88">
        <v>0</v>
      </c>
      <c r="AU116" s="88">
        <v>0</v>
      </c>
      <c r="AV116" s="84">
        <f t="shared" ref="AV116:AV131" si="65" xml:space="preserve"> AR116*30% + AS116*30% + AT116*15% + AU116*25%</f>
        <v>0</v>
      </c>
      <c r="AW116" s="88">
        <v>0</v>
      </c>
      <c r="AX116" s="88">
        <v>0</v>
      </c>
      <c r="AY116" s="88">
        <v>0</v>
      </c>
      <c r="AZ116" s="84">
        <f t="shared" ref="AZ116:AZ131" si="66" xml:space="preserve">  AW116*30% + AX116*45% + AY116*25%</f>
        <v>0</v>
      </c>
      <c r="BA116" s="88">
        <v>0</v>
      </c>
      <c r="BB116" s="88">
        <v>0</v>
      </c>
      <c r="BC116" s="153">
        <v>0</v>
      </c>
      <c r="BD116" s="84">
        <f t="shared" ref="BD116:BD131" si="67" xml:space="preserve">  BA116*30% + BB116*45% + BC116*25%</f>
        <v>0</v>
      </c>
      <c r="BE116" s="135"/>
      <c r="BF116" s="92" t="e">
        <f t="shared" ref="BF116:BF131" si="68">(
(COUNTIF(B116:E116,"✓")/(COUNTIF(B116:E116,"✓")+COUNTIF(B116:E116,"x")))*0.2 +
(COUNTIF(F116:J116,"✓")/(COUNTIF(F116:J116,"✓")+COUNTIF(F116:J116,"x")))*0.1 +
(COUNTIF(K116:O116,"✓")/(COUNTIF(K116:O116,"✓")+COUNTIF(K116:O116,"x")))*0.1 +
(COUNTIF(P116:S116,"✓")/(COUNTIF(P116:S116,"✓")+COUNTIF(P116:S116,"x")))*0.1 +
(COUNTIF(T116:W116,"✓")/(COUNTIF(T116:W116,"✓")+COUNTIF(T116:W116,"x")))*0.1 +
(COUNTIF(X116:AB116,"✓")/(COUNTIF(X116:AB116,"✓")+COUNTIF(X116:AB116,"x")))*0.1 +
(COUNTIF(AC116:AO116,"✓")/(COUNTIF(AC116:AO116,"✓")+COUNTIF(AC116:AO116,"x")))*0.1 +
(COUNTIF(AP116:AT116,"✓")/(COUNTIF(AP116:AT116,"✓")+COUNTIF(AP116:AT116,"x")))*0.05 +
(COUNTIF(AU116:BB116,"✓")/(COUNTIF(AU116:BB116,"✓")+COUNTIF(AU116:BB116,"x")))*0.1 +
(COUNTIF(BC116:BC116,"✓")/(COUNTIF(BC116:BC116,"✓")+COUNTIF(BC116:BC116,"x")))*0.05
)</f>
        <v>#DIV/0!</v>
      </c>
      <c r="BG116" s="155"/>
    </row>
    <row r="117" spans="2:59" ht="43.5" customHeight="1" thickBot="1" x14ac:dyDescent="0.35">
      <c r="B117" s="95">
        <v>702</v>
      </c>
      <c r="C117" s="81">
        <v>1</v>
      </c>
      <c r="D117" s="82">
        <v>1</v>
      </c>
      <c r="E117" s="82">
        <v>1</v>
      </c>
      <c r="F117" s="83">
        <v>1</v>
      </c>
      <c r="G117" s="133">
        <f t="shared" si="60"/>
        <v>1</v>
      </c>
      <c r="H117" s="88">
        <v>1</v>
      </c>
      <c r="I117" s="86">
        <v>1</v>
      </c>
      <c r="J117" s="82">
        <v>1</v>
      </c>
      <c r="K117" s="89">
        <v>1</v>
      </c>
      <c r="L117" s="90">
        <f t="shared" si="61"/>
        <v>1</v>
      </c>
      <c r="M117" s="85">
        <v>1</v>
      </c>
      <c r="N117" s="86">
        <v>1</v>
      </c>
      <c r="O117" s="82">
        <v>0.95</v>
      </c>
      <c r="P117" s="87">
        <v>1</v>
      </c>
      <c r="Q117" s="88">
        <v>1</v>
      </c>
      <c r="R117" s="86">
        <v>1</v>
      </c>
      <c r="S117" s="82">
        <v>1</v>
      </c>
      <c r="T117" s="89">
        <v>1</v>
      </c>
      <c r="U117" s="88">
        <v>1</v>
      </c>
      <c r="V117" s="86">
        <v>1</v>
      </c>
      <c r="W117" s="82">
        <v>1</v>
      </c>
      <c r="X117" s="89">
        <v>1</v>
      </c>
      <c r="Y117" s="90">
        <f t="shared" si="62"/>
        <v>0.99750000000000005</v>
      </c>
      <c r="Z117" s="88">
        <v>0.1</v>
      </c>
      <c r="AA117" s="86">
        <v>0.1</v>
      </c>
      <c r="AB117" s="82">
        <v>0.1</v>
      </c>
      <c r="AC117" s="89">
        <v>0.1</v>
      </c>
      <c r="AD117" s="90">
        <f t="shared" si="63"/>
        <v>0.10000000000000002</v>
      </c>
      <c r="AE117" s="88">
        <v>1</v>
      </c>
      <c r="AF117" s="86">
        <v>0.7</v>
      </c>
      <c r="AG117" s="82">
        <v>0</v>
      </c>
      <c r="AH117" s="87">
        <v>0</v>
      </c>
      <c r="AI117" s="84">
        <f t="shared" ref="AI117:AI131" si="69" xml:space="preserve"> AE117*5% + AF117*30% + AG117*35% + AH117*30%</f>
        <v>0.26</v>
      </c>
      <c r="AJ117" s="87">
        <v>1</v>
      </c>
      <c r="AK117" s="87">
        <v>1</v>
      </c>
      <c r="AL117" s="87"/>
      <c r="AM117" s="85">
        <v>0.3</v>
      </c>
      <c r="AN117" s="85">
        <v>0.3</v>
      </c>
      <c r="AO117" s="85">
        <v>0.3</v>
      </c>
      <c r="AP117" s="85">
        <v>0.3</v>
      </c>
      <c r="AQ117" s="84">
        <f t="shared" si="64"/>
        <v>0.3</v>
      </c>
      <c r="AR117" s="88">
        <v>0</v>
      </c>
      <c r="AS117" s="88">
        <v>0</v>
      </c>
      <c r="AT117" s="88">
        <v>0</v>
      </c>
      <c r="AU117" s="88">
        <v>0</v>
      </c>
      <c r="AV117" s="84">
        <f t="shared" si="65"/>
        <v>0</v>
      </c>
      <c r="AW117" s="88">
        <v>0</v>
      </c>
      <c r="AX117" s="88">
        <v>0</v>
      </c>
      <c r="AY117" s="88">
        <v>0</v>
      </c>
      <c r="AZ117" s="84">
        <f t="shared" si="66"/>
        <v>0</v>
      </c>
      <c r="BA117" s="88">
        <v>0</v>
      </c>
      <c r="BB117" s="88">
        <v>0</v>
      </c>
      <c r="BC117" s="153">
        <v>0</v>
      </c>
      <c r="BD117" s="84">
        <f t="shared" si="67"/>
        <v>0</v>
      </c>
      <c r="BE117" s="135"/>
      <c r="BF117" s="92" t="e">
        <f t="shared" si="68"/>
        <v>#DIV/0!</v>
      </c>
      <c r="BG117" s="132"/>
    </row>
    <row r="118" spans="2:59" ht="43.5" customHeight="1" thickBot="1" x14ac:dyDescent="0.4">
      <c r="B118" s="80">
        <v>703</v>
      </c>
      <c r="C118" s="81">
        <v>1</v>
      </c>
      <c r="D118" s="82">
        <v>1</v>
      </c>
      <c r="E118" s="82">
        <v>1</v>
      </c>
      <c r="F118" s="83">
        <v>1</v>
      </c>
      <c r="G118" s="133">
        <f t="shared" si="60"/>
        <v>1</v>
      </c>
      <c r="H118" s="88">
        <v>0.95</v>
      </c>
      <c r="I118" s="86">
        <v>1</v>
      </c>
      <c r="J118" s="82">
        <v>1</v>
      </c>
      <c r="K118" s="89">
        <v>0.95</v>
      </c>
      <c r="L118" s="90">
        <f t="shared" si="61"/>
        <v>0.97</v>
      </c>
      <c r="M118" s="85">
        <v>1</v>
      </c>
      <c r="N118" s="86">
        <v>1</v>
      </c>
      <c r="O118" s="82">
        <v>0.95</v>
      </c>
      <c r="P118" s="87">
        <v>1</v>
      </c>
      <c r="Q118" s="88">
        <v>1</v>
      </c>
      <c r="R118" s="86">
        <v>1</v>
      </c>
      <c r="S118" s="82">
        <v>1</v>
      </c>
      <c r="T118" s="89">
        <v>1</v>
      </c>
      <c r="U118" s="88">
        <v>1</v>
      </c>
      <c r="V118" s="86">
        <v>1</v>
      </c>
      <c r="W118" s="82">
        <v>1</v>
      </c>
      <c r="X118" s="89">
        <v>1</v>
      </c>
      <c r="Y118" s="90">
        <f t="shared" si="62"/>
        <v>0.99750000000000005</v>
      </c>
      <c r="Z118" s="88">
        <v>0.1</v>
      </c>
      <c r="AA118" s="86">
        <v>0.1</v>
      </c>
      <c r="AB118" s="82">
        <v>0</v>
      </c>
      <c r="AC118" s="89">
        <v>0.1</v>
      </c>
      <c r="AD118" s="90">
        <f t="shared" si="63"/>
        <v>9.5000000000000015E-2</v>
      </c>
      <c r="AE118" s="88">
        <v>0.9</v>
      </c>
      <c r="AF118" s="86">
        <v>0</v>
      </c>
      <c r="AG118" s="82">
        <v>0.7</v>
      </c>
      <c r="AH118" s="87">
        <v>0.7</v>
      </c>
      <c r="AI118" s="84">
        <f t="shared" si="69"/>
        <v>0.5</v>
      </c>
      <c r="AJ118" s="87">
        <v>0.9</v>
      </c>
      <c r="AK118" s="87">
        <v>1</v>
      </c>
      <c r="AL118" s="87"/>
      <c r="AM118" s="85">
        <v>0.3</v>
      </c>
      <c r="AN118" s="85">
        <v>0.3</v>
      </c>
      <c r="AO118" s="85">
        <v>0.3</v>
      </c>
      <c r="AP118" s="85">
        <v>0.3</v>
      </c>
      <c r="AQ118" s="84">
        <f t="shared" si="64"/>
        <v>0.3</v>
      </c>
      <c r="AR118" s="88">
        <v>0</v>
      </c>
      <c r="AS118" s="88">
        <v>0</v>
      </c>
      <c r="AT118" s="88">
        <v>0</v>
      </c>
      <c r="AU118" s="88">
        <v>0</v>
      </c>
      <c r="AV118" s="84">
        <f t="shared" si="65"/>
        <v>0</v>
      </c>
      <c r="AW118" s="88">
        <v>0</v>
      </c>
      <c r="AX118" s="88">
        <v>0</v>
      </c>
      <c r="AY118" s="88">
        <v>0</v>
      </c>
      <c r="AZ118" s="84">
        <f t="shared" si="66"/>
        <v>0</v>
      </c>
      <c r="BA118" s="88">
        <v>0</v>
      </c>
      <c r="BB118" s="88">
        <v>0</v>
      </c>
      <c r="BC118" s="153">
        <v>0</v>
      </c>
      <c r="BD118" s="84">
        <f t="shared" si="67"/>
        <v>0</v>
      </c>
      <c r="BE118" s="135"/>
      <c r="BF118" s="92" t="e">
        <f t="shared" si="68"/>
        <v>#DIV/0!</v>
      </c>
      <c r="BG118" s="103"/>
    </row>
    <row r="119" spans="2:59" ht="43.5" customHeight="1" thickBot="1" x14ac:dyDescent="0.35">
      <c r="B119" s="80">
        <v>704</v>
      </c>
      <c r="C119" s="81">
        <v>1</v>
      </c>
      <c r="D119" s="82">
        <v>1</v>
      </c>
      <c r="E119" s="82">
        <v>1</v>
      </c>
      <c r="F119" s="83">
        <v>1</v>
      </c>
      <c r="G119" s="133">
        <f t="shared" si="60"/>
        <v>1</v>
      </c>
      <c r="H119" s="88">
        <v>0.9</v>
      </c>
      <c r="I119" s="86">
        <v>0.9</v>
      </c>
      <c r="J119" s="82">
        <v>0.9</v>
      </c>
      <c r="K119" s="89">
        <v>0.9</v>
      </c>
      <c r="L119" s="90">
        <f t="shared" si="61"/>
        <v>0.9</v>
      </c>
      <c r="M119" s="85">
        <v>1</v>
      </c>
      <c r="N119" s="86">
        <v>1</v>
      </c>
      <c r="O119" s="82">
        <v>0.95</v>
      </c>
      <c r="P119" s="87">
        <v>0.5</v>
      </c>
      <c r="Q119" s="88">
        <v>1</v>
      </c>
      <c r="R119" s="86">
        <v>1</v>
      </c>
      <c r="S119" s="82">
        <v>1</v>
      </c>
      <c r="T119" s="89">
        <v>1</v>
      </c>
      <c r="U119" s="88">
        <v>1</v>
      </c>
      <c r="V119" s="86">
        <v>1</v>
      </c>
      <c r="W119" s="82">
        <v>1</v>
      </c>
      <c r="X119" s="89">
        <v>1</v>
      </c>
      <c r="Y119" s="90">
        <f t="shared" si="62"/>
        <v>0.94750000000000012</v>
      </c>
      <c r="Z119" s="88">
        <v>0.1</v>
      </c>
      <c r="AA119" s="86">
        <v>0.1</v>
      </c>
      <c r="AB119" s="82">
        <v>0.1</v>
      </c>
      <c r="AC119" s="89">
        <v>0.1</v>
      </c>
      <c r="AD119" s="90">
        <f t="shared" si="63"/>
        <v>0.10000000000000002</v>
      </c>
      <c r="AE119" s="88">
        <v>0.9</v>
      </c>
      <c r="AF119" s="86">
        <v>0</v>
      </c>
      <c r="AG119" s="82">
        <v>0.7</v>
      </c>
      <c r="AH119" s="87">
        <v>0</v>
      </c>
      <c r="AI119" s="84">
        <f t="shared" si="69"/>
        <v>0.28999999999999998</v>
      </c>
      <c r="AJ119" s="87">
        <v>1</v>
      </c>
      <c r="AK119" s="87" t="s">
        <v>98</v>
      </c>
      <c r="AL119" s="87"/>
      <c r="AM119" s="85">
        <v>0.3</v>
      </c>
      <c r="AN119" s="85">
        <v>0.3</v>
      </c>
      <c r="AO119" s="85">
        <v>0.3</v>
      </c>
      <c r="AP119" s="85">
        <v>0.3</v>
      </c>
      <c r="AQ119" s="84">
        <f t="shared" si="64"/>
        <v>0.3</v>
      </c>
      <c r="AR119" s="88">
        <v>0</v>
      </c>
      <c r="AS119" s="88">
        <v>0</v>
      </c>
      <c r="AT119" s="88">
        <v>0</v>
      </c>
      <c r="AU119" s="88">
        <v>0</v>
      </c>
      <c r="AV119" s="84">
        <f t="shared" si="65"/>
        <v>0</v>
      </c>
      <c r="AW119" s="88">
        <v>0</v>
      </c>
      <c r="AX119" s="88">
        <v>0</v>
      </c>
      <c r="AY119" s="88">
        <v>0</v>
      </c>
      <c r="AZ119" s="84">
        <f t="shared" si="66"/>
        <v>0</v>
      </c>
      <c r="BA119" s="88">
        <v>0</v>
      </c>
      <c r="BB119" s="88">
        <v>0</v>
      </c>
      <c r="BC119" s="153">
        <v>0</v>
      </c>
      <c r="BD119" s="84">
        <f t="shared" si="67"/>
        <v>0</v>
      </c>
      <c r="BE119" s="135"/>
      <c r="BF119" s="92" t="e">
        <f t="shared" si="68"/>
        <v>#DIV/0!</v>
      </c>
      <c r="BG119" s="102"/>
    </row>
    <row r="120" spans="2:59" ht="43.5" customHeight="1" thickBot="1" x14ac:dyDescent="0.4">
      <c r="B120" s="95">
        <v>705</v>
      </c>
      <c r="C120" s="81">
        <v>1</v>
      </c>
      <c r="D120" s="82">
        <v>1</v>
      </c>
      <c r="E120" s="82">
        <v>1</v>
      </c>
      <c r="F120" s="83">
        <v>1</v>
      </c>
      <c r="G120" s="133">
        <f t="shared" si="60"/>
        <v>1</v>
      </c>
      <c r="H120" s="88">
        <v>1</v>
      </c>
      <c r="I120" s="86">
        <v>1</v>
      </c>
      <c r="J120" s="82">
        <v>1</v>
      </c>
      <c r="K120" s="89">
        <v>1</v>
      </c>
      <c r="L120" s="90">
        <f t="shared" si="61"/>
        <v>1</v>
      </c>
      <c r="M120" s="85">
        <v>1</v>
      </c>
      <c r="N120" s="86">
        <v>1</v>
      </c>
      <c r="O120" s="82">
        <v>0.95</v>
      </c>
      <c r="P120" s="87">
        <v>1</v>
      </c>
      <c r="Q120" s="88">
        <v>1</v>
      </c>
      <c r="R120" s="86">
        <v>1</v>
      </c>
      <c r="S120" s="82">
        <v>1</v>
      </c>
      <c r="T120" s="89">
        <v>1</v>
      </c>
      <c r="U120" s="88">
        <v>1</v>
      </c>
      <c r="V120" s="86">
        <v>1</v>
      </c>
      <c r="W120" s="82">
        <v>1</v>
      </c>
      <c r="X120" s="89">
        <v>1</v>
      </c>
      <c r="Y120" s="90">
        <f t="shared" si="62"/>
        <v>0.99750000000000005</v>
      </c>
      <c r="Z120" s="88">
        <v>0</v>
      </c>
      <c r="AA120" s="86">
        <v>0</v>
      </c>
      <c r="AB120" s="82">
        <v>0</v>
      </c>
      <c r="AC120" s="89">
        <v>0</v>
      </c>
      <c r="AD120" s="90">
        <f t="shared" si="63"/>
        <v>0</v>
      </c>
      <c r="AE120" s="88">
        <v>0.9</v>
      </c>
      <c r="AF120" s="86">
        <v>0.7</v>
      </c>
      <c r="AG120" s="82">
        <v>0.7</v>
      </c>
      <c r="AH120" s="87">
        <v>0</v>
      </c>
      <c r="AI120" s="84">
        <f t="shared" si="69"/>
        <v>0.5</v>
      </c>
      <c r="AJ120" s="87">
        <v>1</v>
      </c>
      <c r="AK120" s="87">
        <v>1</v>
      </c>
      <c r="AL120" s="87"/>
      <c r="AM120" s="85">
        <v>0.3</v>
      </c>
      <c r="AN120" s="85">
        <v>0.3</v>
      </c>
      <c r="AO120" s="85">
        <v>0.3</v>
      </c>
      <c r="AP120" s="85">
        <v>0.3</v>
      </c>
      <c r="AQ120" s="84">
        <f t="shared" si="64"/>
        <v>0.3</v>
      </c>
      <c r="AR120" s="88">
        <v>0</v>
      </c>
      <c r="AS120" s="88">
        <v>0</v>
      </c>
      <c r="AT120" s="88">
        <v>0</v>
      </c>
      <c r="AU120" s="88">
        <v>0</v>
      </c>
      <c r="AV120" s="84">
        <f t="shared" si="65"/>
        <v>0</v>
      </c>
      <c r="AW120" s="88">
        <v>0</v>
      </c>
      <c r="AX120" s="88">
        <v>0</v>
      </c>
      <c r="AY120" s="88">
        <v>0</v>
      </c>
      <c r="AZ120" s="84">
        <f t="shared" si="66"/>
        <v>0</v>
      </c>
      <c r="BA120" s="88">
        <v>0</v>
      </c>
      <c r="BB120" s="88">
        <v>0</v>
      </c>
      <c r="BC120" s="153">
        <v>0</v>
      </c>
      <c r="BD120" s="84">
        <f t="shared" si="67"/>
        <v>0</v>
      </c>
      <c r="BE120" s="135"/>
      <c r="BF120" s="92" t="e">
        <f t="shared" si="68"/>
        <v>#DIV/0!</v>
      </c>
      <c r="BG120" s="103"/>
    </row>
    <row r="121" spans="2:59" ht="43.5" customHeight="1" thickBot="1" x14ac:dyDescent="0.4">
      <c r="B121" s="80">
        <v>706</v>
      </c>
      <c r="C121" s="81">
        <v>1</v>
      </c>
      <c r="D121" s="82">
        <v>1</v>
      </c>
      <c r="E121" s="82">
        <v>1</v>
      </c>
      <c r="F121" s="83">
        <v>1</v>
      </c>
      <c r="G121" s="133">
        <f t="shared" si="60"/>
        <v>1</v>
      </c>
      <c r="H121" s="88">
        <v>1</v>
      </c>
      <c r="I121" s="86">
        <v>1</v>
      </c>
      <c r="J121" s="82">
        <v>1</v>
      </c>
      <c r="K121" s="89">
        <v>1</v>
      </c>
      <c r="L121" s="90">
        <f t="shared" si="61"/>
        <v>1</v>
      </c>
      <c r="M121" s="85">
        <v>0.5</v>
      </c>
      <c r="N121" s="86">
        <v>1</v>
      </c>
      <c r="O121" s="82">
        <v>0.95</v>
      </c>
      <c r="P121" s="87">
        <v>0.5</v>
      </c>
      <c r="Q121" s="88">
        <v>1</v>
      </c>
      <c r="R121" s="86">
        <v>1</v>
      </c>
      <c r="S121" s="82">
        <v>1</v>
      </c>
      <c r="T121" s="89">
        <v>1</v>
      </c>
      <c r="U121" s="88">
        <v>1</v>
      </c>
      <c r="V121" s="86">
        <v>1</v>
      </c>
      <c r="W121" s="82">
        <v>1</v>
      </c>
      <c r="X121" s="89">
        <v>1</v>
      </c>
      <c r="Y121" s="90">
        <f t="shared" si="62"/>
        <v>0.89750000000000019</v>
      </c>
      <c r="Z121" s="88">
        <v>0.1</v>
      </c>
      <c r="AA121" s="86">
        <v>0.1</v>
      </c>
      <c r="AB121" s="82">
        <v>0.1</v>
      </c>
      <c r="AC121" s="89">
        <v>0.1</v>
      </c>
      <c r="AD121" s="90">
        <f t="shared" si="63"/>
        <v>0.10000000000000002</v>
      </c>
      <c r="AE121" s="88">
        <v>0.7</v>
      </c>
      <c r="AF121" s="86">
        <v>0.7</v>
      </c>
      <c r="AG121" s="82">
        <v>0.7</v>
      </c>
      <c r="AH121" s="87">
        <v>0</v>
      </c>
      <c r="AI121" s="84">
        <f t="shared" si="69"/>
        <v>0.49</v>
      </c>
      <c r="AJ121" s="87">
        <v>0</v>
      </c>
      <c r="AK121" s="87">
        <v>1</v>
      </c>
      <c r="AL121" s="87"/>
      <c r="AM121" s="85">
        <v>0.3</v>
      </c>
      <c r="AN121" s="85">
        <v>0.3</v>
      </c>
      <c r="AO121" s="85">
        <v>0.3</v>
      </c>
      <c r="AP121" s="85">
        <v>0.3</v>
      </c>
      <c r="AQ121" s="84">
        <f t="shared" si="64"/>
        <v>0.3</v>
      </c>
      <c r="AR121" s="88">
        <v>0</v>
      </c>
      <c r="AS121" s="88">
        <v>0</v>
      </c>
      <c r="AT121" s="88">
        <v>0</v>
      </c>
      <c r="AU121" s="88">
        <v>0</v>
      </c>
      <c r="AV121" s="84">
        <f t="shared" si="65"/>
        <v>0</v>
      </c>
      <c r="AW121" s="88">
        <v>0</v>
      </c>
      <c r="AX121" s="88">
        <v>0</v>
      </c>
      <c r="AY121" s="88">
        <v>0</v>
      </c>
      <c r="AZ121" s="84">
        <f t="shared" si="66"/>
        <v>0</v>
      </c>
      <c r="BA121" s="88">
        <v>0</v>
      </c>
      <c r="BB121" s="88">
        <v>0</v>
      </c>
      <c r="BC121" s="153">
        <v>0</v>
      </c>
      <c r="BD121" s="84">
        <f t="shared" si="67"/>
        <v>0</v>
      </c>
      <c r="BE121" s="135"/>
      <c r="BF121" s="92" t="e">
        <f t="shared" si="68"/>
        <v>#DIV/0!</v>
      </c>
      <c r="BG121" s="104"/>
    </row>
    <row r="122" spans="2:59" ht="43.5" customHeight="1" thickBot="1" x14ac:dyDescent="0.4">
      <c r="B122" s="80">
        <v>707</v>
      </c>
      <c r="C122" s="81">
        <v>1</v>
      </c>
      <c r="D122" s="82">
        <v>1</v>
      </c>
      <c r="E122" s="82">
        <v>1</v>
      </c>
      <c r="F122" s="83">
        <v>1</v>
      </c>
      <c r="G122" s="133">
        <f t="shared" si="60"/>
        <v>1</v>
      </c>
      <c r="H122" s="88">
        <v>1</v>
      </c>
      <c r="I122" s="86">
        <v>1</v>
      </c>
      <c r="J122" s="82">
        <v>1</v>
      </c>
      <c r="K122" s="89">
        <v>1</v>
      </c>
      <c r="L122" s="90">
        <f t="shared" si="61"/>
        <v>1</v>
      </c>
      <c r="M122" s="85">
        <v>1</v>
      </c>
      <c r="N122" s="86">
        <v>1</v>
      </c>
      <c r="O122" s="82">
        <v>0.95</v>
      </c>
      <c r="P122" s="87">
        <v>1</v>
      </c>
      <c r="Q122" s="88">
        <v>1</v>
      </c>
      <c r="R122" s="86">
        <v>1</v>
      </c>
      <c r="S122" s="82">
        <v>1</v>
      </c>
      <c r="T122" s="89">
        <v>1</v>
      </c>
      <c r="U122" s="88">
        <v>1</v>
      </c>
      <c r="V122" s="86">
        <v>1</v>
      </c>
      <c r="W122" s="82">
        <v>1</v>
      </c>
      <c r="X122" s="89">
        <v>1</v>
      </c>
      <c r="Y122" s="90">
        <f t="shared" si="62"/>
        <v>0.99750000000000005</v>
      </c>
      <c r="Z122" s="88">
        <v>0</v>
      </c>
      <c r="AA122" s="86">
        <v>0</v>
      </c>
      <c r="AB122" s="82">
        <v>0</v>
      </c>
      <c r="AC122" s="89">
        <v>0</v>
      </c>
      <c r="AD122" s="90">
        <f t="shared" si="63"/>
        <v>0</v>
      </c>
      <c r="AE122" s="88">
        <v>0.9</v>
      </c>
      <c r="AF122" s="86">
        <v>0.7</v>
      </c>
      <c r="AG122" s="82">
        <v>0.7</v>
      </c>
      <c r="AH122" s="87">
        <v>0.7</v>
      </c>
      <c r="AI122" s="84">
        <f t="shared" si="69"/>
        <v>0.71</v>
      </c>
      <c r="AJ122" s="87">
        <v>1</v>
      </c>
      <c r="AK122" s="87">
        <v>1</v>
      </c>
      <c r="AL122" s="87"/>
      <c r="AM122" s="85">
        <v>0.3</v>
      </c>
      <c r="AN122" s="85">
        <v>0.3</v>
      </c>
      <c r="AO122" s="85">
        <v>0.3</v>
      </c>
      <c r="AP122" s="85">
        <v>0.3</v>
      </c>
      <c r="AQ122" s="84">
        <f t="shared" si="64"/>
        <v>0.3</v>
      </c>
      <c r="AR122" s="88">
        <v>0</v>
      </c>
      <c r="AS122" s="88">
        <v>0</v>
      </c>
      <c r="AT122" s="88">
        <v>0</v>
      </c>
      <c r="AU122" s="88">
        <v>0</v>
      </c>
      <c r="AV122" s="84">
        <f t="shared" si="65"/>
        <v>0</v>
      </c>
      <c r="AW122" s="88">
        <v>0</v>
      </c>
      <c r="AX122" s="88">
        <v>0</v>
      </c>
      <c r="AY122" s="88">
        <v>0</v>
      </c>
      <c r="AZ122" s="84">
        <f t="shared" si="66"/>
        <v>0</v>
      </c>
      <c r="BA122" s="88">
        <v>0</v>
      </c>
      <c r="BB122" s="88">
        <v>0</v>
      </c>
      <c r="BC122" s="153">
        <v>0</v>
      </c>
      <c r="BD122" s="84">
        <f t="shared" si="67"/>
        <v>0</v>
      </c>
      <c r="BE122" s="135"/>
      <c r="BF122" s="92" t="e">
        <f t="shared" si="68"/>
        <v>#DIV/0!</v>
      </c>
      <c r="BG122" s="103"/>
    </row>
    <row r="123" spans="2:59" ht="43.5" customHeight="1" thickBot="1" x14ac:dyDescent="0.4">
      <c r="B123" s="95">
        <v>708</v>
      </c>
      <c r="C123" s="81">
        <v>1</v>
      </c>
      <c r="D123" s="82">
        <v>1</v>
      </c>
      <c r="E123" s="82">
        <v>1</v>
      </c>
      <c r="F123" s="83">
        <v>1</v>
      </c>
      <c r="G123" s="133">
        <f t="shared" si="60"/>
        <v>1</v>
      </c>
      <c r="H123" s="88">
        <v>1</v>
      </c>
      <c r="I123" s="86">
        <v>1</v>
      </c>
      <c r="J123" s="82">
        <v>1</v>
      </c>
      <c r="K123" s="89">
        <v>1</v>
      </c>
      <c r="L123" s="90">
        <f t="shared" si="61"/>
        <v>1</v>
      </c>
      <c r="M123" s="85">
        <v>1</v>
      </c>
      <c r="N123" s="86">
        <v>1</v>
      </c>
      <c r="O123" s="82">
        <v>0.95</v>
      </c>
      <c r="P123" s="87">
        <v>1</v>
      </c>
      <c r="Q123" s="88">
        <v>1</v>
      </c>
      <c r="R123" s="86">
        <v>1</v>
      </c>
      <c r="S123" s="82">
        <v>1</v>
      </c>
      <c r="T123" s="89">
        <v>1</v>
      </c>
      <c r="U123" s="88">
        <v>1</v>
      </c>
      <c r="V123" s="86">
        <v>1</v>
      </c>
      <c r="W123" s="82">
        <v>1</v>
      </c>
      <c r="X123" s="89">
        <v>1</v>
      </c>
      <c r="Y123" s="90">
        <f t="shared" si="62"/>
        <v>0.99750000000000005</v>
      </c>
      <c r="Z123" s="88">
        <v>0</v>
      </c>
      <c r="AA123" s="86">
        <v>0.1</v>
      </c>
      <c r="AB123" s="82">
        <v>0.1</v>
      </c>
      <c r="AC123" s="89">
        <v>0.1</v>
      </c>
      <c r="AD123" s="90">
        <f t="shared" si="63"/>
        <v>5.5000000000000007E-2</v>
      </c>
      <c r="AE123" s="88">
        <v>1</v>
      </c>
      <c r="AF123" s="86">
        <v>1</v>
      </c>
      <c r="AG123" s="82">
        <v>1</v>
      </c>
      <c r="AH123" s="87">
        <v>0.7</v>
      </c>
      <c r="AI123" s="84">
        <f t="shared" si="69"/>
        <v>0.90999999999999992</v>
      </c>
      <c r="AJ123" s="87">
        <v>1</v>
      </c>
      <c r="AK123" s="87">
        <v>1</v>
      </c>
      <c r="AL123" s="87"/>
      <c r="AM123" s="85">
        <v>0.3</v>
      </c>
      <c r="AN123" s="85">
        <v>0.3</v>
      </c>
      <c r="AO123" s="85">
        <v>0.3</v>
      </c>
      <c r="AP123" s="85">
        <v>0.3</v>
      </c>
      <c r="AQ123" s="84">
        <f t="shared" si="64"/>
        <v>0.3</v>
      </c>
      <c r="AR123" s="88">
        <v>0</v>
      </c>
      <c r="AS123" s="88">
        <v>0</v>
      </c>
      <c r="AT123" s="88">
        <v>0</v>
      </c>
      <c r="AU123" s="88">
        <v>0</v>
      </c>
      <c r="AV123" s="84">
        <f t="shared" si="65"/>
        <v>0</v>
      </c>
      <c r="AW123" s="88">
        <v>0</v>
      </c>
      <c r="AX123" s="88">
        <v>0</v>
      </c>
      <c r="AY123" s="88">
        <v>0</v>
      </c>
      <c r="AZ123" s="84">
        <f t="shared" si="66"/>
        <v>0</v>
      </c>
      <c r="BA123" s="88">
        <v>0</v>
      </c>
      <c r="BB123" s="88">
        <v>0</v>
      </c>
      <c r="BC123" s="153">
        <v>0</v>
      </c>
      <c r="BD123" s="84">
        <f t="shared" si="67"/>
        <v>0</v>
      </c>
      <c r="BE123" s="135"/>
      <c r="BF123" s="92" t="e">
        <f t="shared" si="68"/>
        <v>#DIV/0!</v>
      </c>
      <c r="BG123" s="104"/>
    </row>
    <row r="124" spans="2:59" ht="43.5" customHeight="1" thickBot="1" x14ac:dyDescent="0.4">
      <c r="B124" s="80">
        <v>709</v>
      </c>
      <c r="C124" s="81">
        <v>1</v>
      </c>
      <c r="D124" s="82">
        <v>1</v>
      </c>
      <c r="E124" s="82">
        <v>1</v>
      </c>
      <c r="F124" s="83">
        <v>1</v>
      </c>
      <c r="G124" s="133">
        <f t="shared" si="60"/>
        <v>1</v>
      </c>
      <c r="H124" s="88">
        <v>1</v>
      </c>
      <c r="I124" s="86">
        <v>1</v>
      </c>
      <c r="J124" s="82">
        <v>1</v>
      </c>
      <c r="K124" s="89">
        <v>1</v>
      </c>
      <c r="L124" s="90">
        <f t="shared" si="61"/>
        <v>1</v>
      </c>
      <c r="M124" s="85">
        <v>1</v>
      </c>
      <c r="N124" s="86">
        <v>1</v>
      </c>
      <c r="O124" s="82">
        <v>0.95</v>
      </c>
      <c r="P124" s="87">
        <v>1</v>
      </c>
      <c r="Q124" s="88">
        <v>1</v>
      </c>
      <c r="R124" s="86">
        <v>1</v>
      </c>
      <c r="S124" s="82">
        <v>1</v>
      </c>
      <c r="T124" s="89">
        <v>1</v>
      </c>
      <c r="U124" s="88">
        <v>1</v>
      </c>
      <c r="V124" s="86">
        <v>1</v>
      </c>
      <c r="W124" s="82">
        <v>1</v>
      </c>
      <c r="X124" s="89">
        <v>1</v>
      </c>
      <c r="Y124" s="90">
        <f t="shared" si="62"/>
        <v>0.99750000000000005</v>
      </c>
      <c r="Z124" s="88">
        <v>0</v>
      </c>
      <c r="AA124" s="86">
        <v>0</v>
      </c>
      <c r="AB124" s="82">
        <v>0</v>
      </c>
      <c r="AC124" s="89">
        <v>0</v>
      </c>
      <c r="AD124" s="90">
        <f t="shared" si="63"/>
        <v>0</v>
      </c>
      <c r="AE124" s="88">
        <v>1</v>
      </c>
      <c r="AF124" s="86">
        <v>0.7</v>
      </c>
      <c r="AG124" s="82">
        <v>0.7</v>
      </c>
      <c r="AH124" s="87">
        <v>0.7</v>
      </c>
      <c r="AI124" s="84">
        <f t="shared" si="69"/>
        <v>0.71499999999999997</v>
      </c>
      <c r="AJ124" s="87">
        <v>1</v>
      </c>
      <c r="AK124" s="87">
        <v>1</v>
      </c>
      <c r="AL124" s="87"/>
      <c r="AM124" s="85">
        <v>0.3</v>
      </c>
      <c r="AN124" s="85">
        <v>0.3</v>
      </c>
      <c r="AO124" s="85">
        <v>0.3</v>
      </c>
      <c r="AP124" s="85">
        <v>0.3</v>
      </c>
      <c r="AQ124" s="84">
        <f t="shared" si="64"/>
        <v>0.3</v>
      </c>
      <c r="AR124" s="88">
        <v>0</v>
      </c>
      <c r="AS124" s="88">
        <v>0</v>
      </c>
      <c r="AT124" s="88">
        <v>0</v>
      </c>
      <c r="AU124" s="88">
        <v>0</v>
      </c>
      <c r="AV124" s="84">
        <f t="shared" si="65"/>
        <v>0</v>
      </c>
      <c r="AW124" s="88">
        <v>0</v>
      </c>
      <c r="AX124" s="88">
        <v>0</v>
      </c>
      <c r="AY124" s="88">
        <v>0</v>
      </c>
      <c r="AZ124" s="84">
        <f t="shared" si="66"/>
        <v>0</v>
      </c>
      <c r="BA124" s="88">
        <v>0</v>
      </c>
      <c r="BB124" s="88">
        <v>0</v>
      </c>
      <c r="BC124" s="153">
        <v>0</v>
      </c>
      <c r="BD124" s="84">
        <f t="shared" si="67"/>
        <v>0</v>
      </c>
      <c r="BE124" s="135"/>
      <c r="BF124" s="92" t="e">
        <f t="shared" si="68"/>
        <v>#DIV/0!</v>
      </c>
      <c r="BG124" s="103"/>
    </row>
    <row r="125" spans="2:59" ht="43.5" customHeight="1" thickBot="1" x14ac:dyDescent="0.4">
      <c r="B125" s="80">
        <v>710</v>
      </c>
      <c r="C125" s="81">
        <v>1</v>
      </c>
      <c r="D125" s="82">
        <v>1</v>
      </c>
      <c r="E125" s="82">
        <v>1</v>
      </c>
      <c r="F125" s="83">
        <v>1</v>
      </c>
      <c r="G125" s="133">
        <f t="shared" si="60"/>
        <v>1</v>
      </c>
      <c r="H125" s="88">
        <v>1</v>
      </c>
      <c r="I125" s="86">
        <v>1</v>
      </c>
      <c r="J125" s="82">
        <v>1</v>
      </c>
      <c r="K125" s="89">
        <v>1</v>
      </c>
      <c r="L125" s="90">
        <f t="shared" si="61"/>
        <v>1</v>
      </c>
      <c r="M125" s="85">
        <v>1</v>
      </c>
      <c r="N125" s="86">
        <v>1</v>
      </c>
      <c r="O125" s="82">
        <v>0.95</v>
      </c>
      <c r="P125" s="87">
        <v>1</v>
      </c>
      <c r="Q125" s="88">
        <v>1</v>
      </c>
      <c r="R125" s="86">
        <v>1</v>
      </c>
      <c r="S125" s="82">
        <v>1</v>
      </c>
      <c r="T125" s="89">
        <v>1</v>
      </c>
      <c r="U125" s="88">
        <v>1</v>
      </c>
      <c r="V125" s="86">
        <v>1</v>
      </c>
      <c r="W125" s="82">
        <v>1</v>
      </c>
      <c r="X125" s="89">
        <v>1</v>
      </c>
      <c r="Y125" s="90">
        <f t="shared" si="62"/>
        <v>0.99750000000000005</v>
      </c>
      <c r="Z125" s="88">
        <v>0</v>
      </c>
      <c r="AA125" s="86">
        <v>0</v>
      </c>
      <c r="AB125" s="82">
        <v>0</v>
      </c>
      <c r="AC125" s="89">
        <v>0</v>
      </c>
      <c r="AD125" s="90">
        <f t="shared" si="63"/>
        <v>0</v>
      </c>
      <c r="AE125" s="88">
        <v>0.9</v>
      </c>
      <c r="AF125" s="86">
        <v>1</v>
      </c>
      <c r="AG125" s="82">
        <v>1</v>
      </c>
      <c r="AH125" s="87">
        <v>1</v>
      </c>
      <c r="AI125" s="84">
        <f t="shared" si="69"/>
        <v>0.99499999999999988</v>
      </c>
      <c r="AJ125" s="87">
        <v>1</v>
      </c>
      <c r="AK125" s="87">
        <v>1</v>
      </c>
      <c r="AL125" s="87"/>
      <c r="AM125" s="85">
        <v>0.3</v>
      </c>
      <c r="AN125" s="85">
        <v>0.3</v>
      </c>
      <c r="AO125" s="85">
        <v>0.3</v>
      </c>
      <c r="AP125" s="85">
        <v>0.3</v>
      </c>
      <c r="AQ125" s="84">
        <f t="shared" si="64"/>
        <v>0.3</v>
      </c>
      <c r="AR125" s="88">
        <v>0</v>
      </c>
      <c r="AS125" s="88">
        <v>0</v>
      </c>
      <c r="AT125" s="88">
        <v>0</v>
      </c>
      <c r="AU125" s="88">
        <v>0</v>
      </c>
      <c r="AV125" s="84">
        <f t="shared" si="65"/>
        <v>0</v>
      </c>
      <c r="AW125" s="88">
        <v>0</v>
      </c>
      <c r="AX125" s="88">
        <v>0</v>
      </c>
      <c r="AY125" s="88">
        <v>0</v>
      </c>
      <c r="AZ125" s="84">
        <f t="shared" si="66"/>
        <v>0</v>
      </c>
      <c r="BA125" s="88">
        <v>0</v>
      </c>
      <c r="BB125" s="88">
        <v>0</v>
      </c>
      <c r="BC125" s="153">
        <v>0</v>
      </c>
      <c r="BD125" s="84">
        <f t="shared" si="67"/>
        <v>0</v>
      </c>
      <c r="BE125" s="135"/>
      <c r="BF125" s="92" t="e">
        <f t="shared" si="68"/>
        <v>#DIV/0!</v>
      </c>
      <c r="BG125" s="103"/>
    </row>
    <row r="126" spans="2:59" ht="43.5" customHeight="1" thickBot="1" x14ac:dyDescent="0.35">
      <c r="B126" s="95">
        <v>711</v>
      </c>
      <c r="C126" s="81">
        <v>1</v>
      </c>
      <c r="D126" s="82">
        <v>1</v>
      </c>
      <c r="E126" s="82">
        <v>1</v>
      </c>
      <c r="F126" s="83">
        <v>1</v>
      </c>
      <c r="G126" s="133">
        <f t="shared" si="60"/>
        <v>1</v>
      </c>
      <c r="H126" s="88">
        <v>1</v>
      </c>
      <c r="I126" s="86">
        <v>1</v>
      </c>
      <c r="J126" s="82">
        <v>1</v>
      </c>
      <c r="K126" s="89">
        <v>1</v>
      </c>
      <c r="L126" s="90">
        <f t="shared" si="61"/>
        <v>1</v>
      </c>
      <c r="M126" s="85">
        <v>1</v>
      </c>
      <c r="N126" s="86">
        <v>1</v>
      </c>
      <c r="O126" s="82">
        <v>0.95</v>
      </c>
      <c r="P126" s="87">
        <v>1</v>
      </c>
      <c r="Q126" s="88">
        <v>1</v>
      </c>
      <c r="R126" s="86">
        <v>1</v>
      </c>
      <c r="S126" s="82">
        <v>1</v>
      </c>
      <c r="T126" s="89">
        <v>1</v>
      </c>
      <c r="U126" s="88">
        <v>1</v>
      </c>
      <c r="V126" s="86">
        <v>1</v>
      </c>
      <c r="W126" s="82">
        <v>1</v>
      </c>
      <c r="X126" s="89">
        <v>1</v>
      </c>
      <c r="Y126" s="90">
        <f t="shared" si="62"/>
        <v>0.99750000000000005</v>
      </c>
      <c r="Z126" s="88">
        <v>0</v>
      </c>
      <c r="AA126" s="86">
        <v>0</v>
      </c>
      <c r="AB126" s="82">
        <v>0</v>
      </c>
      <c r="AC126" s="89">
        <v>0</v>
      </c>
      <c r="AD126" s="90">
        <f t="shared" si="63"/>
        <v>0</v>
      </c>
      <c r="AE126" s="88">
        <v>0.9</v>
      </c>
      <c r="AF126" s="86">
        <v>0</v>
      </c>
      <c r="AG126" s="82">
        <v>0.7</v>
      </c>
      <c r="AH126" s="87">
        <v>0</v>
      </c>
      <c r="AI126" s="84">
        <f t="shared" si="69"/>
        <v>0.28999999999999998</v>
      </c>
      <c r="AJ126" s="87">
        <v>1</v>
      </c>
      <c r="AK126" s="87">
        <v>1</v>
      </c>
      <c r="AL126" s="87"/>
      <c r="AM126" s="85">
        <v>0.3</v>
      </c>
      <c r="AN126" s="85">
        <v>0.3</v>
      </c>
      <c r="AO126" s="85">
        <v>0.3</v>
      </c>
      <c r="AP126" s="85">
        <v>0.3</v>
      </c>
      <c r="AQ126" s="84">
        <f t="shared" si="64"/>
        <v>0.3</v>
      </c>
      <c r="AR126" s="88">
        <v>0</v>
      </c>
      <c r="AS126" s="88">
        <v>0</v>
      </c>
      <c r="AT126" s="88">
        <v>0</v>
      </c>
      <c r="AU126" s="88">
        <v>0</v>
      </c>
      <c r="AV126" s="84">
        <f t="shared" si="65"/>
        <v>0</v>
      </c>
      <c r="AW126" s="88">
        <v>0</v>
      </c>
      <c r="AX126" s="88">
        <v>0</v>
      </c>
      <c r="AY126" s="88">
        <v>0</v>
      </c>
      <c r="AZ126" s="84">
        <f t="shared" si="66"/>
        <v>0</v>
      </c>
      <c r="BA126" s="88">
        <v>0</v>
      </c>
      <c r="BB126" s="88">
        <v>0</v>
      </c>
      <c r="BC126" s="153">
        <v>0</v>
      </c>
      <c r="BD126" s="84">
        <f t="shared" si="67"/>
        <v>0</v>
      </c>
      <c r="BE126" s="135"/>
      <c r="BF126" s="92" t="e">
        <f t="shared" si="68"/>
        <v>#DIV/0!</v>
      </c>
      <c r="BG126" s="102"/>
    </row>
    <row r="127" spans="2:59" ht="43.5" customHeight="1" thickBot="1" x14ac:dyDescent="0.35">
      <c r="B127" s="80">
        <v>712</v>
      </c>
      <c r="C127" s="81">
        <v>1</v>
      </c>
      <c r="D127" s="82">
        <v>1</v>
      </c>
      <c r="E127" s="82">
        <v>1</v>
      </c>
      <c r="F127" s="83">
        <v>1</v>
      </c>
      <c r="G127" s="133">
        <f t="shared" si="60"/>
        <v>1</v>
      </c>
      <c r="H127" s="88">
        <v>1</v>
      </c>
      <c r="I127" s="86">
        <v>1</v>
      </c>
      <c r="J127" s="82">
        <v>1</v>
      </c>
      <c r="K127" s="89">
        <v>1</v>
      </c>
      <c r="L127" s="90">
        <f t="shared" si="61"/>
        <v>1</v>
      </c>
      <c r="M127" s="85">
        <v>1</v>
      </c>
      <c r="N127" s="86">
        <v>1</v>
      </c>
      <c r="O127" s="82">
        <v>0.95</v>
      </c>
      <c r="P127" s="87">
        <v>1</v>
      </c>
      <c r="Q127" s="88">
        <v>1</v>
      </c>
      <c r="R127" s="86">
        <v>1</v>
      </c>
      <c r="S127" s="82">
        <v>1</v>
      </c>
      <c r="T127" s="89">
        <v>1</v>
      </c>
      <c r="U127" s="88">
        <v>1</v>
      </c>
      <c r="V127" s="86">
        <v>1</v>
      </c>
      <c r="W127" s="82">
        <v>1</v>
      </c>
      <c r="X127" s="89">
        <v>1</v>
      </c>
      <c r="Y127" s="90">
        <f t="shared" si="62"/>
        <v>0.99750000000000005</v>
      </c>
      <c r="Z127" s="88">
        <v>0</v>
      </c>
      <c r="AA127" s="86">
        <v>0</v>
      </c>
      <c r="AB127" s="82">
        <v>0</v>
      </c>
      <c r="AC127" s="89">
        <v>0</v>
      </c>
      <c r="AD127" s="90">
        <f t="shared" si="63"/>
        <v>0</v>
      </c>
      <c r="AE127" s="88">
        <v>0.9</v>
      </c>
      <c r="AF127" s="86">
        <v>1</v>
      </c>
      <c r="AG127" s="82">
        <v>0.7</v>
      </c>
      <c r="AH127" s="87">
        <v>1</v>
      </c>
      <c r="AI127" s="84">
        <f t="shared" si="69"/>
        <v>0.8899999999999999</v>
      </c>
      <c r="AJ127" s="87">
        <v>1</v>
      </c>
      <c r="AK127" s="87">
        <v>1</v>
      </c>
      <c r="AL127" s="87"/>
      <c r="AM127" s="85">
        <v>0.3</v>
      </c>
      <c r="AN127" s="85">
        <v>0.3</v>
      </c>
      <c r="AO127" s="85">
        <v>0.3</v>
      </c>
      <c r="AP127" s="85">
        <v>0.3</v>
      </c>
      <c r="AQ127" s="84">
        <f t="shared" si="64"/>
        <v>0.3</v>
      </c>
      <c r="AR127" s="88">
        <v>0</v>
      </c>
      <c r="AS127" s="88">
        <v>0</v>
      </c>
      <c r="AT127" s="88">
        <v>0</v>
      </c>
      <c r="AU127" s="88">
        <v>0</v>
      </c>
      <c r="AV127" s="84">
        <f t="shared" si="65"/>
        <v>0</v>
      </c>
      <c r="AW127" s="88">
        <v>0</v>
      </c>
      <c r="AX127" s="88">
        <v>0</v>
      </c>
      <c r="AY127" s="88">
        <v>0</v>
      </c>
      <c r="AZ127" s="84">
        <f t="shared" si="66"/>
        <v>0</v>
      </c>
      <c r="BA127" s="88">
        <v>0</v>
      </c>
      <c r="BB127" s="88">
        <v>0</v>
      </c>
      <c r="BC127" s="153">
        <v>0</v>
      </c>
      <c r="BD127" s="84">
        <f t="shared" si="67"/>
        <v>0</v>
      </c>
      <c r="BE127" s="135"/>
      <c r="BF127" s="92" t="e">
        <f t="shared" si="68"/>
        <v>#DIV/0!</v>
      </c>
      <c r="BG127" s="102"/>
    </row>
    <row r="128" spans="2:59" ht="43.5" customHeight="1" thickBot="1" x14ac:dyDescent="0.35">
      <c r="B128" s="80">
        <v>713</v>
      </c>
      <c r="C128" s="81">
        <v>1</v>
      </c>
      <c r="D128" s="82">
        <v>1</v>
      </c>
      <c r="E128" s="82">
        <v>1</v>
      </c>
      <c r="F128" s="83">
        <v>1</v>
      </c>
      <c r="G128" s="133">
        <f t="shared" si="60"/>
        <v>1</v>
      </c>
      <c r="H128" s="88">
        <v>1</v>
      </c>
      <c r="I128" s="86">
        <v>1</v>
      </c>
      <c r="J128" s="82">
        <v>1</v>
      </c>
      <c r="K128" s="89">
        <v>1</v>
      </c>
      <c r="L128" s="90">
        <f t="shared" si="61"/>
        <v>1</v>
      </c>
      <c r="M128" s="85">
        <v>1</v>
      </c>
      <c r="N128" s="86">
        <v>1</v>
      </c>
      <c r="O128" s="82">
        <v>0.95</v>
      </c>
      <c r="P128" s="87">
        <v>1</v>
      </c>
      <c r="Q128" s="88">
        <v>1</v>
      </c>
      <c r="R128" s="86">
        <v>1</v>
      </c>
      <c r="S128" s="82">
        <v>1</v>
      </c>
      <c r="T128" s="89">
        <v>1</v>
      </c>
      <c r="U128" s="88">
        <v>1</v>
      </c>
      <c r="V128" s="86">
        <v>1</v>
      </c>
      <c r="W128" s="82">
        <v>1</v>
      </c>
      <c r="X128" s="89">
        <v>1</v>
      </c>
      <c r="Y128" s="90">
        <f t="shared" si="62"/>
        <v>0.99750000000000005</v>
      </c>
      <c r="Z128" s="88">
        <v>0</v>
      </c>
      <c r="AA128" s="86">
        <v>0</v>
      </c>
      <c r="AB128" s="82">
        <v>0</v>
      </c>
      <c r="AC128" s="89">
        <v>0</v>
      </c>
      <c r="AD128" s="90">
        <f t="shared" si="63"/>
        <v>0</v>
      </c>
      <c r="AE128" s="88">
        <v>0.7</v>
      </c>
      <c r="AF128" s="86">
        <v>0</v>
      </c>
      <c r="AG128" s="82">
        <v>0</v>
      </c>
      <c r="AH128" s="87">
        <v>0</v>
      </c>
      <c r="AI128" s="84">
        <f t="shared" si="69"/>
        <v>3.4999999999999996E-2</v>
      </c>
      <c r="AJ128" s="87">
        <v>1</v>
      </c>
      <c r="AK128" s="87">
        <v>1</v>
      </c>
      <c r="AL128" s="87"/>
      <c r="AM128" s="85">
        <v>0.3</v>
      </c>
      <c r="AN128" s="85">
        <v>0.3</v>
      </c>
      <c r="AO128" s="85">
        <v>0.3</v>
      </c>
      <c r="AP128" s="85">
        <v>0.3</v>
      </c>
      <c r="AQ128" s="84">
        <f t="shared" si="64"/>
        <v>0.3</v>
      </c>
      <c r="AR128" s="88">
        <v>0</v>
      </c>
      <c r="AS128" s="88">
        <v>0</v>
      </c>
      <c r="AT128" s="88">
        <v>0</v>
      </c>
      <c r="AU128" s="88">
        <v>0</v>
      </c>
      <c r="AV128" s="84">
        <f t="shared" si="65"/>
        <v>0</v>
      </c>
      <c r="AW128" s="88">
        <v>0</v>
      </c>
      <c r="AX128" s="88">
        <v>0</v>
      </c>
      <c r="AY128" s="88">
        <v>0</v>
      </c>
      <c r="AZ128" s="84">
        <f t="shared" si="66"/>
        <v>0</v>
      </c>
      <c r="BA128" s="88">
        <v>0</v>
      </c>
      <c r="BB128" s="88">
        <v>0</v>
      </c>
      <c r="BC128" s="153">
        <v>0</v>
      </c>
      <c r="BD128" s="84">
        <f t="shared" si="67"/>
        <v>0</v>
      </c>
      <c r="BE128" s="135"/>
      <c r="BF128" s="92" t="e">
        <f t="shared" si="68"/>
        <v>#DIV/0!</v>
      </c>
      <c r="BG128" s="105"/>
    </row>
    <row r="129" spans="2:59" ht="43.5" customHeight="1" thickBot="1" x14ac:dyDescent="0.4">
      <c r="B129" s="95">
        <v>714</v>
      </c>
      <c r="C129" s="81">
        <v>1</v>
      </c>
      <c r="D129" s="82">
        <v>1</v>
      </c>
      <c r="E129" s="82">
        <v>1</v>
      </c>
      <c r="F129" s="83">
        <v>1</v>
      </c>
      <c r="G129" s="133">
        <f t="shared" si="60"/>
        <v>1</v>
      </c>
      <c r="H129" s="88">
        <v>1</v>
      </c>
      <c r="I129" s="86">
        <v>1</v>
      </c>
      <c r="J129" s="82">
        <v>1</v>
      </c>
      <c r="K129" s="89">
        <v>1</v>
      </c>
      <c r="L129" s="90">
        <f t="shared" si="61"/>
        <v>1</v>
      </c>
      <c r="M129" s="85">
        <v>1</v>
      </c>
      <c r="N129" s="86">
        <v>1</v>
      </c>
      <c r="O129" s="82">
        <v>0.95</v>
      </c>
      <c r="P129" s="87">
        <v>1</v>
      </c>
      <c r="Q129" s="88">
        <v>1</v>
      </c>
      <c r="R129" s="86">
        <v>1</v>
      </c>
      <c r="S129" s="82">
        <v>1</v>
      </c>
      <c r="T129" s="89">
        <v>1</v>
      </c>
      <c r="U129" s="88">
        <v>1</v>
      </c>
      <c r="V129" s="86">
        <v>1</v>
      </c>
      <c r="W129" s="82">
        <v>1</v>
      </c>
      <c r="X129" s="89">
        <v>1</v>
      </c>
      <c r="Y129" s="90">
        <f t="shared" si="62"/>
        <v>0.99750000000000005</v>
      </c>
      <c r="Z129" s="88">
        <v>0</v>
      </c>
      <c r="AA129" s="86">
        <v>0</v>
      </c>
      <c r="AB129" s="82">
        <v>0</v>
      </c>
      <c r="AC129" s="89">
        <v>0</v>
      </c>
      <c r="AD129" s="90">
        <f t="shared" si="63"/>
        <v>0</v>
      </c>
      <c r="AE129" s="88">
        <v>0.8</v>
      </c>
      <c r="AF129" s="86">
        <v>1</v>
      </c>
      <c r="AG129" s="82">
        <v>1</v>
      </c>
      <c r="AH129" s="87">
        <v>1</v>
      </c>
      <c r="AI129" s="84">
        <f t="shared" si="69"/>
        <v>0.99</v>
      </c>
      <c r="AJ129" s="87">
        <v>1</v>
      </c>
      <c r="AK129" s="87">
        <v>1</v>
      </c>
      <c r="AL129" s="87"/>
      <c r="AM129" s="85">
        <v>0.3</v>
      </c>
      <c r="AN129" s="85">
        <v>0.3</v>
      </c>
      <c r="AO129" s="85">
        <v>0.3</v>
      </c>
      <c r="AP129" s="85">
        <v>0.3</v>
      </c>
      <c r="AQ129" s="84">
        <f t="shared" si="64"/>
        <v>0.3</v>
      </c>
      <c r="AR129" s="88">
        <v>0</v>
      </c>
      <c r="AS129" s="88">
        <v>0</v>
      </c>
      <c r="AT129" s="88">
        <v>0</v>
      </c>
      <c r="AU129" s="88">
        <v>0</v>
      </c>
      <c r="AV129" s="84">
        <f t="shared" si="65"/>
        <v>0</v>
      </c>
      <c r="AW129" s="88">
        <v>0</v>
      </c>
      <c r="AX129" s="88">
        <v>0</v>
      </c>
      <c r="AY129" s="88">
        <v>0</v>
      </c>
      <c r="AZ129" s="84">
        <f t="shared" si="66"/>
        <v>0</v>
      </c>
      <c r="BA129" s="88">
        <v>0</v>
      </c>
      <c r="BB129" s="88">
        <v>0</v>
      </c>
      <c r="BC129" s="153">
        <v>0</v>
      </c>
      <c r="BD129" s="84">
        <f t="shared" si="67"/>
        <v>0</v>
      </c>
      <c r="BE129" s="135"/>
      <c r="BF129" s="92" t="e">
        <f t="shared" si="68"/>
        <v>#DIV/0!</v>
      </c>
      <c r="BG129" s="103"/>
    </row>
    <row r="130" spans="2:59" ht="43.5" customHeight="1" thickBot="1" x14ac:dyDescent="0.4">
      <c r="B130" s="80">
        <v>715</v>
      </c>
      <c r="C130" s="81">
        <v>1</v>
      </c>
      <c r="D130" s="82">
        <v>1</v>
      </c>
      <c r="E130" s="82">
        <v>1</v>
      </c>
      <c r="F130" s="83">
        <v>1</v>
      </c>
      <c r="G130" s="133">
        <f t="shared" si="60"/>
        <v>1</v>
      </c>
      <c r="H130" s="88">
        <v>1</v>
      </c>
      <c r="I130" s="86">
        <v>1</v>
      </c>
      <c r="J130" s="82">
        <v>1</v>
      </c>
      <c r="K130" s="89">
        <v>1</v>
      </c>
      <c r="L130" s="90">
        <f t="shared" si="61"/>
        <v>1</v>
      </c>
      <c r="M130" s="85">
        <v>1</v>
      </c>
      <c r="N130" s="86">
        <v>1</v>
      </c>
      <c r="O130" s="82">
        <v>0.95</v>
      </c>
      <c r="P130" s="87">
        <v>1</v>
      </c>
      <c r="Q130" s="88">
        <v>1</v>
      </c>
      <c r="R130" s="86">
        <v>1</v>
      </c>
      <c r="S130" s="82">
        <v>1</v>
      </c>
      <c r="T130" s="89">
        <v>1</v>
      </c>
      <c r="U130" s="88">
        <v>1</v>
      </c>
      <c r="V130" s="86">
        <v>1</v>
      </c>
      <c r="W130" s="82">
        <v>1</v>
      </c>
      <c r="X130" s="89">
        <v>1</v>
      </c>
      <c r="Y130" s="90">
        <f t="shared" si="62"/>
        <v>0.99750000000000005</v>
      </c>
      <c r="Z130" s="88">
        <v>0</v>
      </c>
      <c r="AA130" s="86">
        <v>0</v>
      </c>
      <c r="AB130" s="82">
        <v>0</v>
      </c>
      <c r="AC130" s="89">
        <v>0</v>
      </c>
      <c r="AD130" s="90">
        <f t="shared" si="63"/>
        <v>0</v>
      </c>
      <c r="AE130" s="88">
        <v>0.7</v>
      </c>
      <c r="AF130" s="86">
        <v>0</v>
      </c>
      <c r="AG130" s="82">
        <v>0</v>
      </c>
      <c r="AH130" s="87">
        <v>0</v>
      </c>
      <c r="AI130" s="84">
        <f t="shared" si="69"/>
        <v>3.4999999999999996E-2</v>
      </c>
      <c r="AJ130" s="87">
        <v>1</v>
      </c>
      <c r="AK130" s="87">
        <v>1</v>
      </c>
      <c r="AL130" s="87"/>
      <c r="AM130" s="85">
        <v>0.3</v>
      </c>
      <c r="AN130" s="85">
        <v>0.3</v>
      </c>
      <c r="AO130" s="85">
        <v>0.3</v>
      </c>
      <c r="AP130" s="85">
        <v>0.3</v>
      </c>
      <c r="AQ130" s="84">
        <f t="shared" si="64"/>
        <v>0.3</v>
      </c>
      <c r="AR130" s="88">
        <v>0</v>
      </c>
      <c r="AS130" s="88">
        <v>0</v>
      </c>
      <c r="AT130" s="88">
        <v>0</v>
      </c>
      <c r="AU130" s="88">
        <v>0</v>
      </c>
      <c r="AV130" s="84">
        <f t="shared" si="65"/>
        <v>0</v>
      </c>
      <c r="AW130" s="88">
        <v>0</v>
      </c>
      <c r="AX130" s="88">
        <v>0</v>
      </c>
      <c r="AY130" s="88">
        <v>0</v>
      </c>
      <c r="AZ130" s="84">
        <f t="shared" si="66"/>
        <v>0</v>
      </c>
      <c r="BA130" s="88">
        <v>0</v>
      </c>
      <c r="BB130" s="88">
        <v>0</v>
      </c>
      <c r="BC130" s="153">
        <v>0</v>
      </c>
      <c r="BD130" s="84">
        <f t="shared" si="67"/>
        <v>0</v>
      </c>
      <c r="BE130" s="135"/>
      <c r="BF130" s="92" t="e">
        <f t="shared" si="68"/>
        <v>#DIV/0!</v>
      </c>
      <c r="BG130" s="103"/>
    </row>
    <row r="131" spans="2:59" ht="43.5" customHeight="1" thickBot="1" x14ac:dyDescent="0.4">
      <c r="B131" s="154">
        <v>716</v>
      </c>
      <c r="C131" s="137">
        <v>1</v>
      </c>
      <c r="D131" s="110">
        <v>1</v>
      </c>
      <c r="E131" s="110">
        <v>1</v>
      </c>
      <c r="F131" s="138">
        <v>1</v>
      </c>
      <c r="G131" s="133">
        <f t="shared" si="60"/>
        <v>1</v>
      </c>
      <c r="H131" s="108">
        <v>1</v>
      </c>
      <c r="I131" s="109">
        <v>1</v>
      </c>
      <c r="J131" s="110">
        <v>1</v>
      </c>
      <c r="K131" s="111">
        <v>1</v>
      </c>
      <c r="L131" s="90">
        <f t="shared" si="61"/>
        <v>1</v>
      </c>
      <c r="M131" s="112">
        <v>1</v>
      </c>
      <c r="N131" s="109">
        <v>1</v>
      </c>
      <c r="O131" s="110">
        <v>0.95</v>
      </c>
      <c r="P131" s="113">
        <v>1</v>
      </c>
      <c r="Q131" s="108">
        <v>1</v>
      </c>
      <c r="R131" s="109">
        <v>1</v>
      </c>
      <c r="S131" s="110">
        <v>1</v>
      </c>
      <c r="T131" s="111">
        <v>1</v>
      </c>
      <c r="U131" s="108">
        <v>1</v>
      </c>
      <c r="V131" s="109">
        <v>1</v>
      </c>
      <c r="W131" s="110">
        <v>1</v>
      </c>
      <c r="X131" s="111">
        <v>1</v>
      </c>
      <c r="Y131" s="90">
        <f t="shared" si="62"/>
        <v>0.99750000000000005</v>
      </c>
      <c r="Z131" s="108">
        <v>0</v>
      </c>
      <c r="AA131" s="109">
        <v>0</v>
      </c>
      <c r="AB131" s="110">
        <v>0</v>
      </c>
      <c r="AC131" s="111">
        <v>0</v>
      </c>
      <c r="AD131" s="90">
        <f t="shared" si="63"/>
        <v>0</v>
      </c>
      <c r="AE131" s="108">
        <v>0.7</v>
      </c>
      <c r="AF131" s="109">
        <v>0</v>
      </c>
      <c r="AG131" s="110">
        <v>0.5</v>
      </c>
      <c r="AH131" s="113">
        <v>1</v>
      </c>
      <c r="AI131" s="84">
        <f t="shared" si="69"/>
        <v>0.51</v>
      </c>
      <c r="AJ131" s="87">
        <v>0.9</v>
      </c>
      <c r="AK131" s="87">
        <v>1</v>
      </c>
      <c r="AL131" s="87"/>
      <c r="AM131" s="85">
        <v>0.3</v>
      </c>
      <c r="AN131" s="85">
        <v>0.3</v>
      </c>
      <c r="AO131" s="85">
        <v>0.3</v>
      </c>
      <c r="AP131" s="85">
        <v>0.3</v>
      </c>
      <c r="AQ131" s="84">
        <f t="shared" si="64"/>
        <v>0.3</v>
      </c>
      <c r="AR131" s="88">
        <v>0</v>
      </c>
      <c r="AS131" s="88">
        <v>0</v>
      </c>
      <c r="AT131" s="88">
        <v>0</v>
      </c>
      <c r="AU131" s="88">
        <v>0</v>
      </c>
      <c r="AV131" s="84">
        <f t="shared" si="65"/>
        <v>0</v>
      </c>
      <c r="AW131" s="88">
        <v>0</v>
      </c>
      <c r="AX131" s="88">
        <v>0</v>
      </c>
      <c r="AY131" s="88">
        <v>0</v>
      </c>
      <c r="AZ131" s="84">
        <f t="shared" si="66"/>
        <v>0</v>
      </c>
      <c r="BA131" s="88">
        <v>0</v>
      </c>
      <c r="BB131" s="88">
        <v>0</v>
      </c>
      <c r="BC131" s="153">
        <v>0</v>
      </c>
      <c r="BD131" s="84">
        <f t="shared" si="67"/>
        <v>0</v>
      </c>
      <c r="BE131" s="150"/>
      <c r="BF131" s="151" t="e">
        <f t="shared" si="68"/>
        <v>#DIV/0!</v>
      </c>
      <c r="BG131" s="152"/>
    </row>
    <row r="132" spans="2:59" ht="43.5" customHeight="1" thickBot="1" x14ac:dyDescent="0.35">
      <c r="B132" s="173" t="s">
        <v>99</v>
      </c>
      <c r="C132" s="174"/>
      <c r="D132" s="174"/>
      <c r="E132" s="174"/>
      <c r="F132" s="174"/>
      <c r="G132" s="174"/>
      <c r="H132" s="174"/>
      <c r="I132" s="174"/>
      <c r="J132" s="174"/>
      <c r="K132" s="174"/>
      <c r="L132" s="174"/>
      <c r="M132" s="174"/>
      <c r="N132" s="174"/>
      <c r="O132" s="174"/>
      <c r="P132" s="174"/>
      <c r="Q132" s="174"/>
      <c r="R132" s="174"/>
      <c r="S132" s="174"/>
      <c r="T132" s="174"/>
      <c r="U132" s="174"/>
      <c r="V132" s="174"/>
      <c r="W132" s="174"/>
      <c r="X132" s="174"/>
      <c r="Y132" s="174"/>
      <c r="Z132" s="174"/>
      <c r="AA132" s="174"/>
      <c r="AB132" s="174"/>
      <c r="AC132" s="174"/>
      <c r="AD132" s="174"/>
      <c r="AE132" s="174"/>
      <c r="AF132" s="174"/>
      <c r="AG132" s="174"/>
      <c r="AH132" s="174"/>
      <c r="AI132" s="174"/>
      <c r="AJ132" s="174"/>
      <c r="AK132" s="174"/>
      <c r="AL132" s="174"/>
      <c r="AM132" s="174"/>
      <c r="AN132" s="174"/>
      <c r="AO132" s="174"/>
      <c r="AP132" s="174"/>
      <c r="AQ132" s="174"/>
      <c r="AR132" s="174"/>
      <c r="AS132" s="174"/>
      <c r="AT132" s="174"/>
      <c r="AU132" s="174"/>
      <c r="AV132" s="174"/>
      <c r="AW132" s="174"/>
      <c r="AX132" s="174"/>
      <c r="AY132" s="174"/>
      <c r="AZ132" s="174"/>
      <c r="BA132" s="174"/>
      <c r="BB132" s="174"/>
      <c r="BC132" s="174"/>
      <c r="BD132" s="174"/>
      <c r="BE132" s="174"/>
      <c r="BF132" s="174"/>
      <c r="BG132" s="176"/>
    </row>
    <row r="133" spans="2:59" ht="43.5" customHeight="1" thickBot="1" x14ac:dyDescent="0.35">
      <c r="B133" s="80">
        <v>801</v>
      </c>
      <c r="C133" s="81">
        <v>1</v>
      </c>
      <c r="D133" s="82">
        <v>1</v>
      </c>
      <c r="E133" s="82">
        <v>1</v>
      </c>
      <c r="F133" s="83">
        <v>1</v>
      </c>
      <c r="G133" s="133">
        <f t="shared" ref="G133:G148" si="70" xml:space="preserve"> C133*45% + D133*45% + E133*5% + F133*5%</f>
        <v>1</v>
      </c>
      <c r="H133" s="88">
        <v>1</v>
      </c>
      <c r="I133" s="86">
        <v>1</v>
      </c>
      <c r="J133" s="82">
        <v>1</v>
      </c>
      <c r="K133" s="89">
        <v>1</v>
      </c>
      <c r="L133" s="90">
        <f t="shared" ref="L133:L148" si="71" xml:space="preserve"> H133*30% + I133*30% + J133*10% + K133*30%</f>
        <v>1</v>
      </c>
      <c r="M133" s="85">
        <v>1</v>
      </c>
      <c r="N133" s="86">
        <v>1</v>
      </c>
      <c r="O133" s="82">
        <v>0.95</v>
      </c>
      <c r="P133" s="87">
        <v>1</v>
      </c>
      <c r="Q133" s="88">
        <v>1</v>
      </c>
      <c r="R133" s="86">
        <v>1</v>
      </c>
      <c r="S133" s="82">
        <v>1</v>
      </c>
      <c r="T133" s="89">
        <v>1</v>
      </c>
      <c r="U133" s="88">
        <v>1</v>
      </c>
      <c r="V133" s="86">
        <v>1</v>
      </c>
      <c r="W133" s="82">
        <v>1</v>
      </c>
      <c r="X133" s="89">
        <v>1</v>
      </c>
      <c r="Y133" s="90">
        <f t="shared" ref="Y133:Y148" si="72" xml:space="preserve"> (U133*10% + V133*10% + W133*10% + X133*10%+ Q133*5% + R133*5% + S133*5% + T133*5%+M133*10% + N133*15% + O133*5% + P133*10%)</f>
        <v>0.99750000000000005</v>
      </c>
      <c r="Z133" s="88">
        <v>0</v>
      </c>
      <c r="AA133" s="86">
        <v>0</v>
      </c>
      <c r="AB133" s="82">
        <v>0</v>
      </c>
      <c r="AC133" s="89">
        <v>0</v>
      </c>
      <c r="AD133" s="90">
        <f t="shared" ref="AD133:AD148" si="73" xml:space="preserve"> Z133*45% + AA133*45% + AB133*5% + AC133*5%</f>
        <v>0</v>
      </c>
      <c r="AE133" s="88">
        <v>0.9</v>
      </c>
      <c r="AF133" s="86">
        <v>0</v>
      </c>
      <c r="AG133" s="82">
        <v>0.7</v>
      </c>
      <c r="AH133" s="87">
        <v>0</v>
      </c>
      <c r="AI133" s="84">
        <f xml:space="preserve"> AE133*5% + AF133*30% + AG133*35% + AH133*30%</f>
        <v>0.28999999999999998</v>
      </c>
      <c r="AJ133" s="88">
        <v>1</v>
      </c>
      <c r="AK133" s="85">
        <v>1</v>
      </c>
      <c r="AL133" s="156">
        <v>0</v>
      </c>
      <c r="AM133" s="85">
        <v>0.3</v>
      </c>
      <c r="AN133" s="85">
        <v>0.3</v>
      </c>
      <c r="AO133" s="85">
        <v>0.3</v>
      </c>
      <c r="AP133" s="85">
        <v>0.3</v>
      </c>
      <c r="AQ133" s="84">
        <f t="shared" ref="AQ133:AQ148" si="74" xml:space="preserve"> AM133*15% + AN133*35% + AO133*15% + AP133*35%</f>
        <v>0.3</v>
      </c>
      <c r="AR133" s="88">
        <v>0</v>
      </c>
      <c r="AS133" s="88">
        <v>0</v>
      </c>
      <c r="AT133" s="88">
        <v>0</v>
      </c>
      <c r="AU133" s="88">
        <v>0</v>
      </c>
      <c r="AV133" s="84">
        <f t="shared" ref="AV133:AV148" si="75" xml:space="preserve"> AR133*30% + AS133*30% + AT133*15% + AU133*25%</f>
        <v>0</v>
      </c>
      <c r="AW133" s="88">
        <v>0</v>
      </c>
      <c r="AX133" s="88">
        <v>0</v>
      </c>
      <c r="AY133" s="88">
        <v>0</v>
      </c>
      <c r="AZ133" s="84">
        <f t="shared" ref="AZ133:AZ148" si="76" xml:space="preserve">  AW133*30% + AX133*45% + AY133*25%</f>
        <v>0</v>
      </c>
      <c r="BA133" s="88">
        <v>0</v>
      </c>
      <c r="BB133" s="88">
        <v>0</v>
      </c>
      <c r="BC133" s="153">
        <v>0</v>
      </c>
      <c r="BD133" s="84">
        <f t="shared" ref="BD133:BD148" si="77" xml:space="preserve">  BA133*30% + BB133*45% + BC133*25%</f>
        <v>0</v>
      </c>
      <c r="BE133" s="135"/>
      <c r="BF133" s="92" t="e">
        <f t="shared" ref="BF133:BF148" si="78">(
(COUNTIF(B133:E133,"✓")/(COUNTIF(B133:E133,"✓")+COUNTIF(B133:E133,"x")))*0.2 +
(COUNTIF(F133:J133,"✓")/(COUNTIF(F133:J133,"✓")+COUNTIF(F133:J133,"x")))*0.1 +
(COUNTIF(K133:O133,"✓")/(COUNTIF(K133:O133,"✓")+COUNTIF(K133:O133,"x")))*0.1 +
(COUNTIF(P133:S133,"✓")/(COUNTIF(P133:S133,"✓")+COUNTIF(P133:S133,"x")))*0.1 +
(COUNTIF(T133:W133,"✓")/(COUNTIF(T133:W133,"✓")+COUNTIF(T133:W133,"x")))*0.1 +
(COUNTIF(X133:AB133,"✓")/(COUNTIF(X133:AB133,"✓")+COUNTIF(X133:AB133,"x")))*0.1 +
(COUNTIF(AC133:AO133,"✓")/(COUNTIF(AC133:AO133,"✓")+COUNTIF(AC133:AO133,"x")))*0.1 +
(COUNTIF(AP133:AT133,"✓")/(COUNTIF(AP133:AT133,"✓")+COUNTIF(AP133:AT133,"x")))*0.05 +
(COUNTIF(AU133:BB133,"✓")/(COUNTIF(AU133:BB133,"✓")+COUNTIF(AU133:BB133,"x")))*0.1 +
(COUNTIF(BC133:BC133,"✓")/(COUNTIF(BC133:BC133,"✓")+COUNTIF(BC133:BC133,"x")))*0.05
)</f>
        <v>#DIV/0!</v>
      </c>
      <c r="BG133" s="93"/>
    </row>
    <row r="134" spans="2:59" ht="43.5" customHeight="1" thickBot="1" x14ac:dyDescent="0.35">
      <c r="B134" s="80">
        <v>802</v>
      </c>
      <c r="C134" s="81">
        <v>1</v>
      </c>
      <c r="D134" s="82">
        <v>1</v>
      </c>
      <c r="E134" s="82">
        <v>1</v>
      </c>
      <c r="F134" s="83">
        <v>1</v>
      </c>
      <c r="G134" s="133">
        <f t="shared" si="70"/>
        <v>1</v>
      </c>
      <c r="H134" s="88">
        <v>1</v>
      </c>
      <c r="I134" s="86">
        <v>1</v>
      </c>
      <c r="J134" s="82">
        <v>1</v>
      </c>
      <c r="K134" s="89">
        <v>1</v>
      </c>
      <c r="L134" s="90">
        <f t="shared" si="71"/>
        <v>1</v>
      </c>
      <c r="M134" s="85">
        <v>1</v>
      </c>
      <c r="N134" s="86">
        <v>1</v>
      </c>
      <c r="O134" s="82">
        <v>0.95</v>
      </c>
      <c r="P134" s="87">
        <v>1</v>
      </c>
      <c r="Q134" s="88">
        <v>1</v>
      </c>
      <c r="R134" s="86">
        <v>1</v>
      </c>
      <c r="S134" s="82">
        <v>1</v>
      </c>
      <c r="T134" s="89">
        <v>1</v>
      </c>
      <c r="U134" s="88">
        <v>1</v>
      </c>
      <c r="V134" s="86">
        <v>1</v>
      </c>
      <c r="W134" s="82">
        <v>1</v>
      </c>
      <c r="X134" s="89">
        <v>1</v>
      </c>
      <c r="Y134" s="90">
        <f t="shared" si="72"/>
        <v>0.99750000000000005</v>
      </c>
      <c r="Z134" s="88">
        <v>0</v>
      </c>
      <c r="AA134" s="86">
        <v>0</v>
      </c>
      <c r="AB134" s="82">
        <v>0</v>
      </c>
      <c r="AC134" s="89">
        <v>0</v>
      </c>
      <c r="AD134" s="90">
        <f t="shared" si="73"/>
        <v>0</v>
      </c>
      <c r="AE134" s="88">
        <v>0.4</v>
      </c>
      <c r="AF134" s="86">
        <v>0</v>
      </c>
      <c r="AG134" s="82">
        <v>0.7</v>
      </c>
      <c r="AH134" s="87">
        <v>0</v>
      </c>
      <c r="AI134" s="84">
        <f t="shared" ref="AI134:AI148" si="79" xml:space="preserve"> AE134*5% + AF134*30% + AG134*35% + AH134*30%</f>
        <v>0.26499999999999996</v>
      </c>
      <c r="AJ134" s="88">
        <v>1</v>
      </c>
      <c r="AK134" s="85">
        <v>1</v>
      </c>
      <c r="AL134" s="156">
        <v>0</v>
      </c>
      <c r="AM134" s="85">
        <v>0.3</v>
      </c>
      <c r="AN134" s="85">
        <v>0.3</v>
      </c>
      <c r="AO134" s="85">
        <v>0.3</v>
      </c>
      <c r="AP134" s="85">
        <v>0.3</v>
      </c>
      <c r="AQ134" s="84">
        <f t="shared" si="74"/>
        <v>0.3</v>
      </c>
      <c r="AR134" s="88">
        <v>0</v>
      </c>
      <c r="AS134" s="88">
        <v>0</v>
      </c>
      <c r="AT134" s="88">
        <v>0</v>
      </c>
      <c r="AU134" s="88">
        <v>0</v>
      </c>
      <c r="AV134" s="84">
        <f t="shared" si="75"/>
        <v>0</v>
      </c>
      <c r="AW134" s="88">
        <v>0</v>
      </c>
      <c r="AX134" s="88">
        <v>0</v>
      </c>
      <c r="AY134" s="88">
        <v>0</v>
      </c>
      <c r="AZ134" s="84">
        <f t="shared" si="76"/>
        <v>0</v>
      </c>
      <c r="BA134" s="88">
        <v>0</v>
      </c>
      <c r="BB134" s="88">
        <v>0</v>
      </c>
      <c r="BC134" s="153">
        <v>0</v>
      </c>
      <c r="BD134" s="84">
        <f t="shared" si="77"/>
        <v>0</v>
      </c>
      <c r="BE134" s="135"/>
      <c r="BF134" s="92" t="e">
        <f t="shared" si="78"/>
        <v>#DIV/0!</v>
      </c>
      <c r="BG134" s="132"/>
    </row>
    <row r="135" spans="2:59" ht="43.5" customHeight="1" thickBot="1" x14ac:dyDescent="0.4">
      <c r="B135" s="80">
        <v>803</v>
      </c>
      <c r="C135" s="81">
        <v>1</v>
      </c>
      <c r="D135" s="82">
        <v>1</v>
      </c>
      <c r="E135" s="82">
        <v>1</v>
      </c>
      <c r="F135" s="83">
        <v>1</v>
      </c>
      <c r="G135" s="133">
        <f t="shared" si="70"/>
        <v>1</v>
      </c>
      <c r="H135" s="88">
        <v>1</v>
      </c>
      <c r="I135" s="86">
        <v>1</v>
      </c>
      <c r="J135" s="82">
        <v>1</v>
      </c>
      <c r="K135" s="89">
        <v>1</v>
      </c>
      <c r="L135" s="90">
        <f t="shared" si="71"/>
        <v>1</v>
      </c>
      <c r="M135" s="85">
        <v>1</v>
      </c>
      <c r="N135" s="86">
        <v>1</v>
      </c>
      <c r="O135" s="82">
        <v>0.95</v>
      </c>
      <c r="P135" s="87">
        <v>1</v>
      </c>
      <c r="Q135" s="88">
        <v>1</v>
      </c>
      <c r="R135" s="86">
        <v>1</v>
      </c>
      <c r="S135" s="82">
        <v>1</v>
      </c>
      <c r="T135" s="89">
        <v>1</v>
      </c>
      <c r="U135" s="88">
        <v>1</v>
      </c>
      <c r="V135" s="86">
        <v>1</v>
      </c>
      <c r="W135" s="82">
        <v>1</v>
      </c>
      <c r="X135" s="89">
        <v>1</v>
      </c>
      <c r="Y135" s="90">
        <f t="shared" si="72"/>
        <v>0.99750000000000005</v>
      </c>
      <c r="Z135" s="88">
        <v>0</v>
      </c>
      <c r="AA135" s="86">
        <v>0</v>
      </c>
      <c r="AB135" s="82">
        <v>0</v>
      </c>
      <c r="AC135" s="89">
        <v>0</v>
      </c>
      <c r="AD135" s="90">
        <f t="shared" si="73"/>
        <v>0</v>
      </c>
      <c r="AE135" s="88">
        <v>0.9</v>
      </c>
      <c r="AF135" s="86">
        <v>0</v>
      </c>
      <c r="AG135" s="82">
        <v>0.7</v>
      </c>
      <c r="AH135" s="87">
        <v>0</v>
      </c>
      <c r="AI135" s="84">
        <f t="shared" si="79"/>
        <v>0.28999999999999998</v>
      </c>
      <c r="AJ135" s="88">
        <v>1</v>
      </c>
      <c r="AK135" s="85">
        <v>1</v>
      </c>
      <c r="AL135" s="156">
        <v>0</v>
      </c>
      <c r="AM135" s="85">
        <v>0.3</v>
      </c>
      <c r="AN135" s="85">
        <v>0.3</v>
      </c>
      <c r="AO135" s="85">
        <v>0.3</v>
      </c>
      <c r="AP135" s="85">
        <v>0.3</v>
      </c>
      <c r="AQ135" s="84">
        <f t="shared" si="74"/>
        <v>0.3</v>
      </c>
      <c r="AR135" s="88">
        <v>0</v>
      </c>
      <c r="AS135" s="88">
        <v>0</v>
      </c>
      <c r="AT135" s="88">
        <v>0</v>
      </c>
      <c r="AU135" s="88">
        <v>0</v>
      </c>
      <c r="AV135" s="84">
        <f t="shared" si="75"/>
        <v>0</v>
      </c>
      <c r="AW135" s="88">
        <v>0</v>
      </c>
      <c r="AX135" s="88">
        <v>0</v>
      </c>
      <c r="AY135" s="88">
        <v>0</v>
      </c>
      <c r="AZ135" s="84">
        <f t="shared" si="76"/>
        <v>0</v>
      </c>
      <c r="BA135" s="88">
        <v>0</v>
      </c>
      <c r="BB135" s="88">
        <v>0</v>
      </c>
      <c r="BC135" s="153">
        <v>0</v>
      </c>
      <c r="BD135" s="84">
        <f t="shared" si="77"/>
        <v>0</v>
      </c>
      <c r="BE135" s="135"/>
      <c r="BF135" s="92" t="e">
        <f t="shared" si="78"/>
        <v>#DIV/0!</v>
      </c>
      <c r="BG135" s="103"/>
    </row>
    <row r="136" spans="2:59" ht="43.5" customHeight="1" thickBot="1" x14ac:dyDescent="0.35">
      <c r="B136" s="80">
        <v>804</v>
      </c>
      <c r="C136" s="81">
        <v>1</v>
      </c>
      <c r="D136" s="82">
        <v>1</v>
      </c>
      <c r="E136" s="82">
        <v>1</v>
      </c>
      <c r="F136" s="83">
        <v>1</v>
      </c>
      <c r="G136" s="133">
        <f t="shared" si="70"/>
        <v>1</v>
      </c>
      <c r="H136" s="88">
        <v>0</v>
      </c>
      <c r="I136" s="86">
        <v>0</v>
      </c>
      <c r="J136" s="82">
        <v>0</v>
      </c>
      <c r="K136" s="89">
        <v>0</v>
      </c>
      <c r="L136" s="90">
        <f t="shared" si="71"/>
        <v>0</v>
      </c>
      <c r="M136" s="85">
        <v>1</v>
      </c>
      <c r="N136" s="86">
        <v>1</v>
      </c>
      <c r="O136" s="82">
        <v>0.95</v>
      </c>
      <c r="P136" s="87">
        <v>1</v>
      </c>
      <c r="Q136" s="88">
        <v>1</v>
      </c>
      <c r="R136" s="86">
        <v>1</v>
      </c>
      <c r="S136" s="82">
        <v>1</v>
      </c>
      <c r="T136" s="89">
        <v>1</v>
      </c>
      <c r="U136" s="88">
        <v>1</v>
      </c>
      <c r="V136" s="86">
        <v>1</v>
      </c>
      <c r="W136" s="82">
        <v>1</v>
      </c>
      <c r="X136" s="89">
        <v>1</v>
      </c>
      <c r="Y136" s="90">
        <f t="shared" si="72"/>
        <v>0.99750000000000005</v>
      </c>
      <c r="Z136" s="88">
        <v>0</v>
      </c>
      <c r="AA136" s="86">
        <v>0</v>
      </c>
      <c r="AB136" s="82">
        <v>0</v>
      </c>
      <c r="AC136" s="89">
        <v>0</v>
      </c>
      <c r="AD136" s="90">
        <f t="shared" si="73"/>
        <v>0</v>
      </c>
      <c r="AE136" s="88">
        <v>0.7</v>
      </c>
      <c r="AF136" s="86">
        <v>0.7</v>
      </c>
      <c r="AG136" s="82">
        <v>0.7</v>
      </c>
      <c r="AH136" s="87">
        <v>0</v>
      </c>
      <c r="AI136" s="84">
        <f t="shared" si="79"/>
        <v>0.49</v>
      </c>
      <c r="AJ136" s="88">
        <v>1</v>
      </c>
      <c r="AK136" s="85">
        <v>0</v>
      </c>
      <c r="AL136" s="156">
        <v>0</v>
      </c>
      <c r="AM136" s="85">
        <v>0.3</v>
      </c>
      <c r="AN136" s="85">
        <v>0.3</v>
      </c>
      <c r="AO136" s="85">
        <v>0.3</v>
      </c>
      <c r="AP136" s="85">
        <v>0.3</v>
      </c>
      <c r="AQ136" s="84">
        <f t="shared" si="74"/>
        <v>0.3</v>
      </c>
      <c r="AR136" s="88">
        <v>0</v>
      </c>
      <c r="AS136" s="88">
        <v>0</v>
      </c>
      <c r="AT136" s="88">
        <v>0</v>
      </c>
      <c r="AU136" s="88">
        <v>0</v>
      </c>
      <c r="AV136" s="84">
        <f t="shared" si="75"/>
        <v>0</v>
      </c>
      <c r="AW136" s="88">
        <v>0</v>
      </c>
      <c r="AX136" s="88">
        <v>0</v>
      </c>
      <c r="AY136" s="88">
        <v>0</v>
      </c>
      <c r="AZ136" s="84">
        <f t="shared" si="76"/>
        <v>0</v>
      </c>
      <c r="BA136" s="88">
        <v>0</v>
      </c>
      <c r="BB136" s="88">
        <v>0</v>
      </c>
      <c r="BC136" s="153">
        <v>0</v>
      </c>
      <c r="BD136" s="84">
        <f t="shared" si="77"/>
        <v>0</v>
      </c>
      <c r="BE136" s="135"/>
      <c r="BF136" s="92" t="e">
        <f t="shared" si="78"/>
        <v>#DIV/0!</v>
      </c>
      <c r="BG136" s="102"/>
    </row>
    <row r="137" spans="2:59" ht="43.5" customHeight="1" thickBot="1" x14ac:dyDescent="0.4">
      <c r="B137" s="80">
        <v>805</v>
      </c>
      <c r="C137" s="81">
        <v>1</v>
      </c>
      <c r="D137" s="82">
        <v>1</v>
      </c>
      <c r="E137" s="82">
        <v>1</v>
      </c>
      <c r="F137" s="83">
        <v>1</v>
      </c>
      <c r="G137" s="133">
        <f t="shared" si="70"/>
        <v>1</v>
      </c>
      <c r="H137" s="88">
        <v>0.9</v>
      </c>
      <c r="I137" s="86">
        <v>0.9</v>
      </c>
      <c r="J137" s="82">
        <v>0.9</v>
      </c>
      <c r="K137" s="89">
        <v>0.9</v>
      </c>
      <c r="L137" s="90">
        <f t="shared" si="71"/>
        <v>0.9</v>
      </c>
      <c r="M137" s="85">
        <v>1</v>
      </c>
      <c r="N137" s="86">
        <v>1</v>
      </c>
      <c r="O137" s="82">
        <v>0.95</v>
      </c>
      <c r="P137" s="87">
        <v>1</v>
      </c>
      <c r="Q137" s="88">
        <v>1</v>
      </c>
      <c r="R137" s="86">
        <v>1</v>
      </c>
      <c r="S137" s="82">
        <v>1</v>
      </c>
      <c r="T137" s="89">
        <v>1</v>
      </c>
      <c r="U137" s="88">
        <v>1</v>
      </c>
      <c r="V137" s="86">
        <v>1</v>
      </c>
      <c r="W137" s="82">
        <v>1</v>
      </c>
      <c r="X137" s="89">
        <v>1</v>
      </c>
      <c r="Y137" s="90">
        <f t="shared" si="72"/>
        <v>0.99750000000000005</v>
      </c>
      <c r="Z137" s="88">
        <v>0</v>
      </c>
      <c r="AA137" s="86">
        <v>0</v>
      </c>
      <c r="AB137" s="82">
        <v>0</v>
      </c>
      <c r="AC137" s="89">
        <v>0</v>
      </c>
      <c r="AD137" s="90">
        <f t="shared" si="73"/>
        <v>0</v>
      </c>
      <c r="AE137" s="88">
        <v>0.9</v>
      </c>
      <c r="AF137" s="86">
        <v>0</v>
      </c>
      <c r="AG137" s="82">
        <v>0.7</v>
      </c>
      <c r="AH137" s="87">
        <v>0</v>
      </c>
      <c r="AI137" s="84">
        <f t="shared" si="79"/>
        <v>0.28999999999999998</v>
      </c>
      <c r="AJ137" s="88">
        <v>1</v>
      </c>
      <c r="AK137" s="85">
        <v>0</v>
      </c>
      <c r="AL137" s="156">
        <v>0</v>
      </c>
      <c r="AM137" s="85">
        <v>0.3</v>
      </c>
      <c r="AN137" s="85">
        <v>0.3</v>
      </c>
      <c r="AO137" s="85">
        <v>0.3</v>
      </c>
      <c r="AP137" s="85">
        <v>0.3</v>
      </c>
      <c r="AQ137" s="84">
        <f t="shared" si="74"/>
        <v>0.3</v>
      </c>
      <c r="AR137" s="88">
        <v>0</v>
      </c>
      <c r="AS137" s="88">
        <v>0</v>
      </c>
      <c r="AT137" s="88">
        <v>0</v>
      </c>
      <c r="AU137" s="88">
        <v>0</v>
      </c>
      <c r="AV137" s="84">
        <f t="shared" si="75"/>
        <v>0</v>
      </c>
      <c r="AW137" s="88">
        <v>0</v>
      </c>
      <c r="AX137" s="88">
        <v>0</v>
      </c>
      <c r="AY137" s="88">
        <v>0</v>
      </c>
      <c r="AZ137" s="84">
        <f t="shared" si="76"/>
        <v>0</v>
      </c>
      <c r="BA137" s="88">
        <v>0</v>
      </c>
      <c r="BB137" s="88">
        <v>0</v>
      </c>
      <c r="BC137" s="153">
        <v>0</v>
      </c>
      <c r="BD137" s="84">
        <f t="shared" si="77"/>
        <v>0</v>
      </c>
      <c r="BE137" s="135"/>
      <c r="BF137" s="92" t="e">
        <f t="shared" si="78"/>
        <v>#DIV/0!</v>
      </c>
      <c r="BG137" s="103"/>
    </row>
    <row r="138" spans="2:59" ht="43.5" customHeight="1" thickBot="1" x14ac:dyDescent="0.4">
      <c r="B138" s="80">
        <v>806</v>
      </c>
      <c r="C138" s="81">
        <v>1</v>
      </c>
      <c r="D138" s="82">
        <v>1</v>
      </c>
      <c r="E138" s="82">
        <v>1</v>
      </c>
      <c r="F138" s="83">
        <v>1</v>
      </c>
      <c r="G138" s="133">
        <f t="shared" si="70"/>
        <v>1</v>
      </c>
      <c r="H138" s="88">
        <v>0.7</v>
      </c>
      <c r="I138" s="86">
        <v>0.7</v>
      </c>
      <c r="J138" s="82">
        <v>0.7</v>
      </c>
      <c r="K138" s="89">
        <v>0.7</v>
      </c>
      <c r="L138" s="90">
        <f t="shared" si="71"/>
        <v>0.7</v>
      </c>
      <c r="M138" s="85">
        <v>1</v>
      </c>
      <c r="N138" s="86">
        <v>1</v>
      </c>
      <c r="O138" s="82">
        <v>0.95</v>
      </c>
      <c r="P138" s="87">
        <v>1</v>
      </c>
      <c r="Q138" s="88">
        <v>1</v>
      </c>
      <c r="R138" s="86">
        <v>1</v>
      </c>
      <c r="S138" s="82">
        <v>1</v>
      </c>
      <c r="T138" s="89">
        <v>1</v>
      </c>
      <c r="U138" s="88">
        <v>1</v>
      </c>
      <c r="V138" s="86">
        <v>1</v>
      </c>
      <c r="W138" s="82">
        <v>1</v>
      </c>
      <c r="X138" s="89">
        <v>1</v>
      </c>
      <c r="Y138" s="90">
        <f t="shared" si="72"/>
        <v>0.99750000000000005</v>
      </c>
      <c r="Z138" s="88">
        <v>0</v>
      </c>
      <c r="AA138" s="86">
        <v>0</v>
      </c>
      <c r="AB138" s="82">
        <v>0</v>
      </c>
      <c r="AC138" s="89">
        <v>0</v>
      </c>
      <c r="AD138" s="90">
        <f t="shared" si="73"/>
        <v>0</v>
      </c>
      <c r="AE138" s="88">
        <v>0.7</v>
      </c>
      <c r="AF138" s="86">
        <v>0</v>
      </c>
      <c r="AG138" s="82">
        <v>1</v>
      </c>
      <c r="AH138" s="87">
        <v>0.7</v>
      </c>
      <c r="AI138" s="84">
        <f t="shared" si="79"/>
        <v>0.59499999999999997</v>
      </c>
      <c r="AJ138" s="88">
        <v>0</v>
      </c>
      <c r="AK138" s="85">
        <v>0</v>
      </c>
      <c r="AL138" s="156">
        <v>0</v>
      </c>
      <c r="AM138" s="85">
        <v>0.3</v>
      </c>
      <c r="AN138" s="85">
        <v>0.3</v>
      </c>
      <c r="AO138" s="85">
        <v>0.3</v>
      </c>
      <c r="AP138" s="85">
        <v>0.3</v>
      </c>
      <c r="AQ138" s="84">
        <f t="shared" si="74"/>
        <v>0.3</v>
      </c>
      <c r="AR138" s="88">
        <v>0</v>
      </c>
      <c r="AS138" s="88">
        <v>0</v>
      </c>
      <c r="AT138" s="88">
        <v>0</v>
      </c>
      <c r="AU138" s="88">
        <v>0</v>
      </c>
      <c r="AV138" s="84">
        <f t="shared" si="75"/>
        <v>0</v>
      </c>
      <c r="AW138" s="88">
        <v>0</v>
      </c>
      <c r="AX138" s="88">
        <v>0</v>
      </c>
      <c r="AY138" s="88">
        <v>0</v>
      </c>
      <c r="AZ138" s="84">
        <f t="shared" si="76"/>
        <v>0</v>
      </c>
      <c r="BA138" s="88">
        <v>0</v>
      </c>
      <c r="BB138" s="88">
        <v>0</v>
      </c>
      <c r="BC138" s="153">
        <v>0</v>
      </c>
      <c r="BD138" s="84">
        <f t="shared" si="77"/>
        <v>0</v>
      </c>
      <c r="BE138" s="135"/>
      <c r="BF138" s="92" t="e">
        <f t="shared" si="78"/>
        <v>#DIV/0!</v>
      </c>
      <c r="BG138" s="104"/>
    </row>
    <row r="139" spans="2:59" ht="43.5" customHeight="1" thickBot="1" x14ac:dyDescent="0.4">
      <c r="B139" s="80">
        <v>807</v>
      </c>
      <c r="C139" s="81">
        <v>1</v>
      </c>
      <c r="D139" s="82">
        <v>1</v>
      </c>
      <c r="E139" s="82">
        <v>1</v>
      </c>
      <c r="F139" s="83">
        <v>1</v>
      </c>
      <c r="G139" s="133">
        <f t="shared" si="70"/>
        <v>1</v>
      </c>
      <c r="H139" s="88">
        <v>1</v>
      </c>
      <c r="I139" s="86">
        <v>1</v>
      </c>
      <c r="J139" s="82">
        <v>1</v>
      </c>
      <c r="K139" s="89">
        <v>1</v>
      </c>
      <c r="L139" s="90">
        <f t="shared" si="71"/>
        <v>1</v>
      </c>
      <c r="M139" s="85">
        <v>1</v>
      </c>
      <c r="N139" s="86">
        <v>1</v>
      </c>
      <c r="O139" s="82">
        <v>0.95</v>
      </c>
      <c r="P139" s="87">
        <v>1</v>
      </c>
      <c r="Q139" s="88">
        <v>1</v>
      </c>
      <c r="R139" s="86">
        <v>1</v>
      </c>
      <c r="S139" s="82">
        <v>1</v>
      </c>
      <c r="T139" s="89">
        <v>1</v>
      </c>
      <c r="U139" s="88">
        <v>1</v>
      </c>
      <c r="V139" s="86">
        <v>1</v>
      </c>
      <c r="W139" s="82">
        <v>1</v>
      </c>
      <c r="X139" s="89">
        <v>1</v>
      </c>
      <c r="Y139" s="90">
        <f t="shared" si="72"/>
        <v>0.99750000000000005</v>
      </c>
      <c r="Z139" s="88">
        <v>0</v>
      </c>
      <c r="AA139" s="86">
        <v>0</v>
      </c>
      <c r="AB139" s="82">
        <v>0</v>
      </c>
      <c r="AC139" s="89">
        <v>0</v>
      </c>
      <c r="AD139" s="90">
        <f t="shared" si="73"/>
        <v>0</v>
      </c>
      <c r="AE139" s="88">
        <v>0.9</v>
      </c>
      <c r="AF139" s="86">
        <v>0</v>
      </c>
      <c r="AG139" s="82">
        <v>0</v>
      </c>
      <c r="AH139" s="87">
        <v>0</v>
      </c>
      <c r="AI139" s="84">
        <f t="shared" si="79"/>
        <v>4.5000000000000005E-2</v>
      </c>
      <c r="AJ139" s="88">
        <v>1</v>
      </c>
      <c r="AK139" s="85">
        <v>1</v>
      </c>
      <c r="AL139" s="156">
        <v>0</v>
      </c>
      <c r="AM139" s="85">
        <v>0.3</v>
      </c>
      <c r="AN139" s="85">
        <v>0.3</v>
      </c>
      <c r="AO139" s="85">
        <v>0.3</v>
      </c>
      <c r="AP139" s="85">
        <v>0.3</v>
      </c>
      <c r="AQ139" s="84">
        <f t="shared" si="74"/>
        <v>0.3</v>
      </c>
      <c r="AR139" s="88">
        <v>0</v>
      </c>
      <c r="AS139" s="88">
        <v>0</v>
      </c>
      <c r="AT139" s="88">
        <v>0</v>
      </c>
      <c r="AU139" s="88">
        <v>0</v>
      </c>
      <c r="AV139" s="84">
        <f t="shared" si="75"/>
        <v>0</v>
      </c>
      <c r="AW139" s="88">
        <v>0</v>
      </c>
      <c r="AX139" s="88">
        <v>0</v>
      </c>
      <c r="AY139" s="88">
        <v>0</v>
      </c>
      <c r="AZ139" s="84">
        <f t="shared" si="76"/>
        <v>0</v>
      </c>
      <c r="BA139" s="88">
        <v>0</v>
      </c>
      <c r="BB139" s="88">
        <v>0</v>
      </c>
      <c r="BC139" s="153">
        <v>0</v>
      </c>
      <c r="BD139" s="84">
        <f t="shared" si="77"/>
        <v>0</v>
      </c>
      <c r="BE139" s="135"/>
      <c r="BF139" s="92" t="e">
        <f t="shared" si="78"/>
        <v>#DIV/0!</v>
      </c>
      <c r="BG139" s="103"/>
    </row>
    <row r="140" spans="2:59" ht="43.5" customHeight="1" thickBot="1" x14ac:dyDescent="0.4">
      <c r="B140" s="80">
        <v>808</v>
      </c>
      <c r="C140" s="81">
        <v>1</v>
      </c>
      <c r="D140" s="82">
        <v>1</v>
      </c>
      <c r="E140" s="82">
        <v>1</v>
      </c>
      <c r="F140" s="83">
        <v>1</v>
      </c>
      <c r="G140" s="133">
        <f t="shared" si="70"/>
        <v>1</v>
      </c>
      <c r="H140" s="88">
        <v>1</v>
      </c>
      <c r="I140" s="86">
        <v>1</v>
      </c>
      <c r="J140" s="82">
        <v>1</v>
      </c>
      <c r="K140" s="89">
        <v>1</v>
      </c>
      <c r="L140" s="90">
        <f t="shared" si="71"/>
        <v>1</v>
      </c>
      <c r="M140" s="85">
        <v>1</v>
      </c>
      <c r="N140" s="86">
        <v>1</v>
      </c>
      <c r="O140" s="82">
        <v>0.95</v>
      </c>
      <c r="P140" s="87">
        <v>1</v>
      </c>
      <c r="Q140" s="88">
        <v>1</v>
      </c>
      <c r="R140" s="86">
        <v>1</v>
      </c>
      <c r="S140" s="82">
        <v>1</v>
      </c>
      <c r="T140" s="89">
        <v>1</v>
      </c>
      <c r="U140" s="88">
        <v>1</v>
      </c>
      <c r="V140" s="86">
        <v>1</v>
      </c>
      <c r="W140" s="82">
        <v>1</v>
      </c>
      <c r="X140" s="89">
        <v>1</v>
      </c>
      <c r="Y140" s="90">
        <f t="shared" si="72"/>
        <v>0.99750000000000005</v>
      </c>
      <c r="Z140" s="88">
        <v>0</v>
      </c>
      <c r="AA140" s="86">
        <v>0</v>
      </c>
      <c r="AB140" s="82">
        <v>0</v>
      </c>
      <c r="AC140" s="89">
        <v>0</v>
      </c>
      <c r="AD140" s="90">
        <f t="shared" si="73"/>
        <v>0</v>
      </c>
      <c r="AE140" s="88">
        <v>0.9</v>
      </c>
      <c r="AF140" s="86">
        <v>0</v>
      </c>
      <c r="AG140" s="82">
        <v>0.7</v>
      </c>
      <c r="AH140" s="87">
        <v>0</v>
      </c>
      <c r="AI140" s="84">
        <f t="shared" si="79"/>
        <v>0.28999999999999998</v>
      </c>
      <c r="AJ140" s="88">
        <v>1</v>
      </c>
      <c r="AK140" s="85">
        <v>1</v>
      </c>
      <c r="AL140" s="156">
        <v>0</v>
      </c>
      <c r="AM140" s="85">
        <v>0.3</v>
      </c>
      <c r="AN140" s="85">
        <v>0.3</v>
      </c>
      <c r="AO140" s="85">
        <v>0.3</v>
      </c>
      <c r="AP140" s="85">
        <v>0.3</v>
      </c>
      <c r="AQ140" s="84">
        <f t="shared" si="74"/>
        <v>0.3</v>
      </c>
      <c r="AR140" s="88">
        <v>0</v>
      </c>
      <c r="AS140" s="88">
        <v>0</v>
      </c>
      <c r="AT140" s="88">
        <v>0</v>
      </c>
      <c r="AU140" s="88">
        <v>0</v>
      </c>
      <c r="AV140" s="84">
        <f t="shared" si="75"/>
        <v>0</v>
      </c>
      <c r="AW140" s="88">
        <v>0</v>
      </c>
      <c r="AX140" s="88">
        <v>0</v>
      </c>
      <c r="AY140" s="88">
        <v>0</v>
      </c>
      <c r="AZ140" s="84">
        <f t="shared" si="76"/>
        <v>0</v>
      </c>
      <c r="BA140" s="88">
        <v>0</v>
      </c>
      <c r="BB140" s="88">
        <v>0</v>
      </c>
      <c r="BC140" s="153">
        <v>0</v>
      </c>
      <c r="BD140" s="84">
        <f t="shared" si="77"/>
        <v>0</v>
      </c>
      <c r="BE140" s="135"/>
      <c r="BF140" s="92" t="e">
        <f t="shared" si="78"/>
        <v>#DIV/0!</v>
      </c>
      <c r="BG140" s="104"/>
    </row>
    <row r="141" spans="2:59" ht="43.5" customHeight="1" thickBot="1" x14ac:dyDescent="0.4">
      <c r="B141" s="80">
        <v>809</v>
      </c>
      <c r="C141" s="81">
        <v>1</v>
      </c>
      <c r="D141" s="82">
        <v>1</v>
      </c>
      <c r="E141" s="82">
        <v>1</v>
      </c>
      <c r="F141" s="83">
        <v>1</v>
      </c>
      <c r="G141" s="133">
        <f t="shared" si="70"/>
        <v>1</v>
      </c>
      <c r="H141" s="88">
        <v>1</v>
      </c>
      <c r="I141" s="86">
        <v>1</v>
      </c>
      <c r="J141" s="82">
        <v>1</v>
      </c>
      <c r="K141" s="89">
        <v>1</v>
      </c>
      <c r="L141" s="90">
        <f t="shared" si="71"/>
        <v>1</v>
      </c>
      <c r="M141" s="85">
        <v>1</v>
      </c>
      <c r="N141" s="86">
        <v>1</v>
      </c>
      <c r="O141" s="82">
        <v>0.95</v>
      </c>
      <c r="P141" s="87">
        <v>1</v>
      </c>
      <c r="Q141" s="88">
        <v>1</v>
      </c>
      <c r="R141" s="86">
        <v>1</v>
      </c>
      <c r="S141" s="82">
        <v>1</v>
      </c>
      <c r="T141" s="89">
        <v>1</v>
      </c>
      <c r="U141" s="88">
        <v>1</v>
      </c>
      <c r="V141" s="86">
        <v>1</v>
      </c>
      <c r="W141" s="82">
        <v>1</v>
      </c>
      <c r="X141" s="89">
        <v>1</v>
      </c>
      <c r="Y141" s="90">
        <f t="shared" si="72"/>
        <v>0.99750000000000005</v>
      </c>
      <c r="Z141" s="88">
        <v>0</v>
      </c>
      <c r="AA141" s="86">
        <v>0</v>
      </c>
      <c r="AB141" s="82">
        <v>0</v>
      </c>
      <c r="AC141" s="89">
        <v>0</v>
      </c>
      <c r="AD141" s="90">
        <f t="shared" si="73"/>
        <v>0</v>
      </c>
      <c r="AE141" s="88">
        <v>0.9</v>
      </c>
      <c r="AF141" s="86">
        <v>1</v>
      </c>
      <c r="AG141" s="82">
        <v>0.7</v>
      </c>
      <c r="AH141" s="87">
        <v>1</v>
      </c>
      <c r="AI141" s="84">
        <f t="shared" si="79"/>
        <v>0.8899999999999999</v>
      </c>
      <c r="AJ141" s="88">
        <v>1</v>
      </c>
      <c r="AK141" s="85">
        <v>0</v>
      </c>
      <c r="AL141" s="156">
        <v>0</v>
      </c>
      <c r="AM141" s="85">
        <v>0.3</v>
      </c>
      <c r="AN141" s="85">
        <v>0.3</v>
      </c>
      <c r="AO141" s="85">
        <v>0.3</v>
      </c>
      <c r="AP141" s="85">
        <v>0.3</v>
      </c>
      <c r="AQ141" s="84">
        <f t="shared" si="74"/>
        <v>0.3</v>
      </c>
      <c r="AR141" s="88">
        <v>0</v>
      </c>
      <c r="AS141" s="88">
        <v>0</v>
      </c>
      <c r="AT141" s="88">
        <v>0</v>
      </c>
      <c r="AU141" s="88">
        <v>0</v>
      </c>
      <c r="AV141" s="84">
        <f t="shared" si="75"/>
        <v>0</v>
      </c>
      <c r="AW141" s="88">
        <v>0</v>
      </c>
      <c r="AX141" s="88">
        <v>0</v>
      </c>
      <c r="AY141" s="88">
        <v>0</v>
      </c>
      <c r="AZ141" s="84">
        <f t="shared" si="76"/>
        <v>0</v>
      </c>
      <c r="BA141" s="88">
        <v>0</v>
      </c>
      <c r="BB141" s="88">
        <v>0</v>
      </c>
      <c r="BC141" s="153">
        <v>0</v>
      </c>
      <c r="BD141" s="84">
        <f t="shared" si="77"/>
        <v>0</v>
      </c>
      <c r="BE141" s="135"/>
      <c r="BF141" s="92" t="e">
        <f t="shared" si="78"/>
        <v>#DIV/0!</v>
      </c>
      <c r="BG141" s="103"/>
    </row>
    <row r="142" spans="2:59" ht="43.5" customHeight="1" thickBot="1" x14ac:dyDescent="0.4">
      <c r="B142" s="80">
        <v>810</v>
      </c>
      <c r="C142" s="81">
        <v>1</v>
      </c>
      <c r="D142" s="82">
        <v>1</v>
      </c>
      <c r="E142" s="82">
        <v>1</v>
      </c>
      <c r="F142" s="83">
        <v>1</v>
      </c>
      <c r="G142" s="133">
        <f t="shared" si="70"/>
        <v>1</v>
      </c>
      <c r="H142" s="88">
        <v>0.7</v>
      </c>
      <c r="I142" s="86">
        <v>0.7</v>
      </c>
      <c r="J142" s="82">
        <v>0.7</v>
      </c>
      <c r="K142" s="89">
        <v>0.7</v>
      </c>
      <c r="L142" s="90">
        <f t="shared" si="71"/>
        <v>0.7</v>
      </c>
      <c r="M142" s="85">
        <v>1</v>
      </c>
      <c r="N142" s="86">
        <v>1</v>
      </c>
      <c r="O142" s="82">
        <v>0.95</v>
      </c>
      <c r="P142" s="87">
        <v>1</v>
      </c>
      <c r="Q142" s="88">
        <v>1</v>
      </c>
      <c r="R142" s="86">
        <v>1</v>
      </c>
      <c r="S142" s="82">
        <v>1</v>
      </c>
      <c r="T142" s="89">
        <v>1</v>
      </c>
      <c r="U142" s="88">
        <v>1</v>
      </c>
      <c r="V142" s="86">
        <v>1</v>
      </c>
      <c r="W142" s="82">
        <v>1</v>
      </c>
      <c r="X142" s="89">
        <v>1</v>
      </c>
      <c r="Y142" s="90">
        <f t="shared" si="72"/>
        <v>0.99750000000000005</v>
      </c>
      <c r="Z142" s="88">
        <v>0</v>
      </c>
      <c r="AA142" s="86">
        <v>0</v>
      </c>
      <c r="AB142" s="82">
        <v>0</v>
      </c>
      <c r="AC142" s="89">
        <v>0</v>
      </c>
      <c r="AD142" s="90">
        <f t="shared" si="73"/>
        <v>0</v>
      </c>
      <c r="AE142" s="88">
        <v>0.9</v>
      </c>
      <c r="AF142" s="86">
        <v>1</v>
      </c>
      <c r="AG142" s="82">
        <v>0.7</v>
      </c>
      <c r="AH142" s="87">
        <v>1</v>
      </c>
      <c r="AI142" s="84">
        <f t="shared" si="79"/>
        <v>0.8899999999999999</v>
      </c>
      <c r="AJ142" s="88">
        <v>1</v>
      </c>
      <c r="AK142" s="85">
        <v>0</v>
      </c>
      <c r="AL142" s="156">
        <v>0</v>
      </c>
      <c r="AM142" s="85">
        <v>0.3</v>
      </c>
      <c r="AN142" s="85">
        <v>0.3</v>
      </c>
      <c r="AO142" s="85">
        <v>0.3</v>
      </c>
      <c r="AP142" s="85">
        <v>0.3</v>
      </c>
      <c r="AQ142" s="84">
        <f t="shared" si="74"/>
        <v>0.3</v>
      </c>
      <c r="AR142" s="88">
        <v>0</v>
      </c>
      <c r="AS142" s="88">
        <v>0</v>
      </c>
      <c r="AT142" s="88">
        <v>0</v>
      </c>
      <c r="AU142" s="88">
        <v>0</v>
      </c>
      <c r="AV142" s="84">
        <f t="shared" si="75"/>
        <v>0</v>
      </c>
      <c r="AW142" s="88">
        <v>0</v>
      </c>
      <c r="AX142" s="88">
        <v>0</v>
      </c>
      <c r="AY142" s="88">
        <v>0</v>
      </c>
      <c r="AZ142" s="84">
        <f t="shared" si="76"/>
        <v>0</v>
      </c>
      <c r="BA142" s="88">
        <v>0</v>
      </c>
      <c r="BB142" s="88">
        <v>0</v>
      </c>
      <c r="BC142" s="153">
        <v>0</v>
      </c>
      <c r="BD142" s="84">
        <f t="shared" si="77"/>
        <v>0</v>
      </c>
      <c r="BE142" s="135"/>
      <c r="BF142" s="92" t="e">
        <f t="shared" si="78"/>
        <v>#DIV/0!</v>
      </c>
      <c r="BG142" s="103"/>
    </row>
    <row r="143" spans="2:59" ht="43.5" customHeight="1" thickBot="1" x14ac:dyDescent="0.35">
      <c r="B143" s="80">
        <v>811</v>
      </c>
      <c r="C143" s="81">
        <v>1</v>
      </c>
      <c r="D143" s="82">
        <v>1</v>
      </c>
      <c r="E143" s="82">
        <v>1</v>
      </c>
      <c r="F143" s="83">
        <v>1</v>
      </c>
      <c r="G143" s="133">
        <f t="shared" si="70"/>
        <v>1</v>
      </c>
      <c r="H143" s="88">
        <v>0.7</v>
      </c>
      <c r="I143" s="86">
        <v>0.7</v>
      </c>
      <c r="J143" s="82">
        <v>0.7</v>
      </c>
      <c r="K143" s="89">
        <v>0.7</v>
      </c>
      <c r="L143" s="90">
        <f t="shared" si="71"/>
        <v>0.7</v>
      </c>
      <c r="M143" s="85">
        <v>1</v>
      </c>
      <c r="N143" s="86">
        <v>1</v>
      </c>
      <c r="O143" s="82">
        <v>0.95</v>
      </c>
      <c r="P143" s="87">
        <v>1</v>
      </c>
      <c r="Q143" s="88">
        <v>1</v>
      </c>
      <c r="R143" s="86">
        <v>1</v>
      </c>
      <c r="S143" s="82">
        <v>1</v>
      </c>
      <c r="T143" s="89">
        <v>1</v>
      </c>
      <c r="U143" s="88">
        <v>1</v>
      </c>
      <c r="V143" s="86">
        <v>1</v>
      </c>
      <c r="W143" s="82">
        <v>1</v>
      </c>
      <c r="X143" s="89">
        <v>1</v>
      </c>
      <c r="Y143" s="90">
        <f t="shared" si="72"/>
        <v>0.99750000000000005</v>
      </c>
      <c r="Z143" s="88">
        <v>0</v>
      </c>
      <c r="AA143" s="86">
        <v>0</v>
      </c>
      <c r="AB143" s="82">
        <v>0</v>
      </c>
      <c r="AC143" s="89">
        <v>0</v>
      </c>
      <c r="AD143" s="90">
        <f t="shared" si="73"/>
        <v>0</v>
      </c>
      <c r="AE143" s="88">
        <v>0.4</v>
      </c>
      <c r="AF143" s="86">
        <v>0</v>
      </c>
      <c r="AG143" s="82">
        <v>0</v>
      </c>
      <c r="AH143" s="87">
        <v>0</v>
      </c>
      <c r="AI143" s="84">
        <f t="shared" si="79"/>
        <v>2.0000000000000004E-2</v>
      </c>
      <c r="AJ143" s="88">
        <v>1</v>
      </c>
      <c r="AK143" s="85">
        <v>0</v>
      </c>
      <c r="AL143" s="156">
        <v>0</v>
      </c>
      <c r="AM143" s="85">
        <v>0.3</v>
      </c>
      <c r="AN143" s="85">
        <v>0.3</v>
      </c>
      <c r="AO143" s="85">
        <v>0.3</v>
      </c>
      <c r="AP143" s="85">
        <v>0.3</v>
      </c>
      <c r="AQ143" s="84">
        <f t="shared" si="74"/>
        <v>0.3</v>
      </c>
      <c r="AR143" s="88">
        <v>0</v>
      </c>
      <c r="AS143" s="88">
        <v>0</v>
      </c>
      <c r="AT143" s="88">
        <v>0</v>
      </c>
      <c r="AU143" s="88">
        <v>0</v>
      </c>
      <c r="AV143" s="84">
        <f t="shared" si="75"/>
        <v>0</v>
      </c>
      <c r="AW143" s="88">
        <v>0</v>
      </c>
      <c r="AX143" s="88">
        <v>0</v>
      </c>
      <c r="AY143" s="88">
        <v>0</v>
      </c>
      <c r="AZ143" s="84">
        <f t="shared" si="76"/>
        <v>0</v>
      </c>
      <c r="BA143" s="88">
        <v>0</v>
      </c>
      <c r="BB143" s="88">
        <v>0</v>
      </c>
      <c r="BC143" s="153">
        <v>0</v>
      </c>
      <c r="BD143" s="84">
        <f t="shared" si="77"/>
        <v>0</v>
      </c>
      <c r="BE143" s="135"/>
      <c r="BF143" s="92" t="e">
        <f t="shared" si="78"/>
        <v>#DIV/0!</v>
      </c>
      <c r="BG143" s="102"/>
    </row>
    <row r="144" spans="2:59" ht="43.5" customHeight="1" thickBot="1" x14ac:dyDescent="0.35">
      <c r="B144" s="80">
        <v>812</v>
      </c>
      <c r="C144" s="81">
        <v>1</v>
      </c>
      <c r="D144" s="82">
        <v>1</v>
      </c>
      <c r="E144" s="82">
        <v>1</v>
      </c>
      <c r="F144" s="83">
        <v>1</v>
      </c>
      <c r="G144" s="133">
        <f t="shared" si="70"/>
        <v>1</v>
      </c>
      <c r="H144" s="88">
        <v>1</v>
      </c>
      <c r="I144" s="86">
        <v>1</v>
      </c>
      <c r="J144" s="82">
        <v>1</v>
      </c>
      <c r="K144" s="89">
        <v>1</v>
      </c>
      <c r="L144" s="90">
        <f t="shared" si="71"/>
        <v>1</v>
      </c>
      <c r="M144" s="85">
        <v>1</v>
      </c>
      <c r="N144" s="86">
        <v>1</v>
      </c>
      <c r="O144" s="82">
        <v>0.95</v>
      </c>
      <c r="P144" s="87">
        <v>1</v>
      </c>
      <c r="Q144" s="88">
        <v>1</v>
      </c>
      <c r="R144" s="86">
        <v>1</v>
      </c>
      <c r="S144" s="82">
        <v>1</v>
      </c>
      <c r="T144" s="89">
        <v>1</v>
      </c>
      <c r="U144" s="88">
        <v>1</v>
      </c>
      <c r="V144" s="86">
        <v>1</v>
      </c>
      <c r="W144" s="82">
        <v>1</v>
      </c>
      <c r="X144" s="89">
        <v>1</v>
      </c>
      <c r="Y144" s="90">
        <f t="shared" si="72"/>
        <v>0.99750000000000005</v>
      </c>
      <c r="Z144" s="88">
        <v>0</v>
      </c>
      <c r="AA144" s="86">
        <v>0</v>
      </c>
      <c r="AB144" s="82">
        <v>0</v>
      </c>
      <c r="AC144" s="89">
        <v>0</v>
      </c>
      <c r="AD144" s="90">
        <f t="shared" si="73"/>
        <v>0</v>
      </c>
      <c r="AE144" s="88">
        <v>0.9</v>
      </c>
      <c r="AF144" s="86">
        <v>1</v>
      </c>
      <c r="AG144" s="82">
        <v>0.7</v>
      </c>
      <c r="AH144" s="87">
        <v>1</v>
      </c>
      <c r="AI144" s="84">
        <f t="shared" si="79"/>
        <v>0.8899999999999999</v>
      </c>
      <c r="AJ144" s="88">
        <v>1</v>
      </c>
      <c r="AK144" s="85">
        <v>1</v>
      </c>
      <c r="AL144" s="156">
        <v>0</v>
      </c>
      <c r="AM144" s="85">
        <v>0.3</v>
      </c>
      <c r="AN144" s="85">
        <v>0.3</v>
      </c>
      <c r="AO144" s="85">
        <v>0.3</v>
      </c>
      <c r="AP144" s="85">
        <v>0.3</v>
      </c>
      <c r="AQ144" s="84">
        <f t="shared" si="74"/>
        <v>0.3</v>
      </c>
      <c r="AR144" s="88">
        <v>0</v>
      </c>
      <c r="AS144" s="88">
        <v>0</v>
      </c>
      <c r="AT144" s="88">
        <v>0</v>
      </c>
      <c r="AU144" s="88">
        <v>0</v>
      </c>
      <c r="AV144" s="84">
        <f t="shared" si="75"/>
        <v>0</v>
      </c>
      <c r="AW144" s="88">
        <v>0</v>
      </c>
      <c r="AX144" s="88">
        <v>0</v>
      </c>
      <c r="AY144" s="88">
        <v>0</v>
      </c>
      <c r="AZ144" s="84">
        <f t="shared" si="76"/>
        <v>0</v>
      </c>
      <c r="BA144" s="88">
        <v>0</v>
      </c>
      <c r="BB144" s="88">
        <v>0</v>
      </c>
      <c r="BC144" s="153">
        <v>0</v>
      </c>
      <c r="BD144" s="84">
        <f t="shared" si="77"/>
        <v>0</v>
      </c>
      <c r="BE144" s="135"/>
      <c r="BF144" s="92" t="e">
        <f t="shared" si="78"/>
        <v>#DIV/0!</v>
      </c>
      <c r="BG144" s="102"/>
    </row>
    <row r="145" spans="2:59" ht="43.5" customHeight="1" thickBot="1" x14ac:dyDescent="0.35">
      <c r="B145" s="80">
        <v>813</v>
      </c>
      <c r="C145" s="81">
        <v>1</v>
      </c>
      <c r="D145" s="82">
        <v>1</v>
      </c>
      <c r="E145" s="82">
        <v>1</v>
      </c>
      <c r="F145" s="83">
        <v>1</v>
      </c>
      <c r="G145" s="133">
        <f t="shared" si="70"/>
        <v>1</v>
      </c>
      <c r="H145" s="88">
        <v>0</v>
      </c>
      <c r="I145" s="86">
        <v>0</v>
      </c>
      <c r="J145" s="82">
        <v>0</v>
      </c>
      <c r="K145" s="89">
        <v>0</v>
      </c>
      <c r="L145" s="90">
        <f t="shared" si="71"/>
        <v>0</v>
      </c>
      <c r="M145" s="85">
        <v>1</v>
      </c>
      <c r="N145" s="86">
        <v>1</v>
      </c>
      <c r="O145" s="82">
        <v>0.95</v>
      </c>
      <c r="P145" s="87">
        <v>1</v>
      </c>
      <c r="Q145" s="88">
        <v>1</v>
      </c>
      <c r="R145" s="86">
        <v>1</v>
      </c>
      <c r="S145" s="82">
        <v>1</v>
      </c>
      <c r="T145" s="89">
        <v>1</v>
      </c>
      <c r="U145" s="88">
        <v>1</v>
      </c>
      <c r="V145" s="86">
        <v>1</v>
      </c>
      <c r="W145" s="82">
        <v>1</v>
      </c>
      <c r="X145" s="89">
        <v>1</v>
      </c>
      <c r="Y145" s="90">
        <f t="shared" si="72"/>
        <v>0.99750000000000005</v>
      </c>
      <c r="Z145" s="88">
        <v>0</v>
      </c>
      <c r="AA145" s="86">
        <v>0</v>
      </c>
      <c r="AB145" s="82">
        <v>0</v>
      </c>
      <c r="AC145" s="89">
        <v>0</v>
      </c>
      <c r="AD145" s="90">
        <f t="shared" si="73"/>
        <v>0</v>
      </c>
      <c r="AE145" s="88">
        <v>0.9</v>
      </c>
      <c r="AF145" s="86">
        <v>0</v>
      </c>
      <c r="AG145" s="82">
        <v>0.7</v>
      </c>
      <c r="AH145" s="87">
        <v>0</v>
      </c>
      <c r="AI145" s="84">
        <f t="shared" si="79"/>
        <v>0.28999999999999998</v>
      </c>
      <c r="AJ145" s="88">
        <v>1</v>
      </c>
      <c r="AK145" s="85">
        <v>0</v>
      </c>
      <c r="AL145" s="156">
        <v>0</v>
      </c>
      <c r="AM145" s="85">
        <v>0.3</v>
      </c>
      <c r="AN145" s="85">
        <v>0.3</v>
      </c>
      <c r="AO145" s="85">
        <v>0.3</v>
      </c>
      <c r="AP145" s="85">
        <v>0.3</v>
      </c>
      <c r="AQ145" s="84">
        <f t="shared" si="74"/>
        <v>0.3</v>
      </c>
      <c r="AR145" s="88">
        <v>0</v>
      </c>
      <c r="AS145" s="88">
        <v>0</v>
      </c>
      <c r="AT145" s="88">
        <v>0</v>
      </c>
      <c r="AU145" s="88">
        <v>0</v>
      </c>
      <c r="AV145" s="84">
        <f t="shared" si="75"/>
        <v>0</v>
      </c>
      <c r="AW145" s="88">
        <v>0</v>
      </c>
      <c r="AX145" s="88">
        <v>0</v>
      </c>
      <c r="AY145" s="88">
        <v>0</v>
      </c>
      <c r="AZ145" s="84">
        <f t="shared" si="76"/>
        <v>0</v>
      </c>
      <c r="BA145" s="88">
        <v>0</v>
      </c>
      <c r="BB145" s="88">
        <v>0</v>
      </c>
      <c r="BC145" s="153">
        <v>0</v>
      </c>
      <c r="BD145" s="84">
        <f t="shared" si="77"/>
        <v>0</v>
      </c>
      <c r="BE145" s="135"/>
      <c r="BF145" s="92" t="e">
        <f t="shared" si="78"/>
        <v>#DIV/0!</v>
      </c>
      <c r="BG145" s="105"/>
    </row>
    <row r="146" spans="2:59" ht="43.5" customHeight="1" thickBot="1" x14ac:dyDescent="0.4">
      <c r="B146" s="80">
        <v>814</v>
      </c>
      <c r="C146" s="81">
        <v>1</v>
      </c>
      <c r="D146" s="82">
        <v>1</v>
      </c>
      <c r="E146" s="82">
        <v>1</v>
      </c>
      <c r="F146" s="83">
        <v>1</v>
      </c>
      <c r="G146" s="133">
        <f t="shared" si="70"/>
        <v>1</v>
      </c>
      <c r="H146" s="88">
        <v>0</v>
      </c>
      <c r="I146" s="86">
        <v>0</v>
      </c>
      <c r="J146" s="82">
        <v>0</v>
      </c>
      <c r="K146" s="89">
        <v>0</v>
      </c>
      <c r="L146" s="90">
        <f t="shared" si="71"/>
        <v>0</v>
      </c>
      <c r="M146" s="85">
        <v>1</v>
      </c>
      <c r="N146" s="86">
        <v>1</v>
      </c>
      <c r="O146" s="82">
        <v>0.95</v>
      </c>
      <c r="P146" s="87">
        <v>1</v>
      </c>
      <c r="Q146" s="88">
        <v>1</v>
      </c>
      <c r="R146" s="86">
        <v>1</v>
      </c>
      <c r="S146" s="82">
        <v>1</v>
      </c>
      <c r="T146" s="89">
        <v>1</v>
      </c>
      <c r="U146" s="88">
        <v>1</v>
      </c>
      <c r="V146" s="86">
        <v>1</v>
      </c>
      <c r="W146" s="82">
        <v>1</v>
      </c>
      <c r="X146" s="89">
        <v>1</v>
      </c>
      <c r="Y146" s="90">
        <f t="shared" si="72"/>
        <v>0.99750000000000005</v>
      </c>
      <c r="Z146" s="88">
        <v>0</v>
      </c>
      <c r="AA146" s="86">
        <v>0</v>
      </c>
      <c r="AB146" s="82">
        <v>0</v>
      </c>
      <c r="AC146" s="89">
        <v>0</v>
      </c>
      <c r="AD146" s="90">
        <f t="shared" si="73"/>
        <v>0</v>
      </c>
      <c r="AE146" s="88">
        <v>0.9</v>
      </c>
      <c r="AF146" s="86">
        <v>1</v>
      </c>
      <c r="AG146" s="82">
        <v>1</v>
      </c>
      <c r="AH146" s="87">
        <v>1</v>
      </c>
      <c r="AI146" s="84">
        <f t="shared" si="79"/>
        <v>0.99499999999999988</v>
      </c>
      <c r="AJ146" s="88">
        <v>1</v>
      </c>
      <c r="AK146" s="85">
        <v>0</v>
      </c>
      <c r="AL146" s="156">
        <v>0</v>
      </c>
      <c r="AM146" s="85">
        <v>0.3</v>
      </c>
      <c r="AN146" s="85">
        <v>0.3</v>
      </c>
      <c r="AO146" s="85">
        <v>0.3</v>
      </c>
      <c r="AP146" s="85">
        <v>0.3</v>
      </c>
      <c r="AQ146" s="84">
        <f t="shared" si="74"/>
        <v>0.3</v>
      </c>
      <c r="AR146" s="88">
        <v>0</v>
      </c>
      <c r="AS146" s="88">
        <v>0</v>
      </c>
      <c r="AT146" s="88">
        <v>0</v>
      </c>
      <c r="AU146" s="88">
        <v>0</v>
      </c>
      <c r="AV146" s="84">
        <f t="shared" si="75"/>
        <v>0</v>
      </c>
      <c r="AW146" s="88">
        <v>0</v>
      </c>
      <c r="AX146" s="88">
        <v>0</v>
      </c>
      <c r="AY146" s="88">
        <v>0</v>
      </c>
      <c r="AZ146" s="84">
        <f t="shared" si="76"/>
        <v>0</v>
      </c>
      <c r="BA146" s="88">
        <v>0</v>
      </c>
      <c r="BB146" s="88">
        <v>0</v>
      </c>
      <c r="BC146" s="153">
        <v>0</v>
      </c>
      <c r="BD146" s="84">
        <f t="shared" si="77"/>
        <v>0</v>
      </c>
      <c r="BE146" s="135"/>
      <c r="BF146" s="92" t="e">
        <f t="shared" si="78"/>
        <v>#DIV/0!</v>
      </c>
      <c r="BG146" s="103"/>
    </row>
    <row r="147" spans="2:59" ht="43.5" customHeight="1" thickBot="1" x14ac:dyDescent="0.4">
      <c r="B147" s="80">
        <v>815</v>
      </c>
      <c r="C147" s="81">
        <v>1</v>
      </c>
      <c r="D147" s="82">
        <v>1</v>
      </c>
      <c r="E147" s="82">
        <v>1</v>
      </c>
      <c r="F147" s="83">
        <v>1</v>
      </c>
      <c r="G147" s="133">
        <f t="shared" si="70"/>
        <v>1</v>
      </c>
      <c r="H147" s="88">
        <v>0</v>
      </c>
      <c r="I147" s="86">
        <v>0</v>
      </c>
      <c r="J147" s="82">
        <v>0</v>
      </c>
      <c r="K147" s="89">
        <v>0</v>
      </c>
      <c r="L147" s="90">
        <f t="shared" si="71"/>
        <v>0</v>
      </c>
      <c r="M147" s="85">
        <v>1</v>
      </c>
      <c r="N147" s="86">
        <v>1</v>
      </c>
      <c r="O147" s="82">
        <v>0.95</v>
      </c>
      <c r="P147" s="87">
        <v>1</v>
      </c>
      <c r="Q147" s="88">
        <v>1</v>
      </c>
      <c r="R147" s="86">
        <v>1</v>
      </c>
      <c r="S147" s="82">
        <v>1</v>
      </c>
      <c r="T147" s="89">
        <v>1</v>
      </c>
      <c r="U147" s="88">
        <v>1</v>
      </c>
      <c r="V147" s="86">
        <v>1</v>
      </c>
      <c r="W147" s="82">
        <v>1</v>
      </c>
      <c r="X147" s="89">
        <v>1</v>
      </c>
      <c r="Y147" s="90">
        <f t="shared" si="72"/>
        <v>0.99750000000000005</v>
      </c>
      <c r="Z147" s="88">
        <v>0</v>
      </c>
      <c r="AA147" s="86">
        <v>0</v>
      </c>
      <c r="AB147" s="82">
        <v>0</v>
      </c>
      <c r="AC147" s="89">
        <v>0</v>
      </c>
      <c r="AD147" s="90">
        <f t="shared" si="73"/>
        <v>0</v>
      </c>
      <c r="AE147" s="88">
        <v>0</v>
      </c>
      <c r="AF147" s="86">
        <v>0</v>
      </c>
      <c r="AG147" s="82">
        <v>0</v>
      </c>
      <c r="AH147" s="87">
        <v>0</v>
      </c>
      <c r="AI147" s="84">
        <f t="shared" si="79"/>
        <v>0</v>
      </c>
      <c r="AJ147" s="88">
        <v>1</v>
      </c>
      <c r="AK147" s="85">
        <v>0</v>
      </c>
      <c r="AL147" s="156">
        <v>0</v>
      </c>
      <c r="AM147" s="85">
        <v>0.3</v>
      </c>
      <c r="AN147" s="85">
        <v>0.3</v>
      </c>
      <c r="AO147" s="85">
        <v>0.3</v>
      </c>
      <c r="AP147" s="85">
        <v>0.3</v>
      </c>
      <c r="AQ147" s="84">
        <f t="shared" si="74"/>
        <v>0.3</v>
      </c>
      <c r="AR147" s="88">
        <v>0</v>
      </c>
      <c r="AS147" s="88">
        <v>0</v>
      </c>
      <c r="AT147" s="88">
        <v>0</v>
      </c>
      <c r="AU147" s="88">
        <v>0</v>
      </c>
      <c r="AV147" s="84">
        <f t="shared" si="75"/>
        <v>0</v>
      </c>
      <c r="AW147" s="88">
        <v>0</v>
      </c>
      <c r="AX147" s="88">
        <v>0</v>
      </c>
      <c r="AY147" s="88">
        <v>0</v>
      </c>
      <c r="AZ147" s="84">
        <f t="shared" si="76"/>
        <v>0</v>
      </c>
      <c r="BA147" s="88">
        <v>0</v>
      </c>
      <c r="BB147" s="88">
        <v>0</v>
      </c>
      <c r="BC147" s="153">
        <v>0</v>
      </c>
      <c r="BD147" s="84">
        <f t="shared" si="77"/>
        <v>0</v>
      </c>
      <c r="BE147" s="135"/>
      <c r="BF147" s="92" t="e">
        <f t="shared" si="78"/>
        <v>#DIV/0!</v>
      </c>
      <c r="BG147" s="103"/>
    </row>
    <row r="148" spans="2:59" ht="43.5" customHeight="1" thickBot="1" x14ac:dyDescent="0.4">
      <c r="B148" s="154">
        <v>816</v>
      </c>
      <c r="C148" s="137">
        <v>1</v>
      </c>
      <c r="D148" s="110">
        <v>1</v>
      </c>
      <c r="E148" s="110">
        <v>1</v>
      </c>
      <c r="F148" s="138">
        <v>1</v>
      </c>
      <c r="G148" s="133">
        <f t="shared" si="70"/>
        <v>1</v>
      </c>
      <c r="H148" s="108">
        <v>0</v>
      </c>
      <c r="I148" s="109">
        <v>0</v>
      </c>
      <c r="J148" s="110">
        <v>0</v>
      </c>
      <c r="K148" s="111">
        <v>0</v>
      </c>
      <c r="L148" s="90">
        <f t="shared" si="71"/>
        <v>0</v>
      </c>
      <c r="M148" s="112">
        <v>1</v>
      </c>
      <c r="N148" s="109">
        <v>1</v>
      </c>
      <c r="O148" s="110">
        <v>0.95</v>
      </c>
      <c r="P148" s="113">
        <v>1</v>
      </c>
      <c r="Q148" s="108">
        <v>1</v>
      </c>
      <c r="R148" s="109">
        <v>1</v>
      </c>
      <c r="S148" s="110">
        <v>1</v>
      </c>
      <c r="T148" s="111">
        <v>1</v>
      </c>
      <c r="U148" s="108">
        <v>1</v>
      </c>
      <c r="V148" s="109">
        <v>1</v>
      </c>
      <c r="W148" s="110">
        <v>1</v>
      </c>
      <c r="X148" s="111">
        <v>1</v>
      </c>
      <c r="Y148" s="90">
        <f t="shared" si="72"/>
        <v>0.99750000000000005</v>
      </c>
      <c r="Z148" s="108">
        <v>0</v>
      </c>
      <c r="AA148" s="109">
        <v>0</v>
      </c>
      <c r="AB148" s="110">
        <v>0</v>
      </c>
      <c r="AC148" s="111">
        <v>0</v>
      </c>
      <c r="AD148" s="90">
        <f t="shared" si="73"/>
        <v>0</v>
      </c>
      <c r="AE148" s="108">
        <v>0.9</v>
      </c>
      <c r="AF148" s="109">
        <v>1</v>
      </c>
      <c r="AG148" s="110">
        <v>0.4</v>
      </c>
      <c r="AH148" s="113">
        <v>0.7</v>
      </c>
      <c r="AI148" s="84">
        <f t="shared" si="79"/>
        <v>0.69499999999999995</v>
      </c>
      <c r="AJ148" s="108">
        <v>1</v>
      </c>
      <c r="AK148" s="112">
        <v>0</v>
      </c>
      <c r="AL148" s="157">
        <v>0</v>
      </c>
      <c r="AM148" s="85">
        <v>0.3</v>
      </c>
      <c r="AN148" s="85">
        <v>0.3</v>
      </c>
      <c r="AO148" s="85">
        <v>0.3</v>
      </c>
      <c r="AP148" s="85">
        <v>0.3</v>
      </c>
      <c r="AQ148" s="84">
        <f t="shared" si="74"/>
        <v>0.3</v>
      </c>
      <c r="AR148" s="88">
        <v>0</v>
      </c>
      <c r="AS148" s="88">
        <v>0</v>
      </c>
      <c r="AT148" s="88">
        <v>0</v>
      </c>
      <c r="AU148" s="88">
        <v>0</v>
      </c>
      <c r="AV148" s="84">
        <f t="shared" si="75"/>
        <v>0</v>
      </c>
      <c r="AW148" s="88">
        <v>0</v>
      </c>
      <c r="AX148" s="88">
        <v>0</v>
      </c>
      <c r="AY148" s="88">
        <v>0</v>
      </c>
      <c r="AZ148" s="84">
        <f t="shared" si="76"/>
        <v>0</v>
      </c>
      <c r="BA148" s="88">
        <v>0</v>
      </c>
      <c r="BB148" s="88">
        <v>0</v>
      </c>
      <c r="BC148" s="153">
        <v>0</v>
      </c>
      <c r="BD148" s="84">
        <f t="shared" si="77"/>
        <v>0</v>
      </c>
      <c r="BE148" s="150"/>
      <c r="BF148" s="151" t="e">
        <f t="shared" si="78"/>
        <v>#DIV/0!</v>
      </c>
      <c r="BG148" s="152"/>
    </row>
    <row r="149" spans="2:59" ht="43.5" customHeight="1" thickBot="1" x14ac:dyDescent="0.35">
      <c r="B149" s="173" t="s">
        <v>100</v>
      </c>
      <c r="C149" s="174"/>
      <c r="D149" s="174"/>
      <c r="E149" s="174"/>
      <c r="F149" s="174"/>
      <c r="G149" s="174"/>
      <c r="H149" s="174"/>
      <c r="I149" s="174"/>
      <c r="J149" s="174"/>
      <c r="K149" s="174"/>
      <c r="L149" s="174"/>
      <c r="M149" s="174"/>
      <c r="N149" s="174"/>
      <c r="O149" s="174"/>
      <c r="P149" s="174"/>
      <c r="Q149" s="174"/>
      <c r="R149" s="174"/>
      <c r="S149" s="174"/>
      <c r="T149" s="174"/>
      <c r="U149" s="174"/>
      <c r="V149" s="174"/>
      <c r="W149" s="174"/>
      <c r="X149" s="174"/>
      <c r="Y149" s="174"/>
      <c r="Z149" s="174"/>
      <c r="AA149" s="174"/>
      <c r="AB149" s="174"/>
      <c r="AC149" s="174"/>
      <c r="AD149" s="174"/>
      <c r="AE149" s="174"/>
      <c r="AF149" s="174"/>
      <c r="AG149" s="174"/>
      <c r="AH149" s="174"/>
      <c r="AI149" s="174"/>
      <c r="AJ149" s="174"/>
      <c r="AK149" s="174"/>
      <c r="AL149" s="174"/>
      <c r="AM149" s="174"/>
      <c r="AN149" s="174"/>
      <c r="AO149" s="174"/>
      <c r="AP149" s="174"/>
      <c r="AQ149" s="174"/>
      <c r="AR149" s="174"/>
      <c r="AS149" s="174"/>
      <c r="AT149" s="174"/>
      <c r="AU149" s="174"/>
      <c r="AV149" s="174"/>
      <c r="AW149" s="174"/>
      <c r="AX149" s="174"/>
      <c r="AY149" s="174"/>
      <c r="AZ149" s="174"/>
      <c r="BA149" s="174"/>
      <c r="BB149" s="174"/>
      <c r="BC149" s="174"/>
      <c r="BD149" s="174"/>
      <c r="BE149" s="174"/>
      <c r="BF149" s="174"/>
      <c r="BG149" s="176"/>
    </row>
    <row r="150" spans="2:59" ht="43.5" customHeight="1" thickBot="1" x14ac:dyDescent="0.35">
      <c r="B150" s="80">
        <v>901</v>
      </c>
      <c r="C150" s="81">
        <v>1</v>
      </c>
      <c r="D150" s="82">
        <v>1</v>
      </c>
      <c r="E150" s="82">
        <v>1</v>
      </c>
      <c r="F150" s="83">
        <v>1</v>
      </c>
      <c r="G150" s="133">
        <f t="shared" ref="G150:G165" si="80" xml:space="preserve"> C150*45% + D150*45% + E150*5% + F150*5%</f>
        <v>1</v>
      </c>
      <c r="H150" s="88">
        <v>0.7</v>
      </c>
      <c r="I150" s="86">
        <v>0.7</v>
      </c>
      <c r="J150" s="82">
        <v>0.7</v>
      </c>
      <c r="K150" s="89">
        <v>0.7</v>
      </c>
      <c r="L150" s="90">
        <f t="shared" ref="L150:L165" si="81" xml:space="preserve"> H150*30% + I150*30% + J150*10% + K150*30%</f>
        <v>0.7</v>
      </c>
      <c r="M150" s="85">
        <v>1</v>
      </c>
      <c r="N150" s="86">
        <v>1</v>
      </c>
      <c r="O150" s="82">
        <v>0.95</v>
      </c>
      <c r="P150" s="87">
        <v>1</v>
      </c>
      <c r="Q150" s="88">
        <v>0</v>
      </c>
      <c r="R150" s="86">
        <v>0</v>
      </c>
      <c r="S150" s="82">
        <v>0</v>
      </c>
      <c r="T150" s="89">
        <v>1</v>
      </c>
      <c r="U150" s="88">
        <v>1</v>
      </c>
      <c r="V150" s="86">
        <v>1</v>
      </c>
      <c r="W150" s="82">
        <v>1</v>
      </c>
      <c r="X150" s="89">
        <v>1</v>
      </c>
      <c r="Y150" s="90">
        <f t="shared" ref="Y150:Y165" si="82" xml:space="preserve"> (U150*10% + V150*10% + W150*10% + X150*10%+ Q150*5% + R150*5% + S150*5% + T150*5%+M150*10% + N150*15% + O150*5% + P150*10%)</f>
        <v>0.84750000000000003</v>
      </c>
      <c r="Z150" s="88">
        <v>0</v>
      </c>
      <c r="AA150" s="86">
        <v>0</v>
      </c>
      <c r="AB150" s="82">
        <v>0</v>
      </c>
      <c r="AC150" s="89">
        <v>0</v>
      </c>
      <c r="AD150" s="90">
        <f t="shared" ref="AD150:AD165" si="83" xml:space="preserve"> Z150*45% + AA150*45% + AB150*5% + AC150*5%</f>
        <v>0</v>
      </c>
      <c r="AE150" s="88">
        <v>0.9</v>
      </c>
      <c r="AF150" s="86"/>
      <c r="AG150" s="82"/>
      <c r="AH150" s="87"/>
      <c r="AI150" s="84">
        <f xml:space="preserve"> AE150*5% + AF150*30% + AG150*35% + AH150*30%</f>
        <v>4.5000000000000005E-2</v>
      </c>
      <c r="AJ150" s="88">
        <v>1</v>
      </c>
      <c r="AK150" s="88">
        <v>0</v>
      </c>
      <c r="AL150" s="99"/>
      <c r="AM150" s="85">
        <v>0.3</v>
      </c>
      <c r="AN150" s="85">
        <v>0.3</v>
      </c>
      <c r="AO150" s="85">
        <v>0.3</v>
      </c>
      <c r="AP150" s="85">
        <v>0.3</v>
      </c>
      <c r="AQ150" s="84">
        <f t="shared" ref="AQ150:AQ165" si="84" xml:space="preserve"> AM150*15% + AN150*35% + AO150*15% + AP150*35%</f>
        <v>0.3</v>
      </c>
      <c r="AR150" s="88">
        <v>0</v>
      </c>
      <c r="AS150" s="88">
        <v>0</v>
      </c>
      <c r="AT150" s="88">
        <v>0</v>
      </c>
      <c r="AU150" s="88">
        <v>0</v>
      </c>
      <c r="AV150" s="84">
        <f t="shared" ref="AV150:AV165" si="85" xml:space="preserve"> AR150*30% + AS150*30% + AT150*15% + AU150*25%</f>
        <v>0</v>
      </c>
      <c r="AW150" s="88">
        <v>0</v>
      </c>
      <c r="AX150" s="88">
        <v>0</v>
      </c>
      <c r="AY150" s="88">
        <v>0</v>
      </c>
      <c r="AZ150" s="84">
        <f t="shared" ref="AZ150:AZ165" si="86" xml:space="preserve">  AW150*30% + AX150*45% + AY150*25%</f>
        <v>0</v>
      </c>
      <c r="BA150" s="88">
        <v>0</v>
      </c>
      <c r="BB150" s="88">
        <v>0</v>
      </c>
      <c r="BC150" s="153">
        <v>0</v>
      </c>
      <c r="BD150" s="84">
        <f xml:space="preserve">  BA150*30% + BB150*45% + BC150*25%</f>
        <v>0</v>
      </c>
      <c r="BE150" s="135"/>
      <c r="BF150" s="92" t="e">
        <f t="shared" ref="BF150:BF165" si="87">(
(COUNTIF(B150:E150,"✓")/(COUNTIF(B150:E150,"✓")+COUNTIF(B150:E150,"x")))*0.2 +
(COUNTIF(F150:J150,"✓")/(COUNTIF(F150:J150,"✓")+COUNTIF(F150:J150,"x")))*0.1 +
(COUNTIF(K150:O150,"✓")/(COUNTIF(K150:O150,"✓")+COUNTIF(K150:O150,"x")))*0.1 +
(COUNTIF(P150:S150,"✓")/(COUNTIF(P150:S150,"✓")+COUNTIF(P150:S150,"x")))*0.1 +
(COUNTIF(T150:W150,"✓")/(COUNTIF(T150:W150,"✓")+COUNTIF(T150:W150,"x")))*0.1 +
(COUNTIF(X150:AB150,"✓")/(COUNTIF(X150:AB150,"✓")+COUNTIF(X150:AB150,"x")))*0.1 +
(COUNTIF(AC150:AO150,"✓")/(COUNTIF(AC150:AO150,"✓")+COUNTIF(AC150:AO150,"x")))*0.1 +
(COUNTIF(AP150:AT150,"✓")/(COUNTIF(AP150:AT150,"✓")+COUNTIF(AP150:AT150,"x")))*0.05 +
(COUNTIF(AU150:BB150,"✓")/(COUNTIF(AU150:BB150,"✓")+COUNTIF(AU150:BB150,"x")))*0.1 +
(COUNTIF(BC150:BC150,"✓")/(COUNTIF(BC150:BC150,"✓")+COUNTIF(BC150:BC150,"x")))*0.05
)</f>
        <v>#DIV/0!</v>
      </c>
      <c r="BG150" s="204"/>
    </row>
    <row r="151" spans="2:59" ht="43.5" customHeight="1" thickBot="1" x14ac:dyDescent="0.35">
      <c r="B151" s="80">
        <v>902</v>
      </c>
      <c r="C151" s="81">
        <v>1</v>
      </c>
      <c r="D151" s="82">
        <v>1</v>
      </c>
      <c r="E151" s="82">
        <v>1</v>
      </c>
      <c r="F151" s="83">
        <v>1</v>
      </c>
      <c r="G151" s="133">
        <f t="shared" si="80"/>
        <v>1</v>
      </c>
      <c r="H151" s="88">
        <v>0</v>
      </c>
      <c r="I151" s="86">
        <v>0</v>
      </c>
      <c r="J151" s="82">
        <v>0</v>
      </c>
      <c r="K151" s="89">
        <v>0</v>
      </c>
      <c r="L151" s="90">
        <f t="shared" si="81"/>
        <v>0</v>
      </c>
      <c r="M151" s="85">
        <v>1</v>
      </c>
      <c r="N151" s="86">
        <v>1</v>
      </c>
      <c r="O151" s="82">
        <v>0.95</v>
      </c>
      <c r="P151" s="87">
        <v>1</v>
      </c>
      <c r="Q151" s="88">
        <v>0</v>
      </c>
      <c r="R151" s="86">
        <v>0</v>
      </c>
      <c r="S151" s="82">
        <v>0</v>
      </c>
      <c r="T151" s="89">
        <v>0</v>
      </c>
      <c r="U151" s="88">
        <v>1</v>
      </c>
      <c r="V151" s="86">
        <v>1</v>
      </c>
      <c r="W151" s="82">
        <v>1</v>
      </c>
      <c r="X151" s="89">
        <v>1</v>
      </c>
      <c r="Y151" s="90">
        <f t="shared" si="82"/>
        <v>0.79749999999999999</v>
      </c>
      <c r="Z151" s="88">
        <v>0</v>
      </c>
      <c r="AA151" s="86">
        <v>0</v>
      </c>
      <c r="AB151" s="82">
        <v>0</v>
      </c>
      <c r="AC151" s="89">
        <v>0</v>
      </c>
      <c r="AD151" s="90">
        <f t="shared" si="83"/>
        <v>0</v>
      </c>
      <c r="AE151" s="88">
        <v>0.7</v>
      </c>
      <c r="AF151" s="86"/>
      <c r="AG151" s="82">
        <v>0.5</v>
      </c>
      <c r="AH151" s="87"/>
      <c r="AI151" s="84">
        <f t="shared" ref="AI151:AI165" si="88" xml:space="preserve"> AE151*5% + AF151*30% + AG151*35% + AH151*30%</f>
        <v>0.21</v>
      </c>
      <c r="AJ151" s="88">
        <v>1</v>
      </c>
      <c r="AK151" s="88">
        <v>0</v>
      </c>
      <c r="AL151" s="99"/>
      <c r="AM151" s="85">
        <v>0.3</v>
      </c>
      <c r="AN151" s="85">
        <v>0.3</v>
      </c>
      <c r="AO151" s="85">
        <v>0.3</v>
      </c>
      <c r="AP151" s="85">
        <v>0.3</v>
      </c>
      <c r="AQ151" s="84">
        <f t="shared" si="84"/>
        <v>0.3</v>
      </c>
      <c r="AR151" s="88">
        <v>0</v>
      </c>
      <c r="AS151" s="88">
        <v>0</v>
      </c>
      <c r="AT151" s="88">
        <v>0</v>
      </c>
      <c r="AU151" s="88">
        <v>0</v>
      </c>
      <c r="AV151" s="84">
        <f t="shared" si="85"/>
        <v>0</v>
      </c>
      <c r="AW151" s="88">
        <v>0</v>
      </c>
      <c r="AX151" s="88">
        <v>0</v>
      </c>
      <c r="AY151" s="88">
        <v>0</v>
      </c>
      <c r="AZ151" s="84">
        <f t="shared" si="86"/>
        <v>0</v>
      </c>
      <c r="BA151" s="88">
        <v>0</v>
      </c>
      <c r="BB151" s="88">
        <v>0</v>
      </c>
      <c r="BC151" s="153">
        <v>0</v>
      </c>
      <c r="BD151" s="84">
        <f t="shared" ref="BD151:BD165" si="89" xml:space="preserve">  BA151*30% + BB151*45% + BC151*25%</f>
        <v>0</v>
      </c>
      <c r="BE151" s="135"/>
      <c r="BF151" s="92" t="e">
        <f t="shared" si="87"/>
        <v>#DIV/0!</v>
      </c>
      <c r="BG151" s="205"/>
    </row>
    <row r="152" spans="2:59" ht="43.5" customHeight="1" thickBot="1" x14ac:dyDescent="0.4">
      <c r="B152" s="80">
        <v>903</v>
      </c>
      <c r="C152" s="81">
        <v>1</v>
      </c>
      <c r="D152" s="82">
        <v>1</v>
      </c>
      <c r="E152" s="82">
        <v>1</v>
      </c>
      <c r="F152" s="83">
        <v>1</v>
      </c>
      <c r="G152" s="133">
        <f t="shared" si="80"/>
        <v>1</v>
      </c>
      <c r="H152" s="88">
        <v>0.7</v>
      </c>
      <c r="I152" s="86">
        <v>0.7</v>
      </c>
      <c r="J152" s="82">
        <v>0.7</v>
      </c>
      <c r="K152" s="89">
        <v>0.7</v>
      </c>
      <c r="L152" s="90">
        <f t="shared" si="81"/>
        <v>0.7</v>
      </c>
      <c r="M152" s="85">
        <v>1</v>
      </c>
      <c r="N152" s="86">
        <v>1</v>
      </c>
      <c r="O152" s="82">
        <v>0.95</v>
      </c>
      <c r="P152" s="87">
        <v>1</v>
      </c>
      <c r="Q152" s="88">
        <v>0</v>
      </c>
      <c r="R152" s="86">
        <v>0</v>
      </c>
      <c r="S152" s="82">
        <v>0</v>
      </c>
      <c r="T152" s="89">
        <v>0</v>
      </c>
      <c r="U152" s="88">
        <v>1</v>
      </c>
      <c r="V152" s="86">
        <v>1</v>
      </c>
      <c r="W152" s="82">
        <v>1</v>
      </c>
      <c r="X152" s="89">
        <v>1</v>
      </c>
      <c r="Y152" s="90">
        <f t="shared" si="82"/>
        <v>0.79749999999999999</v>
      </c>
      <c r="Z152" s="88">
        <v>0</v>
      </c>
      <c r="AA152" s="86">
        <v>0</v>
      </c>
      <c r="AB152" s="82">
        <v>0</v>
      </c>
      <c r="AC152" s="89">
        <v>0</v>
      </c>
      <c r="AD152" s="90">
        <f t="shared" si="83"/>
        <v>0</v>
      </c>
      <c r="AE152" s="88">
        <v>0.9</v>
      </c>
      <c r="AF152" s="86"/>
      <c r="AG152" s="82">
        <v>0.7</v>
      </c>
      <c r="AH152" s="87"/>
      <c r="AI152" s="84">
        <f t="shared" si="88"/>
        <v>0.28999999999999998</v>
      </c>
      <c r="AJ152" s="88">
        <v>1</v>
      </c>
      <c r="AK152" s="88">
        <v>0</v>
      </c>
      <c r="AL152" s="99"/>
      <c r="AM152" s="85">
        <v>0.3</v>
      </c>
      <c r="AN152" s="85">
        <v>0.3</v>
      </c>
      <c r="AO152" s="85">
        <v>0.3</v>
      </c>
      <c r="AP152" s="85">
        <v>0.3</v>
      </c>
      <c r="AQ152" s="84">
        <f t="shared" si="84"/>
        <v>0.3</v>
      </c>
      <c r="AR152" s="88">
        <v>0</v>
      </c>
      <c r="AS152" s="88">
        <v>0</v>
      </c>
      <c r="AT152" s="88">
        <v>0</v>
      </c>
      <c r="AU152" s="88">
        <v>0</v>
      </c>
      <c r="AV152" s="84">
        <f t="shared" si="85"/>
        <v>0</v>
      </c>
      <c r="AW152" s="88">
        <v>0</v>
      </c>
      <c r="AX152" s="88">
        <v>0</v>
      </c>
      <c r="AY152" s="88">
        <v>0</v>
      </c>
      <c r="AZ152" s="84">
        <f t="shared" si="86"/>
        <v>0</v>
      </c>
      <c r="BA152" s="88">
        <v>0</v>
      </c>
      <c r="BB152" s="88">
        <v>0</v>
      </c>
      <c r="BC152" s="153">
        <v>0</v>
      </c>
      <c r="BD152" s="84">
        <f t="shared" si="89"/>
        <v>0</v>
      </c>
      <c r="BE152" s="135"/>
      <c r="BF152" s="92" t="e">
        <f t="shared" si="87"/>
        <v>#DIV/0!</v>
      </c>
      <c r="BG152" s="103"/>
    </row>
    <row r="153" spans="2:59" ht="43.5" customHeight="1" thickBot="1" x14ac:dyDescent="0.35">
      <c r="B153" s="80">
        <v>904</v>
      </c>
      <c r="C153" s="81">
        <v>1</v>
      </c>
      <c r="D153" s="82">
        <v>1</v>
      </c>
      <c r="E153" s="82">
        <v>1</v>
      </c>
      <c r="F153" s="83">
        <v>1</v>
      </c>
      <c r="G153" s="133">
        <f t="shared" si="80"/>
        <v>1</v>
      </c>
      <c r="H153" s="88">
        <v>0</v>
      </c>
      <c r="I153" s="86">
        <v>0</v>
      </c>
      <c r="J153" s="82">
        <v>0</v>
      </c>
      <c r="K153" s="89">
        <v>0.7</v>
      </c>
      <c r="L153" s="90">
        <f t="shared" si="81"/>
        <v>0.21</v>
      </c>
      <c r="M153" s="85">
        <v>1</v>
      </c>
      <c r="N153" s="86">
        <v>1</v>
      </c>
      <c r="O153" s="82">
        <v>0.95</v>
      </c>
      <c r="P153" s="87">
        <v>1</v>
      </c>
      <c r="Q153" s="88">
        <v>0</v>
      </c>
      <c r="R153" s="86">
        <v>0</v>
      </c>
      <c r="S153" s="82">
        <v>0</v>
      </c>
      <c r="T153" s="89">
        <v>0</v>
      </c>
      <c r="U153" s="88">
        <v>1</v>
      </c>
      <c r="V153" s="86">
        <v>1</v>
      </c>
      <c r="W153" s="82">
        <v>1</v>
      </c>
      <c r="X153" s="89">
        <v>1</v>
      </c>
      <c r="Y153" s="90">
        <f t="shared" si="82"/>
        <v>0.79749999999999999</v>
      </c>
      <c r="Z153" s="88">
        <v>0</v>
      </c>
      <c r="AA153" s="86">
        <v>0</v>
      </c>
      <c r="AB153" s="82">
        <v>0</v>
      </c>
      <c r="AC153" s="89">
        <v>0</v>
      </c>
      <c r="AD153" s="90">
        <f t="shared" si="83"/>
        <v>0</v>
      </c>
      <c r="AE153" s="88">
        <v>0.7</v>
      </c>
      <c r="AF153" s="86">
        <v>0.7</v>
      </c>
      <c r="AG153" s="82">
        <v>0</v>
      </c>
      <c r="AH153" s="87"/>
      <c r="AI153" s="84">
        <f t="shared" si="88"/>
        <v>0.245</v>
      </c>
      <c r="AJ153" s="88">
        <v>1</v>
      </c>
      <c r="AK153" s="88">
        <v>0</v>
      </c>
      <c r="AL153" s="99"/>
      <c r="AM153" s="85">
        <v>0.3</v>
      </c>
      <c r="AN153" s="85">
        <v>0.3</v>
      </c>
      <c r="AO153" s="85">
        <v>0.3</v>
      </c>
      <c r="AP153" s="85">
        <v>0.3</v>
      </c>
      <c r="AQ153" s="84">
        <f t="shared" si="84"/>
        <v>0.3</v>
      </c>
      <c r="AR153" s="88">
        <v>0</v>
      </c>
      <c r="AS153" s="88">
        <v>0</v>
      </c>
      <c r="AT153" s="88">
        <v>0</v>
      </c>
      <c r="AU153" s="88">
        <v>0</v>
      </c>
      <c r="AV153" s="84">
        <f t="shared" si="85"/>
        <v>0</v>
      </c>
      <c r="AW153" s="88">
        <v>0</v>
      </c>
      <c r="AX153" s="88">
        <v>0</v>
      </c>
      <c r="AY153" s="88">
        <v>0</v>
      </c>
      <c r="AZ153" s="84">
        <f t="shared" si="86"/>
        <v>0</v>
      </c>
      <c r="BA153" s="88">
        <v>0</v>
      </c>
      <c r="BB153" s="88">
        <v>0</v>
      </c>
      <c r="BC153" s="153">
        <v>0</v>
      </c>
      <c r="BD153" s="84">
        <f t="shared" si="89"/>
        <v>0</v>
      </c>
      <c r="BE153" s="135"/>
      <c r="BF153" s="92" t="e">
        <f t="shared" si="87"/>
        <v>#DIV/0!</v>
      </c>
      <c r="BG153" s="102"/>
    </row>
    <row r="154" spans="2:59" ht="43.5" customHeight="1" thickBot="1" x14ac:dyDescent="0.4">
      <c r="B154" s="80">
        <v>905</v>
      </c>
      <c r="C154" s="81">
        <v>1</v>
      </c>
      <c r="D154" s="82">
        <v>1</v>
      </c>
      <c r="E154" s="82">
        <v>1</v>
      </c>
      <c r="F154" s="83">
        <v>1</v>
      </c>
      <c r="G154" s="133">
        <f t="shared" si="80"/>
        <v>1</v>
      </c>
      <c r="H154" s="88">
        <v>0</v>
      </c>
      <c r="I154" s="86">
        <v>0</v>
      </c>
      <c r="J154" s="82">
        <v>0</v>
      </c>
      <c r="K154" s="89">
        <v>0</v>
      </c>
      <c r="L154" s="90">
        <f t="shared" si="81"/>
        <v>0</v>
      </c>
      <c r="M154" s="85">
        <v>1</v>
      </c>
      <c r="N154" s="86">
        <v>1</v>
      </c>
      <c r="O154" s="82">
        <v>0.95</v>
      </c>
      <c r="P154" s="87">
        <v>1</v>
      </c>
      <c r="Q154" s="88">
        <v>1</v>
      </c>
      <c r="R154" s="86">
        <v>1</v>
      </c>
      <c r="S154" s="82">
        <v>1</v>
      </c>
      <c r="T154" s="89">
        <v>1</v>
      </c>
      <c r="U154" s="88">
        <v>1</v>
      </c>
      <c r="V154" s="86">
        <v>1</v>
      </c>
      <c r="W154" s="82">
        <v>1</v>
      </c>
      <c r="X154" s="89">
        <v>1</v>
      </c>
      <c r="Y154" s="90">
        <f t="shared" si="82"/>
        <v>0.99750000000000005</v>
      </c>
      <c r="Z154" s="88">
        <v>0</v>
      </c>
      <c r="AA154" s="86">
        <v>0</v>
      </c>
      <c r="AB154" s="82">
        <v>0</v>
      </c>
      <c r="AC154" s="89">
        <v>0</v>
      </c>
      <c r="AD154" s="90">
        <f t="shared" si="83"/>
        <v>0</v>
      </c>
      <c r="AE154" s="88">
        <v>0.9</v>
      </c>
      <c r="AF154" s="86"/>
      <c r="AG154" s="82"/>
      <c r="AH154" s="87"/>
      <c r="AI154" s="84">
        <f t="shared" si="88"/>
        <v>4.5000000000000005E-2</v>
      </c>
      <c r="AJ154" s="88">
        <v>1</v>
      </c>
      <c r="AK154" s="88">
        <v>0</v>
      </c>
      <c r="AL154" s="99"/>
      <c r="AM154" s="85">
        <v>0.3</v>
      </c>
      <c r="AN154" s="85">
        <v>0.3</v>
      </c>
      <c r="AO154" s="85">
        <v>0.3</v>
      </c>
      <c r="AP154" s="85">
        <v>0.3</v>
      </c>
      <c r="AQ154" s="84">
        <f t="shared" si="84"/>
        <v>0.3</v>
      </c>
      <c r="AR154" s="88">
        <v>0</v>
      </c>
      <c r="AS154" s="88">
        <v>0</v>
      </c>
      <c r="AT154" s="88">
        <v>0</v>
      </c>
      <c r="AU154" s="88">
        <v>0</v>
      </c>
      <c r="AV154" s="84">
        <f t="shared" si="85"/>
        <v>0</v>
      </c>
      <c r="AW154" s="88">
        <v>0</v>
      </c>
      <c r="AX154" s="88">
        <v>0</v>
      </c>
      <c r="AY154" s="88">
        <v>0</v>
      </c>
      <c r="AZ154" s="84">
        <f t="shared" si="86"/>
        <v>0</v>
      </c>
      <c r="BA154" s="88">
        <v>0</v>
      </c>
      <c r="BB154" s="88">
        <v>0</v>
      </c>
      <c r="BC154" s="153">
        <v>0</v>
      </c>
      <c r="BD154" s="84">
        <f t="shared" si="89"/>
        <v>0</v>
      </c>
      <c r="BE154" s="135"/>
      <c r="BF154" s="92" t="e">
        <f t="shared" si="87"/>
        <v>#DIV/0!</v>
      </c>
      <c r="BG154" s="103"/>
    </row>
    <row r="155" spans="2:59" ht="43.5" customHeight="1" thickBot="1" x14ac:dyDescent="0.4">
      <c r="B155" s="80">
        <v>906</v>
      </c>
      <c r="C155" s="81">
        <v>1</v>
      </c>
      <c r="D155" s="82">
        <v>1</v>
      </c>
      <c r="E155" s="82">
        <v>1</v>
      </c>
      <c r="F155" s="83">
        <v>1</v>
      </c>
      <c r="G155" s="133">
        <f t="shared" si="80"/>
        <v>1</v>
      </c>
      <c r="H155" s="88">
        <v>0</v>
      </c>
      <c r="I155" s="86">
        <v>0</v>
      </c>
      <c r="J155" s="82">
        <v>0</v>
      </c>
      <c r="K155" s="89">
        <v>0</v>
      </c>
      <c r="L155" s="90">
        <f t="shared" si="81"/>
        <v>0</v>
      </c>
      <c r="M155" s="85">
        <v>1</v>
      </c>
      <c r="N155" s="86">
        <v>1</v>
      </c>
      <c r="O155" s="82">
        <v>0.95</v>
      </c>
      <c r="P155" s="87">
        <v>1</v>
      </c>
      <c r="Q155" s="88">
        <v>0</v>
      </c>
      <c r="R155" s="86">
        <v>0</v>
      </c>
      <c r="S155" s="82">
        <v>0</v>
      </c>
      <c r="T155" s="89">
        <v>0</v>
      </c>
      <c r="U155" s="88">
        <v>1</v>
      </c>
      <c r="V155" s="86">
        <v>1</v>
      </c>
      <c r="W155" s="82">
        <v>1</v>
      </c>
      <c r="X155" s="89">
        <v>1</v>
      </c>
      <c r="Y155" s="90">
        <f t="shared" si="82"/>
        <v>0.79749999999999999</v>
      </c>
      <c r="Z155" s="88">
        <v>0</v>
      </c>
      <c r="AA155" s="86">
        <v>0</v>
      </c>
      <c r="AB155" s="82">
        <v>0</v>
      </c>
      <c r="AC155" s="89">
        <v>0</v>
      </c>
      <c r="AD155" s="90">
        <f t="shared" si="83"/>
        <v>0</v>
      </c>
      <c r="AE155" s="88">
        <v>0.7</v>
      </c>
      <c r="AF155" s="86"/>
      <c r="AG155" s="82">
        <v>1</v>
      </c>
      <c r="AH155" s="87">
        <v>1</v>
      </c>
      <c r="AI155" s="84">
        <f t="shared" si="88"/>
        <v>0.68499999999999994</v>
      </c>
      <c r="AJ155" s="88">
        <v>1</v>
      </c>
      <c r="AK155" s="88">
        <v>0</v>
      </c>
      <c r="AL155" s="99"/>
      <c r="AM155" s="85">
        <v>0.3</v>
      </c>
      <c r="AN155" s="85">
        <v>0.3</v>
      </c>
      <c r="AO155" s="85">
        <v>0.3</v>
      </c>
      <c r="AP155" s="85">
        <v>0.3</v>
      </c>
      <c r="AQ155" s="84">
        <f t="shared" si="84"/>
        <v>0.3</v>
      </c>
      <c r="AR155" s="88">
        <v>0</v>
      </c>
      <c r="AS155" s="88">
        <v>0</v>
      </c>
      <c r="AT155" s="88">
        <v>0</v>
      </c>
      <c r="AU155" s="88">
        <v>0</v>
      </c>
      <c r="AV155" s="84">
        <f t="shared" si="85"/>
        <v>0</v>
      </c>
      <c r="AW155" s="88">
        <v>0</v>
      </c>
      <c r="AX155" s="88">
        <v>0</v>
      </c>
      <c r="AY155" s="88">
        <v>0</v>
      </c>
      <c r="AZ155" s="84">
        <f t="shared" si="86"/>
        <v>0</v>
      </c>
      <c r="BA155" s="88">
        <v>0</v>
      </c>
      <c r="BB155" s="88">
        <v>0</v>
      </c>
      <c r="BC155" s="153">
        <v>0</v>
      </c>
      <c r="BD155" s="84">
        <f t="shared" si="89"/>
        <v>0</v>
      </c>
      <c r="BE155" s="135"/>
      <c r="BF155" s="92" t="e">
        <f t="shared" si="87"/>
        <v>#DIV/0!</v>
      </c>
      <c r="BG155" s="104"/>
    </row>
    <row r="156" spans="2:59" ht="43.5" customHeight="1" thickBot="1" x14ac:dyDescent="0.4">
      <c r="B156" s="80">
        <v>907</v>
      </c>
      <c r="C156" s="81">
        <v>1</v>
      </c>
      <c r="D156" s="82">
        <v>1</v>
      </c>
      <c r="E156" s="82">
        <v>1</v>
      </c>
      <c r="F156" s="83">
        <v>1</v>
      </c>
      <c r="G156" s="133">
        <f t="shared" si="80"/>
        <v>1</v>
      </c>
      <c r="H156" s="88">
        <v>0</v>
      </c>
      <c r="I156" s="86">
        <v>0</v>
      </c>
      <c r="J156" s="82">
        <v>0</v>
      </c>
      <c r="K156" s="89">
        <v>0</v>
      </c>
      <c r="L156" s="90">
        <f t="shared" si="81"/>
        <v>0</v>
      </c>
      <c r="M156" s="85">
        <v>1</v>
      </c>
      <c r="N156" s="86">
        <v>1</v>
      </c>
      <c r="O156" s="82">
        <v>0.95</v>
      </c>
      <c r="P156" s="87">
        <v>1</v>
      </c>
      <c r="Q156" s="88">
        <v>0</v>
      </c>
      <c r="R156" s="86">
        <v>0</v>
      </c>
      <c r="S156" s="82">
        <v>0</v>
      </c>
      <c r="T156" s="89">
        <v>0</v>
      </c>
      <c r="U156" s="88">
        <v>1</v>
      </c>
      <c r="V156" s="86">
        <v>1</v>
      </c>
      <c r="W156" s="82">
        <v>1</v>
      </c>
      <c r="X156" s="89">
        <v>1</v>
      </c>
      <c r="Y156" s="90">
        <f t="shared" si="82"/>
        <v>0.79749999999999999</v>
      </c>
      <c r="Z156" s="88">
        <v>0</v>
      </c>
      <c r="AA156" s="86">
        <v>0</v>
      </c>
      <c r="AB156" s="82">
        <v>0</v>
      </c>
      <c r="AC156" s="89">
        <v>0</v>
      </c>
      <c r="AD156" s="90">
        <f t="shared" si="83"/>
        <v>0</v>
      </c>
      <c r="AE156" s="88">
        <v>0.9</v>
      </c>
      <c r="AF156" s="86"/>
      <c r="AG156" s="82">
        <v>0.7</v>
      </c>
      <c r="AH156" s="87"/>
      <c r="AI156" s="84">
        <f t="shared" si="88"/>
        <v>0.28999999999999998</v>
      </c>
      <c r="AJ156" s="88">
        <v>1</v>
      </c>
      <c r="AK156" s="88">
        <v>0</v>
      </c>
      <c r="AL156" s="99"/>
      <c r="AM156" s="85">
        <v>0.3</v>
      </c>
      <c r="AN156" s="85">
        <v>0.3</v>
      </c>
      <c r="AO156" s="85">
        <v>0.3</v>
      </c>
      <c r="AP156" s="85">
        <v>0.3</v>
      </c>
      <c r="AQ156" s="84">
        <f t="shared" si="84"/>
        <v>0.3</v>
      </c>
      <c r="AR156" s="88">
        <v>0</v>
      </c>
      <c r="AS156" s="88">
        <v>0</v>
      </c>
      <c r="AT156" s="88">
        <v>0</v>
      </c>
      <c r="AU156" s="88">
        <v>0</v>
      </c>
      <c r="AV156" s="84">
        <f t="shared" si="85"/>
        <v>0</v>
      </c>
      <c r="AW156" s="88">
        <v>0</v>
      </c>
      <c r="AX156" s="88">
        <v>0</v>
      </c>
      <c r="AY156" s="88">
        <v>0</v>
      </c>
      <c r="AZ156" s="84">
        <f t="shared" si="86"/>
        <v>0</v>
      </c>
      <c r="BA156" s="88">
        <v>0</v>
      </c>
      <c r="BB156" s="88">
        <v>0</v>
      </c>
      <c r="BC156" s="153">
        <v>0</v>
      </c>
      <c r="BD156" s="84">
        <f t="shared" si="89"/>
        <v>0</v>
      </c>
      <c r="BE156" s="135"/>
      <c r="BF156" s="92" t="e">
        <f t="shared" si="87"/>
        <v>#DIV/0!</v>
      </c>
      <c r="BG156" s="103"/>
    </row>
    <row r="157" spans="2:59" ht="43.5" customHeight="1" thickBot="1" x14ac:dyDescent="0.4">
      <c r="B157" s="80">
        <v>908</v>
      </c>
      <c r="C157" s="81">
        <v>1</v>
      </c>
      <c r="D157" s="82">
        <v>1</v>
      </c>
      <c r="E157" s="82">
        <v>1</v>
      </c>
      <c r="F157" s="83">
        <v>1</v>
      </c>
      <c r="G157" s="133">
        <f t="shared" si="80"/>
        <v>1</v>
      </c>
      <c r="H157" s="88">
        <v>0.7</v>
      </c>
      <c r="I157" s="86">
        <v>0.7</v>
      </c>
      <c r="J157" s="82">
        <v>0.7</v>
      </c>
      <c r="K157" s="89">
        <v>0.7</v>
      </c>
      <c r="L157" s="90">
        <f t="shared" si="81"/>
        <v>0.7</v>
      </c>
      <c r="M157" s="85">
        <v>1</v>
      </c>
      <c r="N157" s="86">
        <v>1</v>
      </c>
      <c r="O157" s="82">
        <v>0.95</v>
      </c>
      <c r="P157" s="87">
        <v>1</v>
      </c>
      <c r="Q157" s="88">
        <v>1</v>
      </c>
      <c r="R157" s="86">
        <v>1</v>
      </c>
      <c r="S157" s="82">
        <v>1</v>
      </c>
      <c r="T157" s="89">
        <v>1</v>
      </c>
      <c r="U157" s="88">
        <v>1</v>
      </c>
      <c r="V157" s="86">
        <v>1</v>
      </c>
      <c r="W157" s="82">
        <v>1</v>
      </c>
      <c r="X157" s="89">
        <v>1</v>
      </c>
      <c r="Y157" s="90">
        <f t="shared" si="82"/>
        <v>0.99750000000000005</v>
      </c>
      <c r="Z157" s="88">
        <v>0</v>
      </c>
      <c r="AA157" s="86">
        <v>0</v>
      </c>
      <c r="AB157" s="82">
        <v>0</v>
      </c>
      <c r="AC157" s="89">
        <v>0</v>
      </c>
      <c r="AD157" s="90">
        <f t="shared" si="83"/>
        <v>0</v>
      </c>
      <c r="AE157" s="88">
        <v>0.7</v>
      </c>
      <c r="AF157" s="86">
        <v>1</v>
      </c>
      <c r="AG157" s="82">
        <v>0.7</v>
      </c>
      <c r="AH157" s="87"/>
      <c r="AI157" s="84">
        <f t="shared" si="88"/>
        <v>0.57999999999999996</v>
      </c>
      <c r="AJ157" s="88">
        <v>1</v>
      </c>
      <c r="AK157" s="88">
        <v>0</v>
      </c>
      <c r="AL157" s="99"/>
      <c r="AM157" s="85">
        <v>0.3</v>
      </c>
      <c r="AN157" s="85">
        <v>0.3</v>
      </c>
      <c r="AO157" s="85">
        <v>0.3</v>
      </c>
      <c r="AP157" s="85">
        <v>0.3</v>
      </c>
      <c r="AQ157" s="84">
        <f t="shared" si="84"/>
        <v>0.3</v>
      </c>
      <c r="AR157" s="88">
        <v>0</v>
      </c>
      <c r="AS157" s="88">
        <v>0</v>
      </c>
      <c r="AT157" s="88">
        <v>0</v>
      </c>
      <c r="AU157" s="88">
        <v>0</v>
      </c>
      <c r="AV157" s="84">
        <f t="shared" si="85"/>
        <v>0</v>
      </c>
      <c r="AW157" s="88">
        <v>0</v>
      </c>
      <c r="AX157" s="88">
        <v>0</v>
      </c>
      <c r="AY157" s="88">
        <v>0</v>
      </c>
      <c r="AZ157" s="84">
        <f t="shared" si="86"/>
        <v>0</v>
      </c>
      <c r="BA157" s="88">
        <v>0</v>
      </c>
      <c r="BB157" s="88">
        <v>0</v>
      </c>
      <c r="BC157" s="153">
        <v>0</v>
      </c>
      <c r="BD157" s="84">
        <f t="shared" si="89"/>
        <v>0</v>
      </c>
      <c r="BE157" s="135"/>
      <c r="BF157" s="92" t="e">
        <f t="shared" si="87"/>
        <v>#DIV/0!</v>
      </c>
      <c r="BG157" s="104"/>
    </row>
    <row r="158" spans="2:59" ht="43.5" customHeight="1" thickBot="1" x14ac:dyDescent="0.4">
      <c r="B158" s="80">
        <v>909</v>
      </c>
      <c r="C158" s="81">
        <v>1</v>
      </c>
      <c r="D158" s="82">
        <v>1</v>
      </c>
      <c r="E158" s="82">
        <v>1</v>
      </c>
      <c r="F158" s="83">
        <v>1</v>
      </c>
      <c r="G158" s="133">
        <f t="shared" si="80"/>
        <v>1</v>
      </c>
      <c r="H158" s="88">
        <v>0</v>
      </c>
      <c r="I158" s="86">
        <v>0</v>
      </c>
      <c r="J158" s="82">
        <v>0</v>
      </c>
      <c r="K158" s="89">
        <v>0</v>
      </c>
      <c r="L158" s="90">
        <f t="shared" si="81"/>
        <v>0</v>
      </c>
      <c r="M158" s="85">
        <v>1</v>
      </c>
      <c r="N158" s="86">
        <v>1</v>
      </c>
      <c r="O158" s="82">
        <v>0.95</v>
      </c>
      <c r="P158" s="87">
        <v>1</v>
      </c>
      <c r="Q158" s="88">
        <v>0</v>
      </c>
      <c r="R158" s="86">
        <v>0</v>
      </c>
      <c r="S158" s="82">
        <v>0</v>
      </c>
      <c r="T158" s="89">
        <v>0</v>
      </c>
      <c r="U158" s="88">
        <v>1</v>
      </c>
      <c r="V158" s="86">
        <v>1</v>
      </c>
      <c r="W158" s="82">
        <v>1</v>
      </c>
      <c r="X158" s="89">
        <v>1</v>
      </c>
      <c r="Y158" s="90">
        <f t="shared" si="82"/>
        <v>0.79749999999999999</v>
      </c>
      <c r="Z158" s="88">
        <v>0</v>
      </c>
      <c r="AA158" s="86">
        <v>0</v>
      </c>
      <c r="AB158" s="82">
        <v>0</v>
      </c>
      <c r="AC158" s="89">
        <v>0</v>
      </c>
      <c r="AD158" s="90">
        <f t="shared" si="83"/>
        <v>0</v>
      </c>
      <c r="AE158" s="88">
        <v>0.9</v>
      </c>
      <c r="AF158" s="86"/>
      <c r="AG158" s="82"/>
      <c r="AH158" s="87"/>
      <c r="AI158" s="84">
        <f t="shared" si="88"/>
        <v>4.5000000000000005E-2</v>
      </c>
      <c r="AJ158" s="88">
        <v>1</v>
      </c>
      <c r="AK158" s="88">
        <v>0</v>
      </c>
      <c r="AL158" s="99"/>
      <c r="AM158" s="85">
        <v>0.3</v>
      </c>
      <c r="AN158" s="85">
        <v>0.3</v>
      </c>
      <c r="AO158" s="85">
        <v>0.3</v>
      </c>
      <c r="AP158" s="85">
        <v>0.3</v>
      </c>
      <c r="AQ158" s="84">
        <f t="shared" si="84"/>
        <v>0.3</v>
      </c>
      <c r="AR158" s="88">
        <v>0</v>
      </c>
      <c r="AS158" s="88">
        <v>0</v>
      </c>
      <c r="AT158" s="88">
        <v>0</v>
      </c>
      <c r="AU158" s="88">
        <v>0</v>
      </c>
      <c r="AV158" s="84">
        <f t="shared" si="85"/>
        <v>0</v>
      </c>
      <c r="AW158" s="88">
        <v>0</v>
      </c>
      <c r="AX158" s="88">
        <v>0</v>
      </c>
      <c r="AY158" s="88">
        <v>0</v>
      </c>
      <c r="AZ158" s="84">
        <f t="shared" si="86"/>
        <v>0</v>
      </c>
      <c r="BA158" s="88">
        <v>0</v>
      </c>
      <c r="BB158" s="88">
        <v>0</v>
      </c>
      <c r="BC158" s="153">
        <v>0</v>
      </c>
      <c r="BD158" s="84">
        <f t="shared" si="89"/>
        <v>0</v>
      </c>
      <c r="BE158" s="135"/>
      <c r="BF158" s="92" t="e">
        <f t="shared" si="87"/>
        <v>#DIV/0!</v>
      </c>
      <c r="BG158" s="103"/>
    </row>
    <row r="159" spans="2:59" ht="43.5" customHeight="1" thickBot="1" x14ac:dyDescent="0.4">
      <c r="B159" s="80">
        <v>910</v>
      </c>
      <c r="C159" s="81">
        <v>1</v>
      </c>
      <c r="D159" s="82">
        <v>1</v>
      </c>
      <c r="E159" s="82">
        <v>1</v>
      </c>
      <c r="F159" s="83">
        <v>1</v>
      </c>
      <c r="G159" s="133">
        <f t="shared" si="80"/>
        <v>1</v>
      </c>
      <c r="H159" s="88">
        <v>0</v>
      </c>
      <c r="I159" s="86">
        <v>0</v>
      </c>
      <c r="J159" s="82">
        <v>0</v>
      </c>
      <c r="K159" s="89">
        <v>0</v>
      </c>
      <c r="L159" s="90">
        <f t="shared" si="81"/>
        <v>0</v>
      </c>
      <c r="M159" s="85">
        <v>1</v>
      </c>
      <c r="N159" s="86">
        <v>1</v>
      </c>
      <c r="O159" s="82">
        <v>0.95</v>
      </c>
      <c r="P159" s="87">
        <v>1</v>
      </c>
      <c r="Q159" s="88">
        <v>0</v>
      </c>
      <c r="R159" s="86">
        <v>0</v>
      </c>
      <c r="S159" s="82">
        <v>0</v>
      </c>
      <c r="T159" s="89">
        <v>0</v>
      </c>
      <c r="U159" s="88">
        <v>1</v>
      </c>
      <c r="V159" s="86">
        <v>1</v>
      </c>
      <c r="W159" s="82">
        <v>1</v>
      </c>
      <c r="X159" s="89">
        <v>1</v>
      </c>
      <c r="Y159" s="90">
        <f t="shared" si="82"/>
        <v>0.79749999999999999</v>
      </c>
      <c r="Z159" s="88">
        <v>0</v>
      </c>
      <c r="AA159" s="86">
        <v>0</v>
      </c>
      <c r="AB159" s="82">
        <v>0</v>
      </c>
      <c r="AC159" s="89">
        <v>0</v>
      </c>
      <c r="AD159" s="90">
        <f t="shared" si="83"/>
        <v>0</v>
      </c>
      <c r="AE159" s="88">
        <v>0.9</v>
      </c>
      <c r="AF159" s="86">
        <v>1</v>
      </c>
      <c r="AG159" s="82"/>
      <c r="AH159" s="87">
        <v>1</v>
      </c>
      <c r="AI159" s="84">
        <f t="shared" si="88"/>
        <v>0.64500000000000002</v>
      </c>
      <c r="AJ159" s="88">
        <v>1</v>
      </c>
      <c r="AK159" s="88">
        <v>0</v>
      </c>
      <c r="AL159" s="99"/>
      <c r="AM159" s="85">
        <v>0.3</v>
      </c>
      <c r="AN159" s="85">
        <v>0.3</v>
      </c>
      <c r="AO159" s="85">
        <v>0.3</v>
      </c>
      <c r="AP159" s="85">
        <v>0.3</v>
      </c>
      <c r="AQ159" s="84">
        <f t="shared" si="84"/>
        <v>0.3</v>
      </c>
      <c r="AR159" s="88">
        <v>0</v>
      </c>
      <c r="AS159" s="88">
        <v>0</v>
      </c>
      <c r="AT159" s="88">
        <v>0</v>
      </c>
      <c r="AU159" s="88">
        <v>0</v>
      </c>
      <c r="AV159" s="84">
        <f t="shared" si="85"/>
        <v>0</v>
      </c>
      <c r="AW159" s="88">
        <v>0</v>
      </c>
      <c r="AX159" s="88">
        <v>0</v>
      </c>
      <c r="AY159" s="88">
        <v>0</v>
      </c>
      <c r="AZ159" s="84">
        <f t="shared" si="86"/>
        <v>0</v>
      </c>
      <c r="BA159" s="88">
        <v>0</v>
      </c>
      <c r="BB159" s="88">
        <v>0</v>
      </c>
      <c r="BC159" s="153">
        <v>0</v>
      </c>
      <c r="BD159" s="84">
        <f t="shared" si="89"/>
        <v>0</v>
      </c>
      <c r="BE159" s="135"/>
      <c r="BF159" s="92" t="e">
        <f t="shared" si="87"/>
        <v>#DIV/0!</v>
      </c>
      <c r="BG159" s="103"/>
    </row>
    <row r="160" spans="2:59" ht="43.5" customHeight="1" thickBot="1" x14ac:dyDescent="0.35">
      <c r="B160" s="80">
        <v>911</v>
      </c>
      <c r="C160" s="81">
        <v>1</v>
      </c>
      <c r="D160" s="82">
        <v>1</v>
      </c>
      <c r="E160" s="82">
        <v>1</v>
      </c>
      <c r="F160" s="83">
        <v>1</v>
      </c>
      <c r="G160" s="133">
        <f t="shared" si="80"/>
        <v>1</v>
      </c>
      <c r="H160" s="88">
        <v>0</v>
      </c>
      <c r="I160" s="86">
        <v>0</v>
      </c>
      <c r="J160" s="82">
        <v>0</v>
      </c>
      <c r="K160" s="89">
        <v>0</v>
      </c>
      <c r="L160" s="90">
        <f t="shared" si="81"/>
        <v>0</v>
      </c>
      <c r="M160" s="85">
        <v>1</v>
      </c>
      <c r="N160" s="86">
        <v>1</v>
      </c>
      <c r="O160" s="82">
        <v>0.95</v>
      </c>
      <c r="P160" s="87">
        <v>1</v>
      </c>
      <c r="Q160" s="88">
        <v>1</v>
      </c>
      <c r="R160" s="86">
        <v>1</v>
      </c>
      <c r="S160" s="82">
        <v>1</v>
      </c>
      <c r="T160" s="89">
        <v>1</v>
      </c>
      <c r="U160" s="88">
        <v>1</v>
      </c>
      <c r="V160" s="86">
        <v>1</v>
      </c>
      <c r="W160" s="82">
        <v>1</v>
      </c>
      <c r="X160" s="89">
        <v>1</v>
      </c>
      <c r="Y160" s="90">
        <f t="shared" si="82"/>
        <v>0.99750000000000005</v>
      </c>
      <c r="Z160" s="88">
        <v>0</v>
      </c>
      <c r="AA160" s="86">
        <v>0</v>
      </c>
      <c r="AB160" s="82">
        <v>0</v>
      </c>
      <c r="AC160" s="89">
        <v>0</v>
      </c>
      <c r="AD160" s="90">
        <f t="shared" si="83"/>
        <v>0</v>
      </c>
      <c r="AE160" s="88">
        <v>0.9</v>
      </c>
      <c r="AF160" s="86">
        <v>0</v>
      </c>
      <c r="AG160" s="82">
        <v>0.7</v>
      </c>
      <c r="AH160" s="87"/>
      <c r="AI160" s="84">
        <f t="shared" si="88"/>
        <v>0.28999999999999998</v>
      </c>
      <c r="AJ160" s="88">
        <v>1</v>
      </c>
      <c r="AK160" s="88">
        <v>0</v>
      </c>
      <c r="AL160" s="99"/>
      <c r="AM160" s="88">
        <v>0</v>
      </c>
      <c r="AN160" s="86">
        <v>0</v>
      </c>
      <c r="AO160" s="82">
        <v>0</v>
      </c>
      <c r="AP160" s="89">
        <v>0</v>
      </c>
      <c r="AQ160" s="84">
        <f t="shared" si="84"/>
        <v>0</v>
      </c>
      <c r="AR160" s="88">
        <v>0</v>
      </c>
      <c r="AS160" s="88">
        <v>0</v>
      </c>
      <c r="AT160" s="88">
        <v>0</v>
      </c>
      <c r="AU160" s="88">
        <v>0</v>
      </c>
      <c r="AV160" s="84">
        <f t="shared" si="85"/>
        <v>0</v>
      </c>
      <c r="AW160" s="88">
        <v>0</v>
      </c>
      <c r="AX160" s="88">
        <v>0</v>
      </c>
      <c r="AY160" s="88">
        <v>0</v>
      </c>
      <c r="AZ160" s="84">
        <f t="shared" si="86"/>
        <v>0</v>
      </c>
      <c r="BA160" s="88">
        <v>0</v>
      </c>
      <c r="BB160" s="88">
        <v>0</v>
      </c>
      <c r="BC160" s="153">
        <v>0</v>
      </c>
      <c r="BD160" s="84">
        <f t="shared" si="89"/>
        <v>0</v>
      </c>
      <c r="BE160" s="135"/>
      <c r="BF160" s="92" t="e">
        <f t="shared" si="87"/>
        <v>#DIV/0!</v>
      </c>
      <c r="BG160" s="102"/>
    </row>
    <row r="161" spans="2:59" ht="43.5" customHeight="1" thickBot="1" x14ac:dyDescent="0.35">
      <c r="B161" s="80">
        <v>912</v>
      </c>
      <c r="C161" s="81">
        <v>1</v>
      </c>
      <c r="D161" s="82">
        <v>1</v>
      </c>
      <c r="E161" s="82">
        <v>1</v>
      </c>
      <c r="F161" s="83">
        <v>1</v>
      </c>
      <c r="G161" s="133">
        <f t="shared" si="80"/>
        <v>1</v>
      </c>
      <c r="H161" s="88">
        <v>0</v>
      </c>
      <c r="I161" s="86">
        <v>0</v>
      </c>
      <c r="J161" s="82">
        <v>0</v>
      </c>
      <c r="K161" s="89">
        <v>0</v>
      </c>
      <c r="L161" s="90">
        <f t="shared" si="81"/>
        <v>0</v>
      </c>
      <c r="M161" s="85">
        <v>1</v>
      </c>
      <c r="N161" s="86">
        <v>1</v>
      </c>
      <c r="O161" s="82">
        <v>0.95</v>
      </c>
      <c r="P161" s="87">
        <v>1</v>
      </c>
      <c r="Q161" s="88">
        <v>0</v>
      </c>
      <c r="R161" s="86">
        <v>0</v>
      </c>
      <c r="S161" s="82">
        <v>0</v>
      </c>
      <c r="T161" s="89">
        <v>0</v>
      </c>
      <c r="U161" s="88">
        <v>1</v>
      </c>
      <c r="V161" s="86">
        <v>1</v>
      </c>
      <c r="W161" s="82">
        <v>1</v>
      </c>
      <c r="X161" s="89">
        <v>1</v>
      </c>
      <c r="Y161" s="90">
        <f t="shared" si="82"/>
        <v>0.79749999999999999</v>
      </c>
      <c r="Z161" s="88">
        <v>0</v>
      </c>
      <c r="AA161" s="86">
        <v>0</v>
      </c>
      <c r="AB161" s="82">
        <v>0</v>
      </c>
      <c r="AC161" s="89">
        <v>0</v>
      </c>
      <c r="AD161" s="90">
        <f t="shared" si="83"/>
        <v>0</v>
      </c>
      <c r="AE161" s="88">
        <v>0.9</v>
      </c>
      <c r="AF161" s="86">
        <v>0</v>
      </c>
      <c r="AG161" s="82">
        <v>0.7</v>
      </c>
      <c r="AH161" s="87">
        <v>0</v>
      </c>
      <c r="AI161" s="84">
        <f t="shared" si="88"/>
        <v>0.28999999999999998</v>
      </c>
      <c r="AJ161" s="88">
        <v>1</v>
      </c>
      <c r="AK161" s="88">
        <v>0</v>
      </c>
      <c r="AL161" s="99"/>
      <c r="AM161" s="88">
        <v>0</v>
      </c>
      <c r="AN161" s="86">
        <v>0</v>
      </c>
      <c r="AO161" s="82">
        <v>0</v>
      </c>
      <c r="AP161" s="89">
        <v>0</v>
      </c>
      <c r="AQ161" s="84">
        <f t="shared" si="84"/>
        <v>0</v>
      </c>
      <c r="AR161" s="88">
        <v>0</v>
      </c>
      <c r="AS161" s="88">
        <v>0</v>
      </c>
      <c r="AT161" s="88">
        <v>0</v>
      </c>
      <c r="AU161" s="88">
        <v>0</v>
      </c>
      <c r="AV161" s="84">
        <f t="shared" si="85"/>
        <v>0</v>
      </c>
      <c r="AW161" s="88">
        <v>0</v>
      </c>
      <c r="AX161" s="88">
        <v>0</v>
      </c>
      <c r="AY161" s="88">
        <v>0</v>
      </c>
      <c r="AZ161" s="84">
        <f t="shared" si="86"/>
        <v>0</v>
      </c>
      <c r="BA161" s="88">
        <v>0</v>
      </c>
      <c r="BB161" s="88">
        <v>0</v>
      </c>
      <c r="BC161" s="153">
        <v>0</v>
      </c>
      <c r="BD161" s="84">
        <f t="shared" si="89"/>
        <v>0</v>
      </c>
      <c r="BE161" s="135"/>
      <c r="BF161" s="92" t="e">
        <f t="shared" si="87"/>
        <v>#DIV/0!</v>
      </c>
      <c r="BG161" s="102"/>
    </row>
    <row r="162" spans="2:59" ht="43.5" customHeight="1" thickBot="1" x14ac:dyDescent="0.35">
      <c r="B162" s="80">
        <v>913</v>
      </c>
      <c r="C162" s="81">
        <v>1</v>
      </c>
      <c r="D162" s="82">
        <v>1</v>
      </c>
      <c r="E162" s="82">
        <v>1</v>
      </c>
      <c r="F162" s="83">
        <v>1</v>
      </c>
      <c r="G162" s="133">
        <f t="shared" si="80"/>
        <v>1</v>
      </c>
      <c r="H162" s="88">
        <v>0</v>
      </c>
      <c r="I162" s="86">
        <v>0</v>
      </c>
      <c r="J162" s="82">
        <v>0</v>
      </c>
      <c r="K162" s="89">
        <v>0</v>
      </c>
      <c r="L162" s="90">
        <f t="shared" si="81"/>
        <v>0</v>
      </c>
      <c r="M162" s="85">
        <v>1</v>
      </c>
      <c r="N162" s="86">
        <v>1</v>
      </c>
      <c r="O162" s="82">
        <v>0.95</v>
      </c>
      <c r="P162" s="87">
        <v>1</v>
      </c>
      <c r="Q162" s="88">
        <v>1</v>
      </c>
      <c r="R162" s="86">
        <v>1</v>
      </c>
      <c r="S162" s="82">
        <v>1</v>
      </c>
      <c r="T162" s="89">
        <v>1</v>
      </c>
      <c r="U162" s="88">
        <v>1</v>
      </c>
      <c r="V162" s="86">
        <v>1</v>
      </c>
      <c r="W162" s="82">
        <v>1</v>
      </c>
      <c r="X162" s="89">
        <v>1</v>
      </c>
      <c r="Y162" s="90">
        <f t="shared" si="82"/>
        <v>0.99750000000000005</v>
      </c>
      <c r="Z162" s="88">
        <v>0</v>
      </c>
      <c r="AA162" s="86">
        <v>0</v>
      </c>
      <c r="AB162" s="82">
        <v>0</v>
      </c>
      <c r="AC162" s="89">
        <v>0</v>
      </c>
      <c r="AD162" s="90">
        <f t="shared" si="83"/>
        <v>0</v>
      </c>
      <c r="AE162" s="88">
        <v>0.9</v>
      </c>
      <c r="AF162" s="86">
        <v>0</v>
      </c>
      <c r="AG162" s="82">
        <v>0</v>
      </c>
      <c r="AH162" s="87">
        <v>0</v>
      </c>
      <c r="AI162" s="84">
        <f t="shared" si="88"/>
        <v>4.5000000000000005E-2</v>
      </c>
      <c r="AJ162" s="88">
        <v>1</v>
      </c>
      <c r="AK162" s="88">
        <v>0</v>
      </c>
      <c r="AL162" s="99"/>
      <c r="AM162" s="88">
        <v>0</v>
      </c>
      <c r="AN162" s="86">
        <v>0</v>
      </c>
      <c r="AO162" s="82">
        <v>0</v>
      </c>
      <c r="AP162" s="89">
        <v>0</v>
      </c>
      <c r="AQ162" s="84">
        <f t="shared" si="84"/>
        <v>0</v>
      </c>
      <c r="AR162" s="88">
        <v>0</v>
      </c>
      <c r="AS162" s="88">
        <v>0</v>
      </c>
      <c r="AT162" s="88">
        <v>0</v>
      </c>
      <c r="AU162" s="88">
        <v>0</v>
      </c>
      <c r="AV162" s="84">
        <f t="shared" si="85"/>
        <v>0</v>
      </c>
      <c r="AW162" s="88">
        <v>0</v>
      </c>
      <c r="AX162" s="88">
        <v>0</v>
      </c>
      <c r="AY162" s="88">
        <v>0</v>
      </c>
      <c r="AZ162" s="84">
        <f t="shared" si="86"/>
        <v>0</v>
      </c>
      <c r="BA162" s="88">
        <v>0</v>
      </c>
      <c r="BB162" s="88">
        <v>0</v>
      </c>
      <c r="BC162" s="153">
        <v>0</v>
      </c>
      <c r="BD162" s="84">
        <f t="shared" si="89"/>
        <v>0</v>
      </c>
      <c r="BE162" s="135"/>
      <c r="BF162" s="92" t="e">
        <f t="shared" si="87"/>
        <v>#DIV/0!</v>
      </c>
      <c r="BG162" s="105"/>
    </row>
    <row r="163" spans="2:59" ht="43.5" customHeight="1" thickBot="1" x14ac:dyDescent="0.4">
      <c r="B163" s="80">
        <v>914</v>
      </c>
      <c r="C163" s="81">
        <v>1</v>
      </c>
      <c r="D163" s="82">
        <v>1</v>
      </c>
      <c r="E163" s="82">
        <v>1</v>
      </c>
      <c r="F163" s="83">
        <v>1</v>
      </c>
      <c r="G163" s="133">
        <f t="shared" si="80"/>
        <v>1</v>
      </c>
      <c r="H163" s="88">
        <v>0</v>
      </c>
      <c r="I163" s="86">
        <v>0</v>
      </c>
      <c r="J163" s="82">
        <v>0</v>
      </c>
      <c r="K163" s="89">
        <v>0</v>
      </c>
      <c r="L163" s="90">
        <f t="shared" si="81"/>
        <v>0</v>
      </c>
      <c r="M163" s="85">
        <v>1</v>
      </c>
      <c r="N163" s="86">
        <v>1</v>
      </c>
      <c r="O163" s="82">
        <v>0.95</v>
      </c>
      <c r="P163" s="87">
        <v>1</v>
      </c>
      <c r="Q163" s="88">
        <v>0</v>
      </c>
      <c r="R163" s="86">
        <v>0</v>
      </c>
      <c r="S163" s="82">
        <v>0</v>
      </c>
      <c r="T163" s="89">
        <v>0</v>
      </c>
      <c r="U163" s="88">
        <v>1</v>
      </c>
      <c r="V163" s="86">
        <v>1</v>
      </c>
      <c r="W163" s="82">
        <v>1</v>
      </c>
      <c r="X163" s="89">
        <v>1</v>
      </c>
      <c r="Y163" s="90">
        <f t="shared" si="82"/>
        <v>0.79749999999999999</v>
      </c>
      <c r="Z163" s="88">
        <v>0</v>
      </c>
      <c r="AA163" s="86">
        <v>0</v>
      </c>
      <c r="AB163" s="82">
        <v>0</v>
      </c>
      <c r="AC163" s="89">
        <v>0</v>
      </c>
      <c r="AD163" s="90">
        <f t="shared" si="83"/>
        <v>0</v>
      </c>
      <c r="AE163" s="88">
        <v>0.9</v>
      </c>
      <c r="AF163" s="86">
        <v>1</v>
      </c>
      <c r="AG163" s="82">
        <v>0.7</v>
      </c>
      <c r="AH163" s="87">
        <v>1</v>
      </c>
      <c r="AI163" s="84">
        <f t="shared" si="88"/>
        <v>0.8899999999999999</v>
      </c>
      <c r="AJ163" s="88">
        <v>1</v>
      </c>
      <c r="AK163" s="88">
        <v>0</v>
      </c>
      <c r="AL163" s="99"/>
      <c r="AM163" s="88">
        <v>0</v>
      </c>
      <c r="AN163" s="86">
        <v>0</v>
      </c>
      <c r="AO163" s="82">
        <v>0</v>
      </c>
      <c r="AP163" s="89">
        <v>0</v>
      </c>
      <c r="AQ163" s="84">
        <f t="shared" si="84"/>
        <v>0</v>
      </c>
      <c r="AR163" s="88">
        <v>0</v>
      </c>
      <c r="AS163" s="88">
        <v>0</v>
      </c>
      <c r="AT163" s="88">
        <v>0</v>
      </c>
      <c r="AU163" s="88">
        <v>0</v>
      </c>
      <c r="AV163" s="84">
        <f t="shared" si="85"/>
        <v>0</v>
      </c>
      <c r="AW163" s="88">
        <v>0</v>
      </c>
      <c r="AX163" s="88">
        <v>0</v>
      </c>
      <c r="AY163" s="88">
        <v>0</v>
      </c>
      <c r="AZ163" s="84">
        <f t="shared" si="86"/>
        <v>0</v>
      </c>
      <c r="BA163" s="88">
        <v>0</v>
      </c>
      <c r="BB163" s="88">
        <v>0</v>
      </c>
      <c r="BC163" s="153">
        <v>0</v>
      </c>
      <c r="BD163" s="84">
        <f t="shared" si="89"/>
        <v>0</v>
      </c>
      <c r="BE163" s="135"/>
      <c r="BF163" s="92" t="e">
        <f t="shared" si="87"/>
        <v>#DIV/0!</v>
      </c>
      <c r="BG163" s="103"/>
    </row>
    <row r="164" spans="2:59" ht="43.5" customHeight="1" thickBot="1" x14ac:dyDescent="0.4">
      <c r="B164" s="80">
        <v>915</v>
      </c>
      <c r="C164" s="81">
        <v>1</v>
      </c>
      <c r="D164" s="82">
        <v>1</v>
      </c>
      <c r="E164" s="82">
        <v>1</v>
      </c>
      <c r="F164" s="83">
        <v>1</v>
      </c>
      <c r="G164" s="133">
        <f t="shared" si="80"/>
        <v>1</v>
      </c>
      <c r="H164" s="88">
        <v>0</v>
      </c>
      <c r="I164" s="86">
        <v>0</v>
      </c>
      <c r="J164" s="82">
        <v>0</v>
      </c>
      <c r="K164" s="89">
        <v>0</v>
      </c>
      <c r="L164" s="90">
        <f t="shared" si="81"/>
        <v>0</v>
      </c>
      <c r="M164" s="85">
        <v>0.95</v>
      </c>
      <c r="N164" s="86">
        <v>0.95</v>
      </c>
      <c r="O164" s="82">
        <v>0.95</v>
      </c>
      <c r="P164" s="87">
        <v>0.95</v>
      </c>
      <c r="Q164" s="88">
        <v>0</v>
      </c>
      <c r="R164" s="86">
        <v>0</v>
      </c>
      <c r="S164" s="82">
        <v>0</v>
      </c>
      <c r="T164" s="89">
        <v>0</v>
      </c>
      <c r="U164" s="88">
        <v>0.7</v>
      </c>
      <c r="V164" s="86">
        <v>0.7</v>
      </c>
      <c r="W164" s="82">
        <v>0</v>
      </c>
      <c r="X164" s="89">
        <v>0</v>
      </c>
      <c r="Y164" s="90">
        <f t="shared" si="82"/>
        <v>0.51999999999999991</v>
      </c>
      <c r="Z164" s="88">
        <v>0</v>
      </c>
      <c r="AA164" s="86">
        <v>0</v>
      </c>
      <c r="AB164" s="82">
        <v>0</v>
      </c>
      <c r="AC164" s="89">
        <v>0</v>
      </c>
      <c r="AD164" s="90">
        <f t="shared" si="83"/>
        <v>0</v>
      </c>
      <c r="AE164" s="88">
        <v>0.4</v>
      </c>
      <c r="AF164" s="86"/>
      <c r="AG164" s="82">
        <v>0.7</v>
      </c>
      <c r="AH164" s="87"/>
      <c r="AI164" s="84">
        <f t="shared" si="88"/>
        <v>0.26499999999999996</v>
      </c>
      <c r="AJ164" s="88">
        <v>1</v>
      </c>
      <c r="AK164" s="88">
        <v>0</v>
      </c>
      <c r="AL164" s="99"/>
      <c r="AM164" s="88">
        <v>0</v>
      </c>
      <c r="AN164" s="86">
        <v>0</v>
      </c>
      <c r="AO164" s="82">
        <v>0</v>
      </c>
      <c r="AP164" s="89">
        <v>0</v>
      </c>
      <c r="AQ164" s="84">
        <f t="shared" si="84"/>
        <v>0</v>
      </c>
      <c r="AR164" s="88">
        <v>0</v>
      </c>
      <c r="AS164" s="88">
        <v>0</v>
      </c>
      <c r="AT164" s="88">
        <v>0</v>
      </c>
      <c r="AU164" s="88">
        <v>0</v>
      </c>
      <c r="AV164" s="84">
        <f t="shared" si="85"/>
        <v>0</v>
      </c>
      <c r="AW164" s="88">
        <v>0</v>
      </c>
      <c r="AX164" s="88">
        <v>0</v>
      </c>
      <c r="AY164" s="88">
        <v>0</v>
      </c>
      <c r="AZ164" s="84">
        <f t="shared" si="86"/>
        <v>0</v>
      </c>
      <c r="BA164" s="88">
        <v>0</v>
      </c>
      <c r="BB164" s="88">
        <v>0</v>
      </c>
      <c r="BC164" s="153">
        <v>0</v>
      </c>
      <c r="BD164" s="84">
        <f t="shared" si="89"/>
        <v>0</v>
      </c>
      <c r="BE164" s="135"/>
      <c r="BF164" s="92" t="e">
        <f t="shared" si="87"/>
        <v>#DIV/0!</v>
      </c>
      <c r="BG164" s="103"/>
    </row>
    <row r="165" spans="2:59" ht="43.5" customHeight="1" thickBot="1" x14ac:dyDescent="0.4">
      <c r="B165" s="80">
        <v>916</v>
      </c>
      <c r="C165" s="137">
        <v>1</v>
      </c>
      <c r="D165" s="110">
        <v>1</v>
      </c>
      <c r="E165" s="110">
        <v>1</v>
      </c>
      <c r="F165" s="138">
        <v>1</v>
      </c>
      <c r="G165" s="133">
        <f t="shared" si="80"/>
        <v>1</v>
      </c>
      <c r="H165" s="108">
        <v>0</v>
      </c>
      <c r="I165" s="109">
        <v>0</v>
      </c>
      <c r="J165" s="110">
        <v>0</v>
      </c>
      <c r="K165" s="111">
        <v>0</v>
      </c>
      <c r="L165" s="90">
        <f t="shared" si="81"/>
        <v>0</v>
      </c>
      <c r="M165" s="112">
        <v>1</v>
      </c>
      <c r="N165" s="109">
        <v>1</v>
      </c>
      <c r="O165" s="110">
        <v>0.95</v>
      </c>
      <c r="P165" s="113">
        <v>1</v>
      </c>
      <c r="Q165" s="108">
        <v>1</v>
      </c>
      <c r="R165" s="109">
        <v>1</v>
      </c>
      <c r="S165" s="110">
        <v>1</v>
      </c>
      <c r="T165" s="111">
        <v>1</v>
      </c>
      <c r="U165" s="108">
        <v>1</v>
      </c>
      <c r="V165" s="109">
        <v>1</v>
      </c>
      <c r="W165" s="110">
        <v>1</v>
      </c>
      <c r="X165" s="111">
        <v>1</v>
      </c>
      <c r="Y165" s="90">
        <f t="shared" si="82"/>
        <v>0.99750000000000005</v>
      </c>
      <c r="Z165" s="108">
        <v>0</v>
      </c>
      <c r="AA165" s="109">
        <v>0</v>
      </c>
      <c r="AB165" s="110">
        <v>0</v>
      </c>
      <c r="AC165" s="111">
        <v>0</v>
      </c>
      <c r="AD165" s="90">
        <f t="shared" si="83"/>
        <v>0</v>
      </c>
      <c r="AE165" s="108">
        <v>0.9</v>
      </c>
      <c r="AF165" s="109">
        <v>0.7</v>
      </c>
      <c r="AG165" s="110">
        <v>0.7</v>
      </c>
      <c r="AH165" s="113">
        <v>0.7</v>
      </c>
      <c r="AI165" s="84">
        <f t="shared" si="88"/>
        <v>0.71</v>
      </c>
      <c r="AJ165" s="108">
        <v>1</v>
      </c>
      <c r="AK165" s="88">
        <v>0</v>
      </c>
      <c r="AL165" s="116"/>
      <c r="AM165" s="108">
        <v>0</v>
      </c>
      <c r="AN165" s="109">
        <v>0</v>
      </c>
      <c r="AO165" s="110">
        <v>0</v>
      </c>
      <c r="AP165" s="111">
        <v>0</v>
      </c>
      <c r="AQ165" s="84">
        <f t="shared" si="84"/>
        <v>0</v>
      </c>
      <c r="AR165" s="88">
        <v>0</v>
      </c>
      <c r="AS165" s="88">
        <v>0</v>
      </c>
      <c r="AT165" s="88">
        <v>0</v>
      </c>
      <c r="AU165" s="88">
        <v>0</v>
      </c>
      <c r="AV165" s="84">
        <f t="shared" si="85"/>
        <v>0</v>
      </c>
      <c r="AW165" s="88">
        <v>0</v>
      </c>
      <c r="AX165" s="88">
        <v>0</v>
      </c>
      <c r="AY165" s="88">
        <v>0</v>
      </c>
      <c r="AZ165" s="84">
        <f t="shared" si="86"/>
        <v>0</v>
      </c>
      <c r="BA165" s="88">
        <v>0</v>
      </c>
      <c r="BB165" s="88">
        <v>0</v>
      </c>
      <c r="BC165" s="153">
        <v>0</v>
      </c>
      <c r="BD165" s="84">
        <f t="shared" si="89"/>
        <v>0</v>
      </c>
      <c r="BE165" s="150"/>
      <c r="BF165" s="151" t="e">
        <f t="shared" si="87"/>
        <v>#DIV/0!</v>
      </c>
      <c r="BG165" s="152"/>
    </row>
    <row r="166" spans="2:59" ht="42" customHeight="1" thickBot="1" x14ac:dyDescent="0.35">
      <c r="B166" s="173" t="s">
        <v>102</v>
      </c>
      <c r="C166" s="174"/>
      <c r="D166" s="174"/>
      <c r="E166" s="174"/>
      <c r="F166" s="174"/>
      <c r="G166" s="174"/>
      <c r="H166" s="174"/>
      <c r="I166" s="174"/>
      <c r="J166" s="174"/>
      <c r="K166" s="174"/>
      <c r="L166" s="174"/>
      <c r="M166" s="174"/>
      <c r="N166" s="174"/>
      <c r="O166" s="174"/>
      <c r="P166" s="174"/>
      <c r="Q166" s="174"/>
      <c r="R166" s="174"/>
      <c r="S166" s="174"/>
      <c r="T166" s="174"/>
      <c r="U166" s="174"/>
      <c r="V166" s="174"/>
      <c r="W166" s="174"/>
      <c r="X166" s="174"/>
      <c r="Y166" s="174"/>
      <c r="Z166" s="174"/>
      <c r="AA166" s="174"/>
      <c r="AB166" s="174"/>
      <c r="AC166" s="174"/>
      <c r="AD166" s="174"/>
      <c r="AE166" s="174"/>
      <c r="AF166" s="174"/>
      <c r="AG166" s="174"/>
      <c r="AH166" s="174"/>
      <c r="AI166" s="174"/>
      <c r="AJ166" s="174"/>
      <c r="AK166" s="174"/>
      <c r="AL166" s="174"/>
      <c r="AM166" s="174"/>
      <c r="AN166" s="174"/>
      <c r="AO166" s="174"/>
      <c r="AP166" s="174"/>
      <c r="AQ166" s="174"/>
      <c r="AR166" s="174"/>
      <c r="AS166" s="174"/>
      <c r="AT166" s="174"/>
      <c r="AU166" s="174"/>
      <c r="AV166" s="174"/>
      <c r="AW166" s="174"/>
      <c r="AX166" s="174"/>
      <c r="AY166" s="174"/>
      <c r="AZ166" s="174"/>
      <c r="BA166" s="174"/>
      <c r="BB166" s="174"/>
      <c r="BC166" s="174"/>
      <c r="BD166" s="174"/>
      <c r="BE166" s="174"/>
      <c r="BF166" s="174"/>
      <c r="BG166" s="176"/>
    </row>
    <row r="167" spans="2:59" ht="42" customHeight="1" thickBot="1" x14ac:dyDescent="0.35">
      <c r="B167" s="80">
        <v>1001</v>
      </c>
      <c r="C167" s="82">
        <v>1</v>
      </c>
      <c r="D167" s="82">
        <v>1</v>
      </c>
      <c r="E167" s="82">
        <v>1</v>
      </c>
      <c r="F167" s="83">
        <v>1</v>
      </c>
      <c r="G167" s="133">
        <f t="shared" ref="G167:G182" si="90" xml:space="preserve"> C167*45% + D167*45% + E167*5% + F167*5%</f>
        <v>1</v>
      </c>
      <c r="H167" s="88">
        <v>0</v>
      </c>
      <c r="I167" s="86">
        <v>0</v>
      </c>
      <c r="J167" s="82">
        <v>0</v>
      </c>
      <c r="K167" s="89">
        <v>0</v>
      </c>
      <c r="L167" s="90">
        <f t="shared" ref="L167:L182" si="91" xml:space="preserve"> H167*30% + I167*30% + J167*10% + K167*30%</f>
        <v>0</v>
      </c>
      <c r="M167" s="85">
        <v>0</v>
      </c>
      <c r="N167" s="86">
        <v>0</v>
      </c>
      <c r="O167" s="82">
        <v>0</v>
      </c>
      <c r="P167" s="87">
        <v>0</v>
      </c>
      <c r="Q167" s="88">
        <v>0</v>
      </c>
      <c r="R167" s="86">
        <v>0</v>
      </c>
      <c r="S167" s="82">
        <v>0</v>
      </c>
      <c r="T167" s="89">
        <v>1</v>
      </c>
      <c r="U167" s="88">
        <v>0</v>
      </c>
      <c r="V167" s="86">
        <v>0</v>
      </c>
      <c r="W167" s="82">
        <v>0</v>
      </c>
      <c r="X167" s="89">
        <v>1</v>
      </c>
      <c r="Y167" s="90">
        <f t="shared" ref="Y167:Y182" si="92" xml:space="preserve"> (U167*10% + V167*10% + W167*10% + X167*10%+ Q167*5% + R167*5% + S167*5% + T167*5%+M167*10% + N167*15% + O167*5% + P167*10%)</f>
        <v>0.15000000000000002</v>
      </c>
      <c r="Z167" s="88">
        <v>0</v>
      </c>
      <c r="AA167" s="86">
        <v>0</v>
      </c>
      <c r="AB167" s="82">
        <v>0</v>
      </c>
      <c r="AC167" s="89">
        <v>0</v>
      </c>
      <c r="AD167" s="90">
        <f t="shared" ref="AD167:AD182" si="93" xml:space="preserve"> Z167*45% + AA167*45% + AB167*5% + AC167*5%</f>
        <v>0</v>
      </c>
      <c r="AE167" s="88">
        <v>0.9</v>
      </c>
      <c r="AF167" s="82">
        <v>0</v>
      </c>
      <c r="AG167" s="82">
        <v>0</v>
      </c>
      <c r="AH167" s="82">
        <v>0</v>
      </c>
      <c r="AI167" s="84">
        <f xml:space="preserve"> AE167*5% + AF167*30% + AG167*35% + AH167*30%</f>
        <v>4.5000000000000005E-2</v>
      </c>
      <c r="AJ167" s="88">
        <v>0</v>
      </c>
      <c r="AK167" s="88">
        <v>0</v>
      </c>
      <c r="AL167" s="99"/>
      <c r="AM167" s="88">
        <v>0</v>
      </c>
      <c r="AN167" s="86">
        <v>0</v>
      </c>
      <c r="AO167" s="82">
        <v>0</v>
      </c>
      <c r="AP167" s="89">
        <v>0</v>
      </c>
      <c r="AQ167" s="84">
        <f t="shared" ref="AQ167:AQ182" si="94" xml:space="preserve"> AM167*15% + AN167*35% + AO167*15% + AP167*35%</f>
        <v>0</v>
      </c>
      <c r="AR167" s="88">
        <v>0</v>
      </c>
      <c r="AS167" s="88">
        <v>0</v>
      </c>
      <c r="AT167" s="88">
        <v>0</v>
      </c>
      <c r="AU167" s="88">
        <v>0</v>
      </c>
      <c r="AV167" s="84">
        <f t="shared" ref="AV167:AV182" si="95" xml:space="preserve"> AR167*30% + AS167*30% + AT167*15% + AU167*25%</f>
        <v>0</v>
      </c>
      <c r="AW167" s="158">
        <v>0</v>
      </c>
      <c r="AX167" s="158">
        <v>0</v>
      </c>
      <c r="AY167" s="159">
        <v>0</v>
      </c>
      <c r="AZ167" s="84">
        <f t="shared" ref="AZ167:AZ182" si="96" xml:space="preserve">  AW167*30% + AX167*45% + AY167*25%</f>
        <v>0</v>
      </c>
      <c r="BA167" s="88">
        <v>0</v>
      </c>
      <c r="BB167" s="88">
        <v>0</v>
      </c>
      <c r="BC167" s="153">
        <v>0</v>
      </c>
      <c r="BD167" s="84">
        <f t="shared" ref="BD167:BD182" si="97" xml:space="preserve">  BA167*30% + BB167*45% + BC167*25%</f>
        <v>0</v>
      </c>
      <c r="BE167" s="135"/>
      <c r="BF167" s="92" t="e">
        <f t="shared" ref="BF167:BF182" si="98">(
(COUNTIF(B167:E167,"✓")/(COUNTIF(B167:E167,"✓")+COUNTIF(B167:E167,"x")))*0.2 +
(COUNTIF(F167:J167,"✓")/(COUNTIF(F167:J167,"✓")+COUNTIF(F167:J167,"x")))*0.1 +
(COUNTIF(K167:O167,"✓")/(COUNTIF(K167:O167,"✓")+COUNTIF(K167:O167,"x")))*0.1 +
(COUNTIF(P167:S167,"✓")/(COUNTIF(P167:S167,"✓")+COUNTIF(P167:S167,"x")))*0.1 +
(COUNTIF(T167:W167,"✓")/(COUNTIF(T167:W167,"✓")+COUNTIF(T167:W167,"x")))*0.1 +
(COUNTIF(X167:AB167,"✓")/(COUNTIF(X167:AB167,"✓")+COUNTIF(X167:AB167,"x")))*0.1 +
(COUNTIF(AC167:AO167,"✓")/(COUNTIF(AC167:AO167,"✓")+COUNTIF(AC167:AO167,"x")))*0.1 +
(COUNTIF(AP167:AT167,"✓")/(COUNTIF(AP167:AT167,"✓")+COUNTIF(AP167:AT167,"x")))*0.05 +
(COUNTIF(AU167:BB167,"✓")/(COUNTIF(AU167:BB167,"✓")+COUNTIF(AU167:BB167,"x")))*0.1 +
(COUNTIF(BC167:BC167,"✓")/(COUNTIF(BC167:BC167,"✓")+COUNTIF(BC167:BC167,"x")))*0.05
)</f>
        <v>#DIV/0!</v>
      </c>
      <c r="BG167" s="204"/>
    </row>
    <row r="168" spans="2:59" ht="42" customHeight="1" thickBot="1" x14ac:dyDescent="0.35">
      <c r="B168" s="80">
        <v>1002</v>
      </c>
      <c r="C168" s="82">
        <v>1</v>
      </c>
      <c r="D168" s="82">
        <v>1</v>
      </c>
      <c r="E168" s="82">
        <v>1</v>
      </c>
      <c r="F168" s="83">
        <v>1</v>
      </c>
      <c r="G168" s="133">
        <f t="shared" si="90"/>
        <v>1</v>
      </c>
      <c r="H168" s="88">
        <v>0</v>
      </c>
      <c r="I168" s="86">
        <v>0</v>
      </c>
      <c r="J168" s="82">
        <v>0</v>
      </c>
      <c r="K168" s="89">
        <v>0</v>
      </c>
      <c r="L168" s="90">
        <f t="shared" si="91"/>
        <v>0</v>
      </c>
      <c r="M168" s="85">
        <v>1</v>
      </c>
      <c r="N168" s="86">
        <v>1</v>
      </c>
      <c r="O168" s="82">
        <v>0.95</v>
      </c>
      <c r="P168" s="87">
        <v>1</v>
      </c>
      <c r="Q168" s="88">
        <v>0</v>
      </c>
      <c r="R168" s="86">
        <v>0</v>
      </c>
      <c r="S168" s="82">
        <v>0</v>
      </c>
      <c r="T168" s="89">
        <v>0</v>
      </c>
      <c r="U168" s="88">
        <v>0</v>
      </c>
      <c r="V168" s="86">
        <v>0</v>
      </c>
      <c r="W168" s="82">
        <v>0</v>
      </c>
      <c r="X168" s="89">
        <v>0</v>
      </c>
      <c r="Y168" s="90">
        <f t="shared" si="92"/>
        <v>0.39749999999999996</v>
      </c>
      <c r="Z168" s="88">
        <v>0</v>
      </c>
      <c r="AA168" s="86">
        <v>0</v>
      </c>
      <c r="AB168" s="82">
        <v>0</v>
      </c>
      <c r="AC168" s="89">
        <v>0</v>
      </c>
      <c r="AD168" s="90">
        <f t="shared" si="93"/>
        <v>0</v>
      </c>
      <c r="AE168" s="88">
        <v>0.7</v>
      </c>
      <c r="AF168" s="82">
        <v>0</v>
      </c>
      <c r="AG168" s="82">
        <v>0</v>
      </c>
      <c r="AH168" s="82">
        <v>0</v>
      </c>
      <c r="AI168" s="84">
        <f t="shared" ref="AI168:AI182" si="99" xml:space="preserve"> AE168*5% + AF168*30% + AG168*35% + AH168*30%</f>
        <v>3.4999999999999996E-2</v>
      </c>
      <c r="AJ168" s="88">
        <v>1</v>
      </c>
      <c r="AK168" s="88">
        <v>0</v>
      </c>
      <c r="AL168" s="99"/>
      <c r="AM168" s="88">
        <v>0</v>
      </c>
      <c r="AN168" s="86">
        <v>0</v>
      </c>
      <c r="AO168" s="82">
        <v>0</v>
      </c>
      <c r="AP168" s="89">
        <v>0</v>
      </c>
      <c r="AQ168" s="84">
        <f t="shared" si="94"/>
        <v>0</v>
      </c>
      <c r="AR168" s="88">
        <v>0</v>
      </c>
      <c r="AS168" s="88">
        <v>0</v>
      </c>
      <c r="AT168" s="88">
        <v>0</v>
      </c>
      <c r="AU168" s="88">
        <v>0</v>
      </c>
      <c r="AV168" s="84">
        <f t="shared" si="95"/>
        <v>0</v>
      </c>
      <c r="AW168" s="88">
        <v>0</v>
      </c>
      <c r="AX168" s="88">
        <v>0</v>
      </c>
      <c r="AY168" s="153">
        <v>0</v>
      </c>
      <c r="AZ168" s="84">
        <f t="shared" si="96"/>
        <v>0</v>
      </c>
      <c r="BA168" s="88">
        <v>0</v>
      </c>
      <c r="BB168" s="88">
        <v>0</v>
      </c>
      <c r="BC168" s="153">
        <v>0</v>
      </c>
      <c r="BD168" s="84">
        <f t="shared" si="97"/>
        <v>0</v>
      </c>
      <c r="BE168" s="135"/>
      <c r="BF168" s="92" t="e">
        <f t="shared" si="98"/>
        <v>#DIV/0!</v>
      </c>
      <c r="BG168" s="205"/>
    </row>
    <row r="169" spans="2:59" ht="42" customHeight="1" thickBot="1" x14ac:dyDescent="0.4">
      <c r="B169" s="80">
        <v>1003</v>
      </c>
      <c r="C169" s="82">
        <v>1</v>
      </c>
      <c r="D169" s="82">
        <v>1</v>
      </c>
      <c r="E169" s="82">
        <v>1</v>
      </c>
      <c r="F169" s="83">
        <v>1</v>
      </c>
      <c r="G169" s="133">
        <f t="shared" si="90"/>
        <v>1</v>
      </c>
      <c r="H169" s="88">
        <v>0</v>
      </c>
      <c r="I169" s="86">
        <v>0</v>
      </c>
      <c r="J169" s="82">
        <v>0</v>
      </c>
      <c r="K169" s="89">
        <v>0</v>
      </c>
      <c r="L169" s="90">
        <f t="shared" si="91"/>
        <v>0</v>
      </c>
      <c r="M169" s="85">
        <v>0</v>
      </c>
      <c r="N169" s="86">
        <v>0</v>
      </c>
      <c r="O169" s="82">
        <v>0</v>
      </c>
      <c r="P169" s="87">
        <v>0</v>
      </c>
      <c r="Q169" s="88">
        <v>0</v>
      </c>
      <c r="R169" s="86">
        <v>0</v>
      </c>
      <c r="S169" s="82">
        <v>0</v>
      </c>
      <c r="T169" s="89">
        <v>0</v>
      </c>
      <c r="U169" s="88">
        <v>0</v>
      </c>
      <c r="V169" s="86">
        <v>0</v>
      </c>
      <c r="W169" s="82">
        <v>0</v>
      </c>
      <c r="X169" s="89">
        <v>0</v>
      </c>
      <c r="Y169" s="90">
        <f t="shared" si="92"/>
        <v>0</v>
      </c>
      <c r="Z169" s="88">
        <v>0</v>
      </c>
      <c r="AA169" s="86">
        <v>0</v>
      </c>
      <c r="AB169" s="82">
        <v>0</v>
      </c>
      <c r="AC169" s="89">
        <v>0</v>
      </c>
      <c r="AD169" s="90">
        <f t="shared" si="93"/>
        <v>0</v>
      </c>
      <c r="AE169" s="88">
        <v>0.9</v>
      </c>
      <c r="AF169" s="82">
        <v>0</v>
      </c>
      <c r="AG169" s="82">
        <v>0</v>
      </c>
      <c r="AH169" s="82">
        <v>0</v>
      </c>
      <c r="AI169" s="84">
        <f t="shared" si="99"/>
        <v>4.5000000000000005E-2</v>
      </c>
      <c r="AJ169" s="88">
        <v>0</v>
      </c>
      <c r="AK169" s="88">
        <v>0</v>
      </c>
      <c r="AL169" s="99"/>
      <c r="AM169" s="88">
        <v>0</v>
      </c>
      <c r="AN169" s="86">
        <v>0</v>
      </c>
      <c r="AO169" s="82">
        <v>0</v>
      </c>
      <c r="AP169" s="89">
        <v>0</v>
      </c>
      <c r="AQ169" s="84">
        <f t="shared" si="94"/>
        <v>0</v>
      </c>
      <c r="AR169" s="88">
        <v>0</v>
      </c>
      <c r="AS169" s="88">
        <v>0</v>
      </c>
      <c r="AT169" s="88">
        <v>0</v>
      </c>
      <c r="AU169" s="88">
        <v>0</v>
      </c>
      <c r="AV169" s="84">
        <f t="shared" si="95"/>
        <v>0</v>
      </c>
      <c r="AW169" s="88">
        <v>0</v>
      </c>
      <c r="AX169" s="88">
        <v>0</v>
      </c>
      <c r="AY169" s="153">
        <v>0</v>
      </c>
      <c r="AZ169" s="84">
        <f t="shared" si="96"/>
        <v>0</v>
      </c>
      <c r="BA169" s="88">
        <v>0</v>
      </c>
      <c r="BB169" s="88">
        <v>0</v>
      </c>
      <c r="BC169" s="153">
        <v>0</v>
      </c>
      <c r="BD169" s="84">
        <f t="shared" si="97"/>
        <v>0</v>
      </c>
      <c r="BE169" s="135"/>
      <c r="BF169" s="92" t="e">
        <f t="shared" si="98"/>
        <v>#DIV/0!</v>
      </c>
      <c r="BG169" s="103"/>
    </row>
    <row r="170" spans="2:59" ht="42" customHeight="1" thickBot="1" x14ac:dyDescent="0.35">
      <c r="B170" s="80">
        <v>1004</v>
      </c>
      <c r="C170" s="82">
        <v>1</v>
      </c>
      <c r="D170" s="82">
        <v>1</v>
      </c>
      <c r="E170" s="82">
        <v>1</v>
      </c>
      <c r="F170" s="83">
        <v>1</v>
      </c>
      <c r="G170" s="133">
        <f t="shared" si="90"/>
        <v>1</v>
      </c>
      <c r="H170" s="88">
        <v>0</v>
      </c>
      <c r="I170" s="86">
        <v>0</v>
      </c>
      <c r="J170" s="82">
        <v>0</v>
      </c>
      <c r="K170" s="89">
        <v>0</v>
      </c>
      <c r="L170" s="90">
        <f t="shared" si="91"/>
        <v>0</v>
      </c>
      <c r="M170" s="85">
        <v>0.7</v>
      </c>
      <c r="N170" s="86">
        <v>1</v>
      </c>
      <c r="O170" s="82">
        <v>0.7</v>
      </c>
      <c r="P170" s="87">
        <v>0.7</v>
      </c>
      <c r="Q170" s="88">
        <v>0</v>
      </c>
      <c r="R170" s="86">
        <v>0</v>
      </c>
      <c r="S170" s="82">
        <v>0</v>
      </c>
      <c r="T170" s="89">
        <v>0</v>
      </c>
      <c r="U170" s="88">
        <v>0</v>
      </c>
      <c r="V170" s="86">
        <v>0</v>
      </c>
      <c r="W170" s="82">
        <v>0</v>
      </c>
      <c r="X170" s="89">
        <v>0</v>
      </c>
      <c r="Y170" s="90">
        <f t="shared" si="92"/>
        <v>0.32499999999999996</v>
      </c>
      <c r="Z170" s="88">
        <v>0</v>
      </c>
      <c r="AA170" s="86">
        <v>0</v>
      </c>
      <c r="AB170" s="82">
        <v>0</v>
      </c>
      <c r="AC170" s="89">
        <v>0</v>
      </c>
      <c r="AD170" s="90">
        <f t="shared" si="93"/>
        <v>0</v>
      </c>
      <c r="AE170" s="88">
        <v>0.7</v>
      </c>
      <c r="AF170" s="82">
        <v>0</v>
      </c>
      <c r="AG170" s="82">
        <v>0</v>
      </c>
      <c r="AH170" s="82">
        <v>0</v>
      </c>
      <c r="AI170" s="84">
        <f t="shared" si="99"/>
        <v>3.4999999999999996E-2</v>
      </c>
      <c r="AJ170" s="88">
        <v>0</v>
      </c>
      <c r="AK170" s="88">
        <v>0</v>
      </c>
      <c r="AL170" s="99"/>
      <c r="AM170" s="88">
        <v>0</v>
      </c>
      <c r="AN170" s="86">
        <v>0</v>
      </c>
      <c r="AO170" s="82">
        <v>0</v>
      </c>
      <c r="AP170" s="89">
        <v>0</v>
      </c>
      <c r="AQ170" s="84">
        <f t="shared" si="94"/>
        <v>0</v>
      </c>
      <c r="AR170" s="88">
        <v>0</v>
      </c>
      <c r="AS170" s="88">
        <v>0</v>
      </c>
      <c r="AT170" s="88">
        <v>0</v>
      </c>
      <c r="AU170" s="88">
        <v>0</v>
      </c>
      <c r="AV170" s="84">
        <f t="shared" si="95"/>
        <v>0</v>
      </c>
      <c r="AW170" s="88">
        <v>0</v>
      </c>
      <c r="AX170" s="88">
        <v>0</v>
      </c>
      <c r="AY170" s="153">
        <v>0</v>
      </c>
      <c r="AZ170" s="84">
        <f t="shared" si="96"/>
        <v>0</v>
      </c>
      <c r="BA170" s="88">
        <v>0</v>
      </c>
      <c r="BB170" s="88">
        <v>0</v>
      </c>
      <c r="BC170" s="153">
        <v>0</v>
      </c>
      <c r="BD170" s="84">
        <f t="shared" si="97"/>
        <v>0</v>
      </c>
      <c r="BE170" s="135"/>
      <c r="BF170" s="92" t="e">
        <f t="shared" si="98"/>
        <v>#DIV/0!</v>
      </c>
      <c r="BG170" s="102"/>
    </row>
    <row r="171" spans="2:59" ht="42" customHeight="1" thickBot="1" x14ac:dyDescent="0.4">
      <c r="B171" s="80">
        <v>1005</v>
      </c>
      <c r="C171" s="82">
        <v>1</v>
      </c>
      <c r="D171" s="82">
        <v>1</v>
      </c>
      <c r="E171" s="82">
        <v>1</v>
      </c>
      <c r="F171" s="83">
        <v>1</v>
      </c>
      <c r="G171" s="133">
        <f t="shared" si="90"/>
        <v>1</v>
      </c>
      <c r="H171" s="88">
        <v>0</v>
      </c>
      <c r="I171" s="86">
        <v>0</v>
      </c>
      <c r="J171" s="82">
        <v>0</v>
      </c>
      <c r="K171" s="89">
        <v>0</v>
      </c>
      <c r="L171" s="90">
        <f t="shared" si="91"/>
        <v>0</v>
      </c>
      <c r="M171" s="85">
        <v>0.7</v>
      </c>
      <c r="N171" s="86">
        <v>1</v>
      </c>
      <c r="O171" s="82">
        <v>0.7</v>
      </c>
      <c r="P171" s="87">
        <v>0.7</v>
      </c>
      <c r="Q171" s="88">
        <v>0</v>
      </c>
      <c r="R171" s="86">
        <v>0</v>
      </c>
      <c r="S171" s="82">
        <v>0</v>
      </c>
      <c r="T171" s="89">
        <v>0</v>
      </c>
      <c r="U171" s="88">
        <v>0</v>
      </c>
      <c r="V171" s="86">
        <v>0</v>
      </c>
      <c r="W171" s="82">
        <v>0</v>
      </c>
      <c r="X171" s="89">
        <v>0</v>
      </c>
      <c r="Y171" s="90">
        <f t="shared" si="92"/>
        <v>0.32499999999999996</v>
      </c>
      <c r="Z171" s="88">
        <v>0</v>
      </c>
      <c r="AA171" s="86">
        <v>0</v>
      </c>
      <c r="AB171" s="82">
        <v>0</v>
      </c>
      <c r="AC171" s="89">
        <v>0</v>
      </c>
      <c r="AD171" s="90">
        <f t="shared" si="93"/>
        <v>0</v>
      </c>
      <c r="AE171" s="88">
        <v>0.9</v>
      </c>
      <c r="AF171" s="82">
        <v>0</v>
      </c>
      <c r="AG171" s="82">
        <v>0</v>
      </c>
      <c r="AH171" s="82">
        <v>0</v>
      </c>
      <c r="AI171" s="84">
        <f t="shared" si="99"/>
        <v>4.5000000000000005E-2</v>
      </c>
      <c r="AJ171" s="88">
        <v>1</v>
      </c>
      <c r="AK171" s="88">
        <v>0</v>
      </c>
      <c r="AL171" s="99"/>
      <c r="AM171" s="88">
        <v>0</v>
      </c>
      <c r="AN171" s="86">
        <v>0</v>
      </c>
      <c r="AO171" s="82">
        <v>0</v>
      </c>
      <c r="AP171" s="89">
        <v>0</v>
      </c>
      <c r="AQ171" s="84">
        <f t="shared" si="94"/>
        <v>0</v>
      </c>
      <c r="AR171" s="88">
        <v>0</v>
      </c>
      <c r="AS171" s="88">
        <v>0</v>
      </c>
      <c r="AT171" s="88">
        <v>0</v>
      </c>
      <c r="AU171" s="88">
        <v>0</v>
      </c>
      <c r="AV171" s="84">
        <f t="shared" si="95"/>
        <v>0</v>
      </c>
      <c r="AW171" s="88">
        <v>0</v>
      </c>
      <c r="AX171" s="88">
        <v>0</v>
      </c>
      <c r="AY171" s="153">
        <v>0</v>
      </c>
      <c r="AZ171" s="84">
        <f t="shared" si="96"/>
        <v>0</v>
      </c>
      <c r="BA171" s="88">
        <v>0</v>
      </c>
      <c r="BB171" s="88">
        <v>0</v>
      </c>
      <c r="BC171" s="153">
        <v>0</v>
      </c>
      <c r="BD171" s="84">
        <f t="shared" si="97"/>
        <v>0</v>
      </c>
      <c r="BE171" s="135"/>
      <c r="BF171" s="92" t="e">
        <f t="shared" si="98"/>
        <v>#DIV/0!</v>
      </c>
      <c r="BG171" s="103"/>
    </row>
    <row r="172" spans="2:59" ht="42" customHeight="1" thickBot="1" x14ac:dyDescent="0.4">
      <c r="B172" s="80">
        <v>1006</v>
      </c>
      <c r="C172" s="82">
        <v>1</v>
      </c>
      <c r="D172" s="82">
        <v>1</v>
      </c>
      <c r="E172" s="82">
        <v>1</v>
      </c>
      <c r="F172" s="83">
        <v>1</v>
      </c>
      <c r="G172" s="133">
        <f t="shared" si="90"/>
        <v>1</v>
      </c>
      <c r="H172" s="88">
        <v>0</v>
      </c>
      <c r="I172" s="86">
        <v>0</v>
      </c>
      <c r="J172" s="82">
        <v>0</v>
      </c>
      <c r="K172" s="89">
        <v>0</v>
      </c>
      <c r="L172" s="90">
        <f t="shared" si="91"/>
        <v>0</v>
      </c>
      <c r="M172" s="85">
        <v>1</v>
      </c>
      <c r="N172" s="86">
        <v>1</v>
      </c>
      <c r="O172" s="82">
        <v>0.95</v>
      </c>
      <c r="P172" s="87">
        <v>1</v>
      </c>
      <c r="Q172" s="88">
        <v>0</v>
      </c>
      <c r="R172" s="86">
        <v>0</v>
      </c>
      <c r="S172" s="82">
        <v>0</v>
      </c>
      <c r="T172" s="89">
        <v>0</v>
      </c>
      <c r="U172" s="88">
        <v>0</v>
      </c>
      <c r="V172" s="86">
        <v>0</v>
      </c>
      <c r="W172" s="82">
        <v>0</v>
      </c>
      <c r="X172" s="89">
        <v>0</v>
      </c>
      <c r="Y172" s="90">
        <f t="shared" si="92"/>
        <v>0.39749999999999996</v>
      </c>
      <c r="Z172" s="88">
        <v>0</v>
      </c>
      <c r="AA172" s="86">
        <v>0</v>
      </c>
      <c r="AB172" s="82">
        <v>0</v>
      </c>
      <c r="AC172" s="89">
        <v>0</v>
      </c>
      <c r="AD172" s="90">
        <f t="shared" si="93"/>
        <v>0</v>
      </c>
      <c r="AE172" s="88">
        <v>0.7</v>
      </c>
      <c r="AF172" s="82">
        <v>0</v>
      </c>
      <c r="AG172" s="82">
        <v>0</v>
      </c>
      <c r="AH172" s="82">
        <v>0</v>
      </c>
      <c r="AI172" s="84">
        <f t="shared" si="99"/>
        <v>3.4999999999999996E-2</v>
      </c>
      <c r="AJ172" s="88">
        <v>0</v>
      </c>
      <c r="AK172" s="88">
        <v>0</v>
      </c>
      <c r="AL172" s="99"/>
      <c r="AM172" s="88">
        <v>0</v>
      </c>
      <c r="AN172" s="86">
        <v>0</v>
      </c>
      <c r="AO172" s="82">
        <v>0</v>
      </c>
      <c r="AP172" s="89">
        <v>0</v>
      </c>
      <c r="AQ172" s="84">
        <f t="shared" si="94"/>
        <v>0</v>
      </c>
      <c r="AR172" s="88">
        <v>0</v>
      </c>
      <c r="AS172" s="88">
        <v>0</v>
      </c>
      <c r="AT172" s="88">
        <v>0</v>
      </c>
      <c r="AU172" s="88">
        <v>0</v>
      </c>
      <c r="AV172" s="84">
        <f t="shared" si="95"/>
        <v>0</v>
      </c>
      <c r="AW172" s="88">
        <v>0</v>
      </c>
      <c r="AX172" s="88">
        <v>0</v>
      </c>
      <c r="AY172" s="153">
        <v>0</v>
      </c>
      <c r="AZ172" s="84">
        <f t="shared" si="96"/>
        <v>0</v>
      </c>
      <c r="BA172" s="88">
        <v>0</v>
      </c>
      <c r="BB172" s="88">
        <v>0</v>
      </c>
      <c r="BC172" s="153">
        <v>0</v>
      </c>
      <c r="BD172" s="84">
        <f t="shared" si="97"/>
        <v>0</v>
      </c>
      <c r="BE172" s="135"/>
      <c r="BF172" s="92" t="e">
        <f t="shared" si="98"/>
        <v>#DIV/0!</v>
      </c>
      <c r="BG172" s="104"/>
    </row>
    <row r="173" spans="2:59" ht="42" customHeight="1" thickBot="1" x14ac:dyDescent="0.4">
      <c r="B173" s="80">
        <v>1007</v>
      </c>
      <c r="C173" s="82">
        <v>1</v>
      </c>
      <c r="D173" s="82">
        <v>1</v>
      </c>
      <c r="E173" s="82">
        <v>1</v>
      </c>
      <c r="F173" s="83">
        <v>1</v>
      </c>
      <c r="G173" s="133">
        <f t="shared" si="90"/>
        <v>1</v>
      </c>
      <c r="H173" s="88">
        <v>0</v>
      </c>
      <c r="I173" s="86">
        <v>0</v>
      </c>
      <c r="J173" s="82">
        <v>0</v>
      </c>
      <c r="K173" s="89">
        <v>0</v>
      </c>
      <c r="L173" s="90">
        <f t="shared" si="91"/>
        <v>0</v>
      </c>
      <c r="M173" s="85">
        <v>0.7</v>
      </c>
      <c r="N173" s="86">
        <v>1</v>
      </c>
      <c r="O173" s="82">
        <v>0.7</v>
      </c>
      <c r="P173" s="87">
        <v>0.7</v>
      </c>
      <c r="Q173" s="88">
        <v>0</v>
      </c>
      <c r="R173" s="86">
        <v>0</v>
      </c>
      <c r="S173" s="82">
        <v>0</v>
      </c>
      <c r="T173" s="89">
        <v>0</v>
      </c>
      <c r="U173" s="88">
        <v>0</v>
      </c>
      <c r="V173" s="86">
        <v>0</v>
      </c>
      <c r="W173" s="82">
        <v>0</v>
      </c>
      <c r="X173" s="89">
        <v>0</v>
      </c>
      <c r="Y173" s="90">
        <f t="shared" si="92"/>
        <v>0.32499999999999996</v>
      </c>
      <c r="Z173" s="88">
        <v>0</v>
      </c>
      <c r="AA173" s="86">
        <v>0</v>
      </c>
      <c r="AB173" s="82">
        <v>0</v>
      </c>
      <c r="AC173" s="89">
        <v>0</v>
      </c>
      <c r="AD173" s="90">
        <f t="shared" si="93"/>
        <v>0</v>
      </c>
      <c r="AE173" s="88">
        <v>0.9</v>
      </c>
      <c r="AF173" s="82">
        <v>0</v>
      </c>
      <c r="AG173" s="82">
        <v>0</v>
      </c>
      <c r="AH173" s="82">
        <v>0</v>
      </c>
      <c r="AI173" s="84">
        <f t="shared" si="99"/>
        <v>4.5000000000000005E-2</v>
      </c>
      <c r="AJ173" s="88">
        <v>1</v>
      </c>
      <c r="AK173" s="88">
        <v>0</v>
      </c>
      <c r="AL173" s="99"/>
      <c r="AM173" s="88">
        <v>0</v>
      </c>
      <c r="AN173" s="86">
        <v>0</v>
      </c>
      <c r="AO173" s="82">
        <v>0</v>
      </c>
      <c r="AP173" s="89">
        <v>0</v>
      </c>
      <c r="AQ173" s="84">
        <f t="shared" si="94"/>
        <v>0</v>
      </c>
      <c r="AR173" s="88">
        <v>0</v>
      </c>
      <c r="AS173" s="88">
        <v>0</v>
      </c>
      <c r="AT173" s="88">
        <v>0</v>
      </c>
      <c r="AU173" s="88">
        <v>0</v>
      </c>
      <c r="AV173" s="84">
        <f t="shared" si="95"/>
        <v>0</v>
      </c>
      <c r="AW173" s="88">
        <v>0</v>
      </c>
      <c r="AX173" s="88">
        <v>0</v>
      </c>
      <c r="AY173" s="153">
        <v>0</v>
      </c>
      <c r="AZ173" s="84">
        <f t="shared" si="96"/>
        <v>0</v>
      </c>
      <c r="BA173" s="88">
        <v>0</v>
      </c>
      <c r="BB173" s="88">
        <v>0</v>
      </c>
      <c r="BC173" s="153">
        <v>0</v>
      </c>
      <c r="BD173" s="84">
        <f t="shared" si="97"/>
        <v>0</v>
      </c>
      <c r="BE173" s="135"/>
      <c r="BF173" s="92" t="e">
        <f t="shared" si="98"/>
        <v>#DIV/0!</v>
      </c>
      <c r="BG173" s="103"/>
    </row>
    <row r="174" spans="2:59" ht="42" customHeight="1" thickBot="1" x14ac:dyDescent="0.4">
      <c r="B174" s="80">
        <v>1008</v>
      </c>
      <c r="C174" s="82">
        <v>1</v>
      </c>
      <c r="D174" s="82">
        <v>1</v>
      </c>
      <c r="E174" s="82">
        <v>1</v>
      </c>
      <c r="F174" s="83">
        <v>1</v>
      </c>
      <c r="G174" s="133">
        <f t="shared" si="90"/>
        <v>1</v>
      </c>
      <c r="H174" s="88">
        <v>0</v>
      </c>
      <c r="I174" s="86">
        <v>0</v>
      </c>
      <c r="J174" s="82">
        <v>0</v>
      </c>
      <c r="K174" s="89">
        <v>0</v>
      </c>
      <c r="L174" s="90">
        <f t="shared" si="91"/>
        <v>0</v>
      </c>
      <c r="M174" s="85">
        <v>1</v>
      </c>
      <c r="N174" s="86">
        <v>1</v>
      </c>
      <c r="O174" s="82">
        <v>0.95</v>
      </c>
      <c r="P174" s="87">
        <v>1</v>
      </c>
      <c r="Q174" s="88">
        <v>0</v>
      </c>
      <c r="R174" s="86">
        <v>0</v>
      </c>
      <c r="S174" s="82">
        <v>0</v>
      </c>
      <c r="T174" s="89">
        <v>0</v>
      </c>
      <c r="U174" s="88">
        <v>0</v>
      </c>
      <c r="V174" s="86">
        <v>0</v>
      </c>
      <c r="W174" s="82">
        <v>0</v>
      </c>
      <c r="X174" s="89">
        <v>0</v>
      </c>
      <c r="Y174" s="90">
        <f t="shared" si="92"/>
        <v>0.39749999999999996</v>
      </c>
      <c r="Z174" s="88">
        <v>0</v>
      </c>
      <c r="AA174" s="86">
        <v>0</v>
      </c>
      <c r="AB174" s="82">
        <v>0</v>
      </c>
      <c r="AC174" s="89">
        <v>0</v>
      </c>
      <c r="AD174" s="90">
        <f t="shared" si="93"/>
        <v>0</v>
      </c>
      <c r="AE174" s="88">
        <v>0.7</v>
      </c>
      <c r="AF174" s="82">
        <v>0</v>
      </c>
      <c r="AG174" s="82">
        <v>0</v>
      </c>
      <c r="AH174" s="82">
        <v>0</v>
      </c>
      <c r="AI174" s="84">
        <f t="shared" si="99"/>
        <v>3.4999999999999996E-2</v>
      </c>
      <c r="AJ174" s="88">
        <v>0</v>
      </c>
      <c r="AK174" s="88">
        <v>0</v>
      </c>
      <c r="AL174" s="99"/>
      <c r="AM174" s="88">
        <v>0</v>
      </c>
      <c r="AN174" s="86">
        <v>0</v>
      </c>
      <c r="AO174" s="82">
        <v>0</v>
      </c>
      <c r="AP174" s="89">
        <v>0</v>
      </c>
      <c r="AQ174" s="84">
        <f t="shared" si="94"/>
        <v>0</v>
      </c>
      <c r="AR174" s="88">
        <v>0</v>
      </c>
      <c r="AS174" s="88">
        <v>0</v>
      </c>
      <c r="AT174" s="88">
        <v>0</v>
      </c>
      <c r="AU174" s="88">
        <v>0</v>
      </c>
      <c r="AV174" s="84">
        <f t="shared" si="95"/>
        <v>0</v>
      </c>
      <c r="AW174" s="88">
        <v>0</v>
      </c>
      <c r="AX174" s="88">
        <v>0</v>
      </c>
      <c r="AY174" s="153">
        <v>0</v>
      </c>
      <c r="AZ174" s="84">
        <f t="shared" si="96"/>
        <v>0</v>
      </c>
      <c r="BA174" s="88">
        <v>0</v>
      </c>
      <c r="BB174" s="88">
        <v>0</v>
      </c>
      <c r="BC174" s="153">
        <v>0</v>
      </c>
      <c r="BD174" s="84">
        <f t="shared" si="97"/>
        <v>0</v>
      </c>
      <c r="BE174" s="135"/>
      <c r="BF174" s="92" t="e">
        <f t="shared" si="98"/>
        <v>#DIV/0!</v>
      </c>
      <c r="BG174" s="104"/>
    </row>
    <row r="175" spans="2:59" ht="42" customHeight="1" thickBot="1" x14ac:dyDescent="0.4">
      <c r="B175" s="80">
        <v>1009</v>
      </c>
      <c r="C175" s="82">
        <v>1</v>
      </c>
      <c r="D175" s="82">
        <v>1</v>
      </c>
      <c r="E175" s="82">
        <v>1</v>
      </c>
      <c r="F175" s="83">
        <v>1</v>
      </c>
      <c r="G175" s="133">
        <f t="shared" si="90"/>
        <v>1</v>
      </c>
      <c r="H175" s="88">
        <v>0</v>
      </c>
      <c r="I175" s="86">
        <v>0</v>
      </c>
      <c r="J175" s="82">
        <v>0</v>
      </c>
      <c r="K175" s="89">
        <v>0</v>
      </c>
      <c r="L175" s="90">
        <f t="shared" si="91"/>
        <v>0</v>
      </c>
      <c r="M175" s="85">
        <v>1</v>
      </c>
      <c r="N175" s="86">
        <v>1</v>
      </c>
      <c r="O175" s="82">
        <v>0.95</v>
      </c>
      <c r="P175" s="87">
        <v>1</v>
      </c>
      <c r="Q175" s="88">
        <v>0</v>
      </c>
      <c r="R175" s="86">
        <v>0</v>
      </c>
      <c r="S175" s="82">
        <v>0</v>
      </c>
      <c r="T175" s="89">
        <v>0</v>
      </c>
      <c r="U175" s="88">
        <v>0</v>
      </c>
      <c r="V175" s="86">
        <v>0</v>
      </c>
      <c r="W175" s="82">
        <v>0</v>
      </c>
      <c r="X175" s="89">
        <v>0</v>
      </c>
      <c r="Y175" s="90">
        <f t="shared" si="92"/>
        <v>0.39749999999999996</v>
      </c>
      <c r="Z175" s="88">
        <v>0</v>
      </c>
      <c r="AA175" s="86">
        <v>0</v>
      </c>
      <c r="AB175" s="82">
        <v>0</v>
      </c>
      <c r="AC175" s="89">
        <v>0</v>
      </c>
      <c r="AD175" s="90">
        <f t="shared" si="93"/>
        <v>0</v>
      </c>
      <c r="AE175" s="88">
        <v>0.9</v>
      </c>
      <c r="AF175" s="82">
        <v>0</v>
      </c>
      <c r="AG175" s="82">
        <v>0</v>
      </c>
      <c r="AH175" s="82">
        <v>0</v>
      </c>
      <c r="AI175" s="84">
        <f t="shared" si="99"/>
        <v>4.5000000000000005E-2</v>
      </c>
      <c r="AJ175" s="88">
        <v>1</v>
      </c>
      <c r="AK175" s="88">
        <v>0</v>
      </c>
      <c r="AL175" s="99"/>
      <c r="AM175" s="88">
        <v>0</v>
      </c>
      <c r="AN175" s="86">
        <v>0</v>
      </c>
      <c r="AO175" s="82">
        <v>0</v>
      </c>
      <c r="AP175" s="89">
        <v>0</v>
      </c>
      <c r="AQ175" s="84">
        <f t="shared" si="94"/>
        <v>0</v>
      </c>
      <c r="AR175" s="88">
        <v>0</v>
      </c>
      <c r="AS175" s="88">
        <v>0</v>
      </c>
      <c r="AT175" s="88">
        <v>0</v>
      </c>
      <c r="AU175" s="88">
        <v>0</v>
      </c>
      <c r="AV175" s="84">
        <f t="shared" si="95"/>
        <v>0</v>
      </c>
      <c r="AW175" s="88">
        <v>0</v>
      </c>
      <c r="AX175" s="88">
        <v>0</v>
      </c>
      <c r="AY175" s="153">
        <v>0</v>
      </c>
      <c r="AZ175" s="84">
        <f t="shared" si="96"/>
        <v>0</v>
      </c>
      <c r="BA175" s="88">
        <v>0</v>
      </c>
      <c r="BB175" s="88">
        <v>0</v>
      </c>
      <c r="BC175" s="153">
        <v>0</v>
      </c>
      <c r="BD175" s="84">
        <f t="shared" si="97"/>
        <v>0</v>
      </c>
      <c r="BE175" s="135"/>
      <c r="BF175" s="92" t="e">
        <f t="shared" si="98"/>
        <v>#DIV/0!</v>
      </c>
      <c r="BG175" s="103"/>
    </row>
    <row r="176" spans="2:59" ht="42" customHeight="1" thickBot="1" x14ac:dyDescent="0.4">
      <c r="B176" s="80">
        <v>1010</v>
      </c>
      <c r="C176" s="82">
        <v>1</v>
      </c>
      <c r="D176" s="82">
        <v>1</v>
      </c>
      <c r="E176" s="82">
        <v>1</v>
      </c>
      <c r="F176" s="83">
        <v>1</v>
      </c>
      <c r="G176" s="133">
        <f t="shared" si="90"/>
        <v>1</v>
      </c>
      <c r="H176" s="88">
        <v>0</v>
      </c>
      <c r="I176" s="86">
        <v>0</v>
      </c>
      <c r="J176" s="82">
        <v>0</v>
      </c>
      <c r="K176" s="89">
        <v>0</v>
      </c>
      <c r="L176" s="90">
        <f t="shared" si="91"/>
        <v>0</v>
      </c>
      <c r="M176" s="85">
        <v>0.7</v>
      </c>
      <c r="N176" s="86">
        <v>1</v>
      </c>
      <c r="O176" s="82">
        <v>0.7</v>
      </c>
      <c r="P176" s="87">
        <v>0.7</v>
      </c>
      <c r="Q176" s="88">
        <v>0</v>
      </c>
      <c r="R176" s="86">
        <v>0</v>
      </c>
      <c r="S176" s="82">
        <v>0</v>
      </c>
      <c r="T176" s="89">
        <v>0</v>
      </c>
      <c r="U176" s="88">
        <v>0</v>
      </c>
      <c r="V176" s="86">
        <v>0</v>
      </c>
      <c r="W176" s="82">
        <v>0</v>
      </c>
      <c r="X176" s="89">
        <v>0</v>
      </c>
      <c r="Y176" s="90">
        <f t="shared" si="92"/>
        <v>0.32499999999999996</v>
      </c>
      <c r="Z176" s="88">
        <v>0</v>
      </c>
      <c r="AA176" s="86">
        <v>0</v>
      </c>
      <c r="AB176" s="82">
        <v>0</v>
      </c>
      <c r="AC176" s="89">
        <v>0</v>
      </c>
      <c r="AD176" s="90">
        <f t="shared" si="93"/>
        <v>0</v>
      </c>
      <c r="AE176" s="88">
        <v>0.9</v>
      </c>
      <c r="AF176" s="82">
        <v>0</v>
      </c>
      <c r="AG176" s="82">
        <v>0</v>
      </c>
      <c r="AH176" s="82">
        <v>0</v>
      </c>
      <c r="AI176" s="84">
        <f t="shared" si="99"/>
        <v>4.5000000000000005E-2</v>
      </c>
      <c r="AJ176" s="88">
        <v>1</v>
      </c>
      <c r="AK176" s="88">
        <v>0</v>
      </c>
      <c r="AL176" s="99"/>
      <c r="AM176" s="88">
        <v>0</v>
      </c>
      <c r="AN176" s="86">
        <v>0</v>
      </c>
      <c r="AO176" s="82">
        <v>0</v>
      </c>
      <c r="AP176" s="89">
        <v>0</v>
      </c>
      <c r="AQ176" s="84">
        <f t="shared" si="94"/>
        <v>0</v>
      </c>
      <c r="AR176" s="88">
        <v>0</v>
      </c>
      <c r="AS176" s="88">
        <v>0</v>
      </c>
      <c r="AT176" s="88">
        <v>0</v>
      </c>
      <c r="AU176" s="88">
        <v>0</v>
      </c>
      <c r="AV176" s="84">
        <f t="shared" si="95"/>
        <v>0</v>
      </c>
      <c r="AW176" s="88">
        <v>0</v>
      </c>
      <c r="AX176" s="88">
        <v>0</v>
      </c>
      <c r="AY176" s="153">
        <v>0</v>
      </c>
      <c r="AZ176" s="84">
        <f t="shared" si="96"/>
        <v>0</v>
      </c>
      <c r="BA176" s="88">
        <v>0</v>
      </c>
      <c r="BB176" s="88">
        <v>0</v>
      </c>
      <c r="BC176" s="153">
        <v>0</v>
      </c>
      <c r="BD176" s="84">
        <f t="shared" si="97"/>
        <v>0</v>
      </c>
      <c r="BE176" s="135"/>
      <c r="BF176" s="92" t="e">
        <f t="shared" si="98"/>
        <v>#DIV/0!</v>
      </c>
      <c r="BG176" s="103"/>
    </row>
    <row r="177" spans="2:59" ht="42" customHeight="1" thickBot="1" x14ac:dyDescent="0.35">
      <c r="B177" s="80">
        <v>1011</v>
      </c>
      <c r="C177" s="82">
        <v>1</v>
      </c>
      <c r="D177" s="82">
        <v>1</v>
      </c>
      <c r="E177" s="82">
        <v>1</v>
      </c>
      <c r="F177" s="83">
        <v>1</v>
      </c>
      <c r="G177" s="133">
        <f t="shared" si="90"/>
        <v>1</v>
      </c>
      <c r="H177" s="88">
        <v>0</v>
      </c>
      <c r="I177" s="86">
        <v>0</v>
      </c>
      <c r="J177" s="82">
        <v>0</v>
      </c>
      <c r="K177" s="89">
        <v>0</v>
      </c>
      <c r="L177" s="90">
        <f t="shared" si="91"/>
        <v>0</v>
      </c>
      <c r="M177" s="85">
        <v>0.7</v>
      </c>
      <c r="N177" s="86">
        <v>1</v>
      </c>
      <c r="O177" s="82">
        <v>0.7</v>
      </c>
      <c r="P177" s="87">
        <v>0.7</v>
      </c>
      <c r="Q177" s="88">
        <v>0</v>
      </c>
      <c r="R177" s="86">
        <v>0</v>
      </c>
      <c r="S177" s="82">
        <v>0</v>
      </c>
      <c r="T177" s="89">
        <v>0</v>
      </c>
      <c r="U177" s="88">
        <v>0</v>
      </c>
      <c r="V177" s="86">
        <v>0</v>
      </c>
      <c r="W177" s="82">
        <v>0</v>
      </c>
      <c r="X177" s="89">
        <v>0</v>
      </c>
      <c r="Y177" s="90">
        <f t="shared" si="92"/>
        <v>0.32499999999999996</v>
      </c>
      <c r="Z177" s="88">
        <v>0</v>
      </c>
      <c r="AA177" s="86">
        <v>0</v>
      </c>
      <c r="AB177" s="82">
        <v>0</v>
      </c>
      <c r="AC177" s="89">
        <v>0</v>
      </c>
      <c r="AD177" s="90">
        <f t="shared" si="93"/>
        <v>0</v>
      </c>
      <c r="AE177" s="88">
        <v>0.9</v>
      </c>
      <c r="AF177" s="82">
        <v>0</v>
      </c>
      <c r="AG177" s="82">
        <v>0</v>
      </c>
      <c r="AH177" s="82">
        <v>0</v>
      </c>
      <c r="AI177" s="84">
        <f t="shared" si="99"/>
        <v>4.5000000000000005E-2</v>
      </c>
      <c r="AJ177" s="88">
        <v>0</v>
      </c>
      <c r="AK177" s="88">
        <v>0</v>
      </c>
      <c r="AL177" s="99"/>
      <c r="AM177" s="88">
        <v>0</v>
      </c>
      <c r="AN177" s="86">
        <v>0</v>
      </c>
      <c r="AO177" s="82">
        <v>0</v>
      </c>
      <c r="AP177" s="89">
        <v>0</v>
      </c>
      <c r="AQ177" s="84">
        <f t="shared" si="94"/>
        <v>0</v>
      </c>
      <c r="AR177" s="88">
        <v>0</v>
      </c>
      <c r="AS177" s="88">
        <v>0</v>
      </c>
      <c r="AT177" s="88">
        <v>0</v>
      </c>
      <c r="AU177" s="88">
        <v>0</v>
      </c>
      <c r="AV177" s="84">
        <f t="shared" si="95"/>
        <v>0</v>
      </c>
      <c r="AW177" s="88">
        <v>0</v>
      </c>
      <c r="AX177" s="88">
        <v>0</v>
      </c>
      <c r="AY177" s="153">
        <v>0</v>
      </c>
      <c r="AZ177" s="84">
        <f t="shared" si="96"/>
        <v>0</v>
      </c>
      <c r="BA177" s="88">
        <v>0</v>
      </c>
      <c r="BB177" s="88">
        <v>0</v>
      </c>
      <c r="BC177" s="153">
        <v>0</v>
      </c>
      <c r="BD177" s="84">
        <f t="shared" si="97"/>
        <v>0</v>
      </c>
      <c r="BE177" s="135"/>
      <c r="BF177" s="92" t="e">
        <f t="shared" si="98"/>
        <v>#DIV/0!</v>
      </c>
      <c r="BG177" s="102"/>
    </row>
    <row r="178" spans="2:59" ht="42" customHeight="1" thickBot="1" x14ac:dyDescent="0.35">
      <c r="B178" s="80">
        <v>1012</v>
      </c>
      <c r="C178" s="82">
        <v>1</v>
      </c>
      <c r="D178" s="82">
        <v>1</v>
      </c>
      <c r="E178" s="82">
        <v>1</v>
      </c>
      <c r="F178" s="83">
        <v>1</v>
      </c>
      <c r="G178" s="133">
        <f t="shared" si="90"/>
        <v>1</v>
      </c>
      <c r="H178" s="88">
        <v>0</v>
      </c>
      <c r="I178" s="86">
        <v>0</v>
      </c>
      <c r="J178" s="82">
        <v>0</v>
      </c>
      <c r="K178" s="89">
        <v>0</v>
      </c>
      <c r="L178" s="90">
        <f t="shared" si="91"/>
        <v>0</v>
      </c>
      <c r="M178" s="85">
        <v>1</v>
      </c>
      <c r="N178" s="86">
        <v>1</v>
      </c>
      <c r="O178" s="82">
        <v>0.95</v>
      </c>
      <c r="P178" s="87">
        <v>1</v>
      </c>
      <c r="Q178" s="88">
        <v>0</v>
      </c>
      <c r="R178" s="86">
        <v>0</v>
      </c>
      <c r="S178" s="82">
        <v>0</v>
      </c>
      <c r="T178" s="89">
        <v>0</v>
      </c>
      <c r="U178" s="88">
        <v>0</v>
      </c>
      <c r="V178" s="86">
        <v>0</v>
      </c>
      <c r="W178" s="82">
        <v>0</v>
      </c>
      <c r="X178" s="89">
        <v>0</v>
      </c>
      <c r="Y178" s="90">
        <f t="shared" si="92"/>
        <v>0.39749999999999996</v>
      </c>
      <c r="Z178" s="88">
        <v>0</v>
      </c>
      <c r="AA178" s="86">
        <v>0</v>
      </c>
      <c r="AB178" s="82">
        <v>0</v>
      </c>
      <c r="AC178" s="89">
        <v>0</v>
      </c>
      <c r="AD178" s="90">
        <f t="shared" si="93"/>
        <v>0</v>
      </c>
      <c r="AE178" s="88">
        <v>0</v>
      </c>
      <c r="AF178" s="82">
        <v>0</v>
      </c>
      <c r="AG178" s="82">
        <v>0</v>
      </c>
      <c r="AH178" s="82">
        <v>0</v>
      </c>
      <c r="AI178" s="84">
        <f t="shared" si="99"/>
        <v>0</v>
      </c>
      <c r="AJ178" s="88">
        <v>1</v>
      </c>
      <c r="AK178" s="88">
        <v>0</v>
      </c>
      <c r="AL178" s="99"/>
      <c r="AM178" s="88">
        <v>0</v>
      </c>
      <c r="AN178" s="86">
        <v>0</v>
      </c>
      <c r="AO178" s="82">
        <v>0</v>
      </c>
      <c r="AP178" s="89">
        <v>0</v>
      </c>
      <c r="AQ178" s="84">
        <f t="shared" si="94"/>
        <v>0</v>
      </c>
      <c r="AR178" s="88">
        <v>0</v>
      </c>
      <c r="AS178" s="88">
        <v>0</v>
      </c>
      <c r="AT178" s="88">
        <v>0</v>
      </c>
      <c r="AU178" s="88">
        <v>0</v>
      </c>
      <c r="AV178" s="84">
        <f t="shared" si="95"/>
        <v>0</v>
      </c>
      <c r="AW178" s="88">
        <v>0</v>
      </c>
      <c r="AX178" s="88">
        <v>0</v>
      </c>
      <c r="AY178" s="153">
        <v>0</v>
      </c>
      <c r="AZ178" s="84">
        <f t="shared" si="96"/>
        <v>0</v>
      </c>
      <c r="BA178" s="88">
        <v>0</v>
      </c>
      <c r="BB178" s="88">
        <v>0</v>
      </c>
      <c r="BC178" s="153">
        <v>0</v>
      </c>
      <c r="BD178" s="84">
        <f t="shared" si="97"/>
        <v>0</v>
      </c>
      <c r="BE178" s="135"/>
      <c r="BF178" s="92" t="e">
        <f t="shared" si="98"/>
        <v>#DIV/0!</v>
      </c>
      <c r="BG178" s="102"/>
    </row>
    <row r="179" spans="2:59" ht="42" customHeight="1" thickBot="1" x14ac:dyDescent="0.35">
      <c r="B179" s="80">
        <v>1013</v>
      </c>
      <c r="C179" s="82">
        <v>1</v>
      </c>
      <c r="D179" s="82">
        <v>1</v>
      </c>
      <c r="E179" s="82">
        <v>1</v>
      </c>
      <c r="F179" s="83">
        <v>1</v>
      </c>
      <c r="G179" s="133">
        <f t="shared" si="90"/>
        <v>1</v>
      </c>
      <c r="H179" s="88">
        <v>0</v>
      </c>
      <c r="I179" s="86">
        <v>0</v>
      </c>
      <c r="J179" s="82">
        <v>0</v>
      </c>
      <c r="K179" s="89">
        <v>0</v>
      </c>
      <c r="L179" s="90">
        <f t="shared" si="91"/>
        <v>0</v>
      </c>
      <c r="M179" s="85">
        <v>1</v>
      </c>
      <c r="N179" s="86">
        <v>1</v>
      </c>
      <c r="O179" s="82">
        <v>0.95</v>
      </c>
      <c r="P179" s="87">
        <v>1</v>
      </c>
      <c r="Q179" s="88">
        <v>0</v>
      </c>
      <c r="R179" s="86">
        <v>0</v>
      </c>
      <c r="S179" s="82">
        <v>0</v>
      </c>
      <c r="T179" s="89">
        <v>1</v>
      </c>
      <c r="U179" s="88">
        <v>0</v>
      </c>
      <c r="V179" s="86">
        <v>0</v>
      </c>
      <c r="W179" s="82">
        <v>0</v>
      </c>
      <c r="X179" s="89">
        <v>1</v>
      </c>
      <c r="Y179" s="90">
        <f t="shared" si="92"/>
        <v>0.54749999999999999</v>
      </c>
      <c r="Z179" s="88">
        <v>0</v>
      </c>
      <c r="AA179" s="86">
        <v>0</v>
      </c>
      <c r="AB179" s="82">
        <v>0</v>
      </c>
      <c r="AC179" s="89">
        <v>0</v>
      </c>
      <c r="AD179" s="90">
        <f t="shared" si="93"/>
        <v>0</v>
      </c>
      <c r="AE179" s="88">
        <v>0.9</v>
      </c>
      <c r="AF179" s="82">
        <v>0</v>
      </c>
      <c r="AG179" s="82">
        <v>0</v>
      </c>
      <c r="AH179" s="82">
        <v>0</v>
      </c>
      <c r="AI179" s="84">
        <f t="shared" si="99"/>
        <v>4.5000000000000005E-2</v>
      </c>
      <c r="AJ179" s="88">
        <v>1</v>
      </c>
      <c r="AK179" s="88">
        <v>0</v>
      </c>
      <c r="AL179" s="99"/>
      <c r="AM179" s="88">
        <v>0</v>
      </c>
      <c r="AN179" s="86">
        <v>0</v>
      </c>
      <c r="AO179" s="82">
        <v>0</v>
      </c>
      <c r="AP179" s="89">
        <v>0</v>
      </c>
      <c r="AQ179" s="84">
        <f t="shared" si="94"/>
        <v>0</v>
      </c>
      <c r="AR179" s="88">
        <v>0</v>
      </c>
      <c r="AS179" s="88">
        <v>0</v>
      </c>
      <c r="AT179" s="88">
        <v>0</v>
      </c>
      <c r="AU179" s="88">
        <v>0</v>
      </c>
      <c r="AV179" s="84">
        <f t="shared" si="95"/>
        <v>0</v>
      </c>
      <c r="AW179" s="88">
        <v>0</v>
      </c>
      <c r="AX179" s="88">
        <v>0</v>
      </c>
      <c r="AY179" s="153">
        <v>0</v>
      </c>
      <c r="AZ179" s="84">
        <f t="shared" si="96"/>
        <v>0</v>
      </c>
      <c r="BA179" s="88">
        <v>0</v>
      </c>
      <c r="BB179" s="88">
        <v>0</v>
      </c>
      <c r="BC179" s="153">
        <v>0</v>
      </c>
      <c r="BD179" s="84">
        <f t="shared" si="97"/>
        <v>0</v>
      </c>
      <c r="BE179" s="135"/>
      <c r="BF179" s="92" t="e">
        <f t="shared" si="98"/>
        <v>#DIV/0!</v>
      </c>
      <c r="BG179" s="105"/>
    </row>
    <row r="180" spans="2:59" ht="42" customHeight="1" thickBot="1" x14ac:dyDescent="0.4">
      <c r="B180" s="80">
        <v>1014</v>
      </c>
      <c r="C180" s="82">
        <v>1</v>
      </c>
      <c r="D180" s="82">
        <v>1</v>
      </c>
      <c r="E180" s="82">
        <v>1</v>
      </c>
      <c r="F180" s="83">
        <v>1</v>
      </c>
      <c r="G180" s="133">
        <f t="shared" si="90"/>
        <v>1</v>
      </c>
      <c r="H180" s="88">
        <v>0</v>
      </c>
      <c r="I180" s="86">
        <v>0</v>
      </c>
      <c r="J180" s="82">
        <v>0</v>
      </c>
      <c r="K180" s="89">
        <v>0</v>
      </c>
      <c r="L180" s="90">
        <f t="shared" si="91"/>
        <v>0</v>
      </c>
      <c r="M180" s="85">
        <v>1</v>
      </c>
      <c r="N180" s="86">
        <v>1</v>
      </c>
      <c r="O180" s="82">
        <v>0.95</v>
      </c>
      <c r="P180" s="87">
        <v>1</v>
      </c>
      <c r="Q180" s="88">
        <v>0</v>
      </c>
      <c r="R180" s="86">
        <v>0</v>
      </c>
      <c r="S180" s="82">
        <v>0</v>
      </c>
      <c r="T180" s="89">
        <v>0</v>
      </c>
      <c r="U180" s="88">
        <v>0</v>
      </c>
      <c r="V180" s="86">
        <v>0</v>
      </c>
      <c r="W180" s="82">
        <v>0</v>
      </c>
      <c r="X180" s="89">
        <v>0</v>
      </c>
      <c r="Y180" s="90">
        <f t="shared" si="92"/>
        <v>0.39749999999999996</v>
      </c>
      <c r="Z180" s="88">
        <v>0</v>
      </c>
      <c r="AA180" s="86">
        <v>0</v>
      </c>
      <c r="AB180" s="82">
        <v>0</v>
      </c>
      <c r="AC180" s="89">
        <v>0</v>
      </c>
      <c r="AD180" s="90">
        <f t="shared" si="93"/>
        <v>0</v>
      </c>
      <c r="AE180" s="88">
        <v>0</v>
      </c>
      <c r="AF180" s="82">
        <v>0</v>
      </c>
      <c r="AG180" s="82">
        <v>0</v>
      </c>
      <c r="AH180" s="82">
        <v>0</v>
      </c>
      <c r="AI180" s="84">
        <f t="shared" si="99"/>
        <v>0</v>
      </c>
      <c r="AJ180" s="88">
        <v>1</v>
      </c>
      <c r="AK180" s="88">
        <v>0</v>
      </c>
      <c r="AL180" s="99"/>
      <c r="AM180" s="88">
        <v>0</v>
      </c>
      <c r="AN180" s="86">
        <v>0</v>
      </c>
      <c r="AO180" s="82">
        <v>0</v>
      </c>
      <c r="AP180" s="89">
        <v>0</v>
      </c>
      <c r="AQ180" s="84">
        <f t="shared" si="94"/>
        <v>0</v>
      </c>
      <c r="AR180" s="88">
        <v>0</v>
      </c>
      <c r="AS180" s="88">
        <v>0</v>
      </c>
      <c r="AT180" s="88">
        <v>0</v>
      </c>
      <c r="AU180" s="88">
        <v>0</v>
      </c>
      <c r="AV180" s="84">
        <f t="shared" si="95"/>
        <v>0</v>
      </c>
      <c r="AW180" s="88">
        <v>0</v>
      </c>
      <c r="AX180" s="88">
        <v>0</v>
      </c>
      <c r="AY180" s="153">
        <v>0</v>
      </c>
      <c r="AZ180" s="84">
        <f t="shared" si="96"/>
        <v>0</v>
      </c>
      <c r="BA180" s="88">
        <v>0</v>
      </c>
      <c r="BB180" s="88">
        <v>0</v>
      </c>
      <c r="BC180" s="153">
        <v>0</v>
      </c>
      <c r="BD180" s="84">
        <f t="shared" si="97"/>
        <v>0</v>
      </c>
      <c r="BE180" s="135"/>
      <c r="BF180" s="92" t="e">
        <f t="shared" si="98"/>
        <v>#DIV/0!</v>
      </c>
      <c r="BG180" s="103"/>
    </row>
    <row r="181" spans="2:59" ht="42" customHeight="1" thickBot="1" x14ac:dyDescent="0.4">
      <c r="B181" s="80">
        <v>1015</v>
      </c>
      <c r="C181" s="82">
        <v>1</v>
      </c>
      <c r="D181" s="82">
        <v>1</v>
      </c>
      <c r="E181" s="82">
        <v>1</v>
      </c>
      <c r="F181" s="83">
        <v>1</v>
      </c>
      <c r="G181" s="133">
        <f t="shared" si="90"/>
        <v>1</v>
      </c>
      <c r="H181" s="88">
        <v>0</v>
      </c>
      <c r="I181" s="86">
        <v>0</v>
      </c>
      <c r="J181" s="82">
        <v>0</v>
      </c>
      <c r="K181" s="89">
        <v>0</v>
      </c>
      <c r="L181" s="90">
        <f t="shared" si="91"/>
        <v>0</v>
      </c>
      <c r="M181" s="85">
        <v>0</v>
      </c>
      <c r="N181" s="86">
        <v>0</v>
      </c>
      <c r="O181" s="82">
        <v>0</v>
      </c>
      <c r="P181" s="87">
        <v>0</v>
      </c>
      <c r="Q181" s="88">
        <v>0</v>
      </c>
      <c r="R181" s="86">
        <v>0</v>
      </c>
      <c r="S181" s="82">
        <v>0</v>
      </c>
      <c r="T181" s="89">
        <v>0</v>
      </c>
      <c r="U181" s="88">
        <v>0</v>
      </c>
      <c r="V181" s="86">
        <v>0</v>
      </c>
      <c r="W181" s="82">
        <v>0</v>
      </c>
      <c r="X181" s="89">
        <v>0</v>
      </c>
      <c r="Y181" s="90">
        <f t="shared" si="92"/>
        <v>0</v>
      </c>
      <c r="Z181" s="88">
        <v>0</v>
      </c>
      <c r="AA181" s="86">
        <v>0</v>
      </c>
      <c r="AB181" s="82">
        <v>0</v>
      </c>
      <c r="AC181" s="89">
        <v>0</v>
      </c>
      <c r="AD181" s="90">
        <f t="shared" si="93"/>
        <v>0</v>
      </c>
      <c r="AE181" s="88">
        <v>0.4</v>
      </c>
      <c r="AF181" s="82">
        <v>0</v>
      </c>
      <c r="AG181" s="82">
        <v>0</v>
      </c>
      <c r="AH181" s="82">
        <v>0</v>
      </c>
      <c r="AI181" s="84">
        <f t="shared" si="99"/>
        <v>2.0000000000000004E-2</v>
      </c>
      <c r="AJ181" s="88">
        <v>0</v>
      </c>
      <c r="AK181" s="88">
        <v>0</v>
      </c>
      <c r="AL181" s="99"/>
      <c r="AM181" s="88">
        <v>0</v>
      </c>
      <c r="AN181" s="86">
        <v>0</v>
      </c>
      <c r="AO181" s="82">
        <v>0</v>
      </c>
      <c r="AP181" s="89">
        <v>0</v>
      </c>
      <c r="AQ181" s="84">
        <f t="shared" si="94"/>
        <v>0</v>
      </c>
      <c r="AR181" s="88">
        <v>0</v>
      </c>
      <c r="AS181" s="88">
        <v>0</v>
      </c>
      <c r="AT181" s="88">
        <v>0</v>
      </c>
      <c r="AU181" s="88">
        <v>0</v>
      </c>
      <c r="AV181" s="84">
        <f t="shared" si="95"/>
        <v>0</v>
      </c>
      <c r="AW181" s="88">
        <v>0</v>
      </c>
      <c r="AX181" s="88">
        <v>0</v>
      </c>
      <c r="AY181" s="153">
        <v>0</v>
      </c>
      <c r="AZ181" s="84">
        <f t="shared" si="96"/>
        <v>0</v>
      </c>
      <c r="BA181" s="88">
        <v>0</v>
      </c>
      <c r="BB181" s="88">
        <v>0</v>
      </c>
      <c r="BC181" s="153">
        <v>0</v>
      </c>
      <c r="BD181" s="84">
        <f t="shared" si="97"/>
        <v>0</v>
      </c>
      <c r="BE181" s="135"/>
      <c r="BF181" s="92" t="e">
        <f t="shared" si="98"/>
        <v>#DIV/0!</v>
      </c>
      <c r="BG181" s="103"/>
    </row>
    <row r="182" spans="2:59" ht="42" customHeight="1" thickBot="1" x14ac:dyDescent="0.4">
      <c r="B182" s="80">
        <v>1016</v>
      </c>
      <c r="C182" s="82">
        <v>1</v>
      </c>
      <c r="D182" s="82">
        <v>1</v>
      </c>
      <c r="E182" s="110">
        <v>1</v>
      </c>
      <c r="F182" s="138">
        <v>1</v>
      </c>
      <c r="G182" s="133">
        <f t="shared" si="90"/>
        <v>1</v>
      </c>
      <c r="H182" s="108">
        <v>0</v>
      </c>
      <c r="I182" s="109">
        <v>0</v>
      </c>
      <c r="J182" s="110">
        <v>0</v>
      </c>
      <c r="K182" s="111">
        <v>0</v>
      </c>
      <c r="L182" s="90">
        <f t="shared" si="91"/>
        <v>0</v>
      </c>
      <c r="M182" s="112">
        <v>1</v>
      </c>
      <c r="N182" s="109">
        <v>1</v>
      </c>
      <c r="O182" s="110">
        <v>0.95</v>
      </c>
      <c r="P182" s="113">
        <v>1</v>
      </c>
      <c r="Q182" s="108">
        <v>0</v>
      </c>
      <c r="R182" s="109">
        <v>0</v>
      </c>
      <c r="S182" s="110">
        <v>0</v>
      </c>
      <c r="T182" s="111">
        <v>0</v>
      </c>
      <c r="U182" s="108">
        <v>0</v>
      </c>
      <c r="V182" s="109">
        <v>0</v>
      </c>
      <c r="W182" s="110">
        <v>0</v>
      </c>
      <c r="X182" s="111">
        <v>0</v>
      </c>
      <c r="Y182" s="90">
        <f t="shared" si="92"/>
        <v>0.39749999999999996</v>
      </c>
      <c r="Z182" s="108">
        <v>0</v>
      </c>
      <c r="AA182" s="109">
        <v>0</v>
      </c>
      <c r="AB182" s="110">
        <v>0</v>
      </c>
      <c r="AC182" s="111">
        <v>0</v>
      </c>
      <c r="AD182" s="90">
        <f t="shared" si="93"/>
        <v>0</v>
      </c>
      <c r="AE182" s="108">
        <v>0</v>
      </c>
      <c r="AF182" s="109">
        <v>0</v>
      </c>
      <c r="AG182" s="110">
        <v>0</v>
      </c>
      <c r="AH182" s="113">
        <v>0</v>
      </c>
      <c r="AI182" s="84">
        <f t="shared" si="99"/>
        <v>0</v>
      </c>
      <c r="AJ182" s="108">
        <v>1</v>
      </c>
      <c r="AK182" s="88">
        <v>0</v>
      </c>
      <c r="AL182" s="116"/>
      <c r="AM182" s="108">
        <v>0</v>
      </c>
      <c r="AN182" s="109">
        <v>0</v>
      </c>
      <c r="AO182" s="110">
        <v>0</v>
      </c>
      <c r="AP182" s="111">
        <v>0</v>
      </c>
      <c r="AQ182" s="84">
        <f t="shared" si="94"/>
        <v>0</v>
      </c>
      <c r="AR182" s="88">
        <v>0</v>
      </c>
      <c r="AS182" s="88">
        <v>0</v>
      </c>
      <c r="AT182" s="88">
        <v>0</v>
      </c>
      <c r="AU182" s="88">
        <v>0</v>
      </c>
      <c r="AV182" s="84">
        <f t="shared" si="95"/>
        <v>0</v>
      </c>
      <c r="AW182" s="108">
        <v>0</v>
      </c>
      <c r="AX182" s="108">
        <v>0</v>
      </c>
      <c r="AY182" s="160">
        <v>0</v>
      </c>
      <c r="AZ182" s="84">
        <f t="shared" si="96"/>
        <v>0</v>
      </c>
      <c r="BA182" s="108">
        <v>0</v>
      </c>
      <c r="BB182" s="108">
        <v>0</v>
      </c>
      <c r="BC182" s="160">
        <v>0</v>
      </c>
      <c r="BD182" s="84">
        <f t="shared" si="97"/>
        <v>0</v>
      </c>
      <c r="BE182" s="150"/>
      <c r="BF182" s="151" t="e">
        <f t="shared" si="98"/>
        <v>#DIV/0!</v>
      </c>
      <c r="BG182" s="152"/>
    </row>
    <row r="183" spans="2:59" ht="42" customHeight="1" thickBot="1" x14ac:dyDescent="0.35">
      <c r="B183" s="206" t="s">
        <v>103</v>
      </c>
      <c r="C183" s="207"/>
      <c r="D183" s="207"/>
      <c r="E183" s="207"/>
      <c r="F183" s="207"/>
      <c r="G183" s="207"/>
      <c r="H183" s="207"/>
      <c r="I183" s="207"/>
      <c r="J183" s="207"/>
      <c r="K183" s="207"/>
      <c r="L183" s="207"/>
      <c r="M183" s="207"/>
      <c r="N183" s="207"/>
      <c r="O183" s="207"/>
      <c r="P183" s="207"/>
      <c r="Q183" s="207"/>
      <c r="R183" s="207"/>
      <c r="S183" s="207"/>
      <c r="T183" s="207"/>
      <c r="U183" s="207"/>
      <c r="V183" s="207"/>
      <c r="W183" s="207"/>
      <c r="X183" s="207"/>
      <c r="Y183" s="207"/>
      <c r="Z183" s="207"/>
      <c r="AA183" s="207"/>
      <c r="AB183" s="207"/>
      <c r="AC183" s="207"/>
      <c r="AD183" s="207"/>
      <c r="AE183" s="207"/>
      <c r="AF183" s="207"/>
      <c r="AG183" s="207"/>
      <c r="AH183" s="207"/>
      <c r="AI183" s="207"/>
      <c r="AJ183" s="207"/>
      <c r="AK183" s="207"/>
      <c r="AL183" s="207"/>
      <c r="AM183" s="207"/>
      <c r="AN183" s="207"/>
      <c r="AO183" s="207"/>
      <c r="AP183" s="207"/>
      <c r="AQ183" s="207"/>
      <c r="AR183" s="207"/>
      <c r="AS183" s="207"/>
      <c r="AT183" s="207"/>
      <c r="AU183" s="207"/>
      <c r="AV183" s="207"/>
      <c r="AW183" s="207"/>
      <c r="AX183" s="207"/>
      <c r="AY183" s="207"/>
      <c r="AZ183" s="207"/>
      <c r="BA183" s="207"/>
      <c r="BB183" s="207"/>
      <c r="BC183" s="207"/>
      <c r="BD183" s="207"/>
      <c r="BE183" s="207"/>
      <c r="BF183" s="207"/>
      <c r="BG183" s="208"/>
    </row>
    <row r="184" spans="2:59" ht="42" customHeight="1" x14ac:dyDescent="0.3">
      <c r="B184" s="142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4" t="s">
        <v>101</v>
      </c>
      <c r="N184" s="145"/>
      <c r="O184" s="145"/>
      <c r="P184" s="144"/>
      <c r="Q184" s="145"/>
      <c r="R184" s="144"/>
      <c r="S184" s="144"/>
      <c r="T184" s="145"/>
      <c r="U184" s="144"/>
      <c r="V184" s="144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  <c r="AH184" s="146"/>
      <c r="AI184" s="146"/>
      <c r="AJ184" s="146"/>
      <c r="AK184" s="146"/>
      <c r="AL184" s="146"/>
      <c r="AM184" s="146"/>
      <c r="AN184" s="146"/>
      <c r="AO184" s="146"/>
      <c r="AP184" s="146"/>
      <c r="AQ184" s="146"/>
      <c r="AR184" s="146"/>
      <c r="AS184" s="146"/>
      <c r="AT184" s="146"/>
      <c r="AU184" s="146"/>
      <c r="AV184" s="146"/>
      <c r="AW184" s="146"/>
      <c r="AX184" s="146"/>
      <c r="AY184" s="146"/>
      <c r="AZ184" s="146"/>
      <c r="BA184" s="146"/>
      <c r="BB184" s="146"/>
      <c r="BC184" s="146"/>
      <c r="BD184" s="146"/>
      <c r="BE184" s="146"/>
      <c r="BF184" s="146"/>
      <c r="BG184" s="147"/>
    </row>
    <row r="185" spans="2:59" ht="42" customHeight="1" x14ac:dyDescent="0.3">
      <c r="B185" s="119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1"/>
      <c r="N185" s="122"/>
      <c r="O185" s="122"/>
      <c r="P185" s="121"/>
      <c r="Q185" s="122"/>
      <c r="R185" s="121"/>
      <c r="S185" s="121"/>
      <c r="T185" s="122"/>
      <c r="U185" s="121"/>
      <c r="V185" s="121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G185" s="123"/>
      <c r="AH185" s="123"/>
      <c r="AI185" s="123"/>
      <c r="AJ185" s="123"/>
      <c r="AK185" s="123"/>
      <c r="AL185" s="123"/>
      <c r="AM185" s="123"/>
      <c r="AN185" s="123"/>
      <c r="AO185" s="123"/>
      <c r="AP185" s="123"/>
      <c r="AQ185" s="123"/>
      <c r="AR185" s="123"/>
      <c r="AS185" s="123"/>
      <c r="AT185" s="123"/>
      <c r="AU185" s="123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4"/>
    </row>
    <row r="186" spans="2:59" ht="42" customHeight="1" thickBot="1" x14ac:dyDescent="0.35">
      <c r="B186" s="125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7"/>
      <c r="N186" s="128"/>
      <c r="O186" s="128"/>
      <c r="P186" s="127"/>
      <c r="Q186" s="129"/>
      <c r="R186" s="129"/>
      <c r="S186" s="129"/>
      <c r="T186" s="129"/>
      <c r="U186" s="127"/>
      <c r="V186" s="127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0"/>
      <c r="AT186" s="130"/>
      <c r="AU186" s="130"/>
      <c r="AV186" s="130"/>
      <c r="AW186" s="130"/>
      <c r="AX186" s="130"/>
      <c r="AY186" s="130"/>
      <c r="AZ186" s="130"/>
      <c r="BA186" s="130"/>
      <c r="BB186" s="130"/>
      <c r="BC186" s="130"/>
      <c r="BD186" s="130"/>
      <c r="BE186" s="130"/>
      <c r="BF186" s="130"/>
      <c r="BG186" s="131"/>
    </row>
  </sheetData>
  <mergeCells count="47">
    <mergeCell ref="BG167:BG168"/>
    <mergeCell ref="B183:BG183"/>
    <mergeCell ref="AM12:AQ12"/>
    <mergeCell ref="AR12:AV12"/>
    <mergeCell ref="BA12:BD12"/>
    <mergeCell ref="BG150:BG151"/>
    <mergeCell ref="B166:BG166"/>
    <mergeCell ref="B149:BG149"/>
    <mergeCell ref="B132:BG132"/>
    <mergeCell ref="BG99:BG100"/>
    <mergeCell ref="B115:BG115"/>
    <mergeCell ref="B98:BG98"/>
    <mergeCell ref="BG82:BG83"/>
    <mergeCell ref="B81:BG81"/>
    <mergeCell ref="B64:BG64"/>
    <mergeCell ref="BG48:BG49"/>
    <mergeCell ref="BE8:BF8"/>
    <mergeCell ref="B9:BG9"/>
    <mergeCell ref="B47:BG47"/>
    <mergeCell ref="AW12:AY12"/>
    <mergeCell ref="B30:BG30"/>
    <mergeCell ref="C11:AP11"/>
    <mergeCell ref="AR11:BC11"/>
    <mergeCell ref="C12:F12"/>
    <mergeCell ref="H12:K12"/>
    <mergeCell ref="M12:P12"/>
    <mergeCell ref="Q12:T12"/>
    <mergeCell ref="U12:X12"/>
    <mergeCell ref="Z12:AC12"/>
    <mergeCell ref="AE12:AH12"/>
    <mergeCell ref="AJ12:AL12"/>
    <mergeCell ref="B10:BG10"/>
    <mergeCell ref="AE2:AH2"/>
    <mergeCell ref="AJ2:AL2"/>
    <mergeCell ref="AM2:AP2"/>
    <mergeCell ref="AR2:AU2"/>
    <mergeCell ref="AW2:AY2"/>
    <mergeCell ref="BA2:BC2"/>
    <mergeCell ref="C2:F2"/>
    <mergeCell ref="H2:K2"/>
    <mergeCell ref="M2:P2"/>
    <mergeCell ref="Q2:T2"/>
    <mergeCell ref="U2:X2"/>
    <mergeCell ref="Z2:AC2"/>
    <mergeCell ref="U8:X8"/>
    <mergeCell ref="AM8:AP8"/>
    <mergeCell ref="BA8:BB8"/>
  </mergeCells>
  <conditionalFormatting sqref="C48:G63 C65:G80 AM31:AY46 AV133:AY148">
    <cfRule type="cellIs" dxfId="933" priority="920" stopIfTrue="1" operator="equal">
      <formula>"✓"</formula>
    </cfRule>
  </conditionalFormatting>
  <conditionalFormatting sqref="C31:AH46">
    <cfRule type="cellIs" dxfId="932" priority="878" operator="equal">
      <formula>#REF!</formula>
    </cfRule>
  </conditionalFormatting>
  <conditionalFormatting sqref="C31:AI46">
    <cfRule type="cellIs" dxfId="931" priority="871" operator="between">
      <formula>0.01</formula>
      <formula>0.99</formula>
    </cfRule>
    <cfRule type="cellIs" dxfId="930" priority="872" operator="equal">
      <formula>0</formula>
    </cfRule>
    <cfRule type="cellIs" dxfId="929" priority="873" operator="equal">
      <formula>1</formula>
    </cfRule>
  </conditionalFormatting>
  <conditionalFormatting sqref="C82:AL97 C99:AU114 C133:AU148 C116:AU131 H48:AI63 H65:AI80 C14:AY29 AL65:AL80 C150:AU165 AW99:AY114 AW116:AY131 AW150:AY165 C167:AU182 AW167:AY182 BA167:BC182 BA150:BC165 BA116:BC131 BA99:BC114 BA14:BC29 BE167:BF182">
    <cfRule type="cellIs" dxfId="928" priority="1011" operator="equal">
      <formula>#REF!</formula>
    </cfRule>
  </conditionalFormatting>
  <conditionalFormatting sqref="C116:AL131">
    <cfRule type="cellIs" dxfId="927" priority="924" operator="equal">
      <formula>0</formula>
    </cfRule>
  </conditionalFormatting>
  <conditionalFormatting sqref="C116:AQ131">
    <cfRule type="cellIs" dxfId="926" priority="925" operator="equal">
      <formula>1</formula>
    </cfRule>
    <cfRule type="cellIs" dxfId="925" priority="923" operator="between">
      <formula>0.01</formula>
      <formula>0.99</formula>
    </cfRule>
  </conditionalFormatting>
  <conditionalFormatting sqref="G48:G63 G65:G80 G82:G97 G99:G114 G116:G131 G133:G148 G150:G165 G167:G182">
    <cfRule type="cellIs" dxfId="924" priority="917" operator="between">
      <formula>0.01</formula>
      <formula>0.99</formula>
    </cfRule>
    <cfRule type="cellIs" dxfId="923" priority="918" operator="equal">
      <formula>0</formula>
    </cfRule>
    <cfRule type="cellIs" dxfId="922" priority="919" operator="equal">
      <formula>1</formula>
    </cfRule>
  </conditionalFormatting>
  <conditionalFormatting sqref="G82:G97">
    <cfRule type="cellIs" dxfId="921" priority="927" stopIfTrue="1" operator="equal">
      <formula>"✓"</formula>
    </cfRule>
  </conditionalFormatting>
  <conditionalFormatting sqref="G99:G114">
    <cfRule type="cellIs" dxfId="920" priority="926" stopIfTrue="1" operator="equal">
      <formula>"✓"</formula>
    </cfRule>
  </conditionalFormatting>
  <conditionalFormatting sqref="G116:G131">
    <cfRule type="cellIs" dxfId="919" priority="922" stopIfTrue="1" operator="equal">
      <formula>"✓"</formula>
    </cfRule>
  </conditionalFormatting>
  <conditionalFormatting sqref="G133:G148">
    <cfRule type="cellIs" dxfId="918" priority="921" stopIfTrue="1" operator="equal">
      <formula>"✓"</formula>
    </cfRule>
  </conditionalFormatting>
  <conditionalFormatting sqref="H48:AI63 AM65:AV80 BA65:BC80 AV82:AV97 H65:AI80 C14:AY29 BA14:BC29 C82:AD97 C99:AU114 BA99:BC114 C116:AU131 BA116:BC131 C133:AU148 C150:AU165 BA150:BC165 C167:AD182 BA133:BC148 C31:AH46">
    <cfRule type="cellIs" dxfId="917" priority="1017" stopIfTrue="1" operator="equal">
      <formula>"✓"</formula>
    </cfRule>
  </conditionalFormatting>
  <conditionalFormatting sqref="L48:L63">
    <cfRule type="cellIs" dxfId="916" priority="915" stopIfTrue="1" operator="equal">
      <formula>"✓"</formula>
    </cfRule>
  </conditionalFormatting>
  <conditionalFormatting sqref="L65:L80">
    <cfRule type="cellIs" dxfId="915" priority="914" stopIfTrue="1" operator="equal">
      <formula>"✓"</formula>
    </cfRule>
  </conditionalFormatting>
  <conditionalFormatting sqref="L116:L131">
    <cfRule type="cellIs" dxfId="914" priority="911" operator="between">
      <formula>0.01</formula>
      <formula>0.99</formula>
    </cfRule>
    <cfRule type="cellIs" dxfId="913" priority="912" operator="equal">
      <formula>0</formula>
    </cfRule>
    <cfRule type="cellIs" dxfId="912" priority="913" operator="equal">
      <formula>1</formula>
    </cfRule>
  </conditionalFormatting>
  <conditionalFormatting sqref="Y48:Y63">
    <cfRule type="cellIs" dxfId="911" priority="910" operator="equal">
      <formula>1</formula>
    </cfRule>
    <cfRule type="cellIs" dxfId="910" priority="909" operator="equal">
      <formula>0</formula>
    </cfRule>
    <cfRule type="cellIs" dxfId="909" priority="907" operator="equal">
      <formula>#REF!</formula>
    </cfRule>
    <cfRule type="cellIs" dxfId="908" priority="908" operator="between">
      <formula>0.01</formula>
      <formula>0.99</formula>
    </cfRule>
  </conditionalFormatting>
  <conditionalFormatting sqref="Y65:Y80">
    <cfRule type="cellIs" dxfId="907" priority="906" operator="equal">
      <formula>1</formula>
    </cfRule>
    <cfRule type="cellIs" dxfId="906" priority="905" operator="equal">
      <formula>0</formula>
    </cfRule>
    <cfRule type="cellIs" dxfId="905" priority="904" operator="between">
      <formula>0.01</formula>
      <formula>0.99</formula>
    </cfRule>
    <cfRule type="cellIs" dxfId="904" priority="903" operator="equal">
      <formula>#REF!</formula>
    </cfRule>
  </conditionalFormatting>
  <conditionalFormatting sqref="Y82:Y97">
    <cfRule type="cellIs" dxfId="903" priority="901" operator="equal">
      <formula>0</formula>
    </cfRule>
    <cfRule type="cellIs" dxfId="902" priority="899" operator="equal">
      <formula>#REF!</formula>
    </cfRule>
    <cfRule type="cellIs" dxfId="901" priority="900" operator="between">
      <formula>0.01</formula>
      <formula>0.99</formula>
    </cfRule>
    <cfRule type="cellIs" dxfId="900" priority="902" operator="equal">
      <formula>1</formula>
    </cfRule>
  </conditionalFormatting>
  <conditionalFormatting sqref="Y99:Y114">
    <cfRule type="cellIs" dxfId="899" priority="897" operator="equal">
      <formula>0</formula>
    </cfRule>
    <cfRule type="cellIs" dxfId="898" priority="896" operator="between">
      <formula>0.01</formula>
      <formula>0.99</formula>
    </cfRule>
    <cfRule type="cellIs" dxfId="897" priority="898" operator="equal">
      <formula>1</formula>
    </cfRule>
    <cfRule type="cellIs" dxfId="896" priority="895" operator="equal">
      <formula>#REF!</formula>
    </cfRule>
  </conditionalFormatting>
  <conditionalFormatting sqref="Y116:Y131">
    <cfRule type="cellIs" dxfId="895" priority="893" operator="equal">
      <formula>0</formula>
    </cfRule>
    <cfRule type="cellIs" dxfId="894" priority="891" operator="equal">
      <formula>#REF!</formula>
    </cfRule>
    <cfRule type="cellIs" dxfId="893" priority="892" operator="between">
      <formula>0.01</formula>
      <formula>0.99</formula>
    </cfRule>
    <cfRule type="cellIs" dxfId="892" priority="894" operator="equal">
      <formula>1</formula>
    </cfRule>
  </conditionalFormatting>
  <conditionalFormatting sqref="Y133:Y148">
    <cfRule type="cellIs" dxfId="891" priority="887" operator="equal">
      <formula>#REF!</formula>
    </cfRule>
    <cfRule type="cellIs" dxfId="890" priority="889" operator="equal">
      <formula>0</formula>
    </cfRule>
    <cfRule type="cellIs" dxfId="889" priority="888" operator="between">
      <formula>0.01</formula>
      <formula>0.99</formula>
    </cfRule>
    <cfRule type="cellIs" dxfId="888" priority="890" operator="equal">
      <formula>1</formula>
    </cfRule>
  </conditionalFormatting>
  <conditionalFormatting sqref="Y150:Y165">
    <cfRule type="cellIs" dxfId="887" priority="883" operator="equal">
      <formula>#REF!</formula>
    </cfRule>
    <cfRule type="cellIs" dxfId="886" priority="885" operator="equal">
      <formula>0</formula>
    </cfRule>
    <cfRule type="cellIs" dxfId="885" priority="886" operator="equal">
      <formula>1</formula>
    </cfRule>
    <cfRule type="cellIs" dxfId="884" priority="884" operator="between">
      <formula>0.01</formula>
      <formula>0.99</formula>
    </cfRule>
  </conditionalFormatting>
  <conditionalFormatting sqref="Y167:Y182">
    <cfRule type="cellIs" dxfId="883" priority="879" operator="equal">
      <formula>#REF!</formula>
    </cfRule>
    <cfRule type="cellIs" dxfId="882" priority="880" operator="between">
      <formula>0.01</formula>
      <formula>0.99</formula>
    </cfRule>
    <cfRule type="cellIs" dxfId="881" priority="881" operator="equal">
      <formula>0</formula>
    </cfRule>
    <cfRule type="cellIs" dxfId="880" priority="882" operator="equal">
      <formula>1</formula>
    </cfRule>
  </conditionalFormatting>
  <conditionalFormatting sqref="AD116:AD131">
    <cfRule type="cellIs" dxfId="879" priority="877" operator="equal">
      <formula>1</formula>
    </cfRule>
    <cfRule type="cellIs" dxfId="878" priority="876" operator="equal">
      <formula>0</formula>
    </cfRule>
    <cfRule type="cellIs" dxfId="877" priority="875" operator="between">
      <formula>0.01</formula>
      <formula>0.99</formula>
    </cfRule>
  </conditionalFormatting>
  <conditionalFormatting sqref="AE14:AI29 AL14:AL29 AR31:AY46 BA31:BC46">
    <cfRule type="cellIs" dxfId="876" priority="1023" operator="equal">
      <formula>"✓."</formula>
    </cfRule>
  </conditionalFormatting>
  <conditionalFormatting sqref="AE31:AI46">
    <cfRule type="cellIs" dxfId="875" priority="874" operator="equal">
      <formula>"✓."</formula>
    </cfRule>
    <cfRule type="cellIs" dxfId="874" priority="870" stopIfTrue="1" operator="equal">
      <formula>"✓"</formula>
    </cfRule>
  </conditionalFormatting>
  <conditionalFormatting sqref="AE48:AI63 AL48:AL63">
    <cfRule type="cellIs" dxfId="873" priority="1015" operator="equal">
      <formula>"✓."</formula>
    </cfRule>
  </conditionalFormatting>
  <conditionalFormatting sqref="AE65:AI80 AL65:AL80">
    <cfRule type="cellIs" dxfId="872" priority="1012" operator="equal">
      <formula>"✓."</formula>
    </cfRule>
  </conditionalFormatting>
  <conditionalFormatting sqref="AE150:AI165">
    <cfRule type="cellIs" dxfId="871" priority="858" operator="equal">
      <formula>"✓."</formula>
    </cfRule>
  </conditionalFormatting>
  <conditionalFormatting sqref="AE167:AI182">
    <cfRule type="cellIs" dxfId="870" priority="857" operator="equal">
      <formula>"✓."</formula>
    </cfRule>
  </conditionalFormatting>
  <conditionalFormatting sqref="AE48:AJ63">
    <cfRule type="cellIs" dxfId="869" priority="999" stopIfTrue="1" operator="equal">
      <formula>"✓"</formula>
    </cfRule>
  </conditionalFormatting>
  <conditionalFormatting sqref="AE65:AJ80">
    <cfRule type="cellIs" dxfId="868" priority="993" stopIfTrue="1" operator="equal">
      <formula>"✓"</formula>
    </cfRule>
  </conditionalFormatting>
  <conditionalFormatting sqref="AE150:AJ165">
    <cfRule type="cellIs" dxfId="867" priority="935" stopIfTrue="1" operator="equal">
      <formula>"✓"</formula>
    </cfRule>
  </conditionalFormatting>
  <conditionalFormatting sqref="AE82:AL97">
    <cfRule type="cellIs" dxfId="866" priority="1009" operator="equal">
      <formula>"✓."</formula>
    </cfRule>
  </conditionalFormatting>
  <conditionalFormatting sqref="AE99:AL114">
    <cfRule type="cellIs" dxfId="865" priority="864" operator="equal">
      <formula>"✓."</formula>
    </cfRule>
  </conditionalFormatting>
  <conditionalFormatting sqref="AE116:AL131">
    <cfRule type="cellIs" dxfId="864" priority="952" operator="equal">
      <formula>"✓."</formula>
    </cfRule>
  </conditionalFormatting>
  <conditionalFormatting sqref="AE133:AL148">
    <cfRule type="cellIs" dxfId="863" priority="859" operator="equal">
      <formula>"✓."</formula>
    </cfRule>
  </conditionalFormatting>
  <conditionalFormatting sqref="AE82:AP97 AE99:AQ114 AE133:AQ148">
    <cfRule type="cellIs" dxfId="862" priority="1010" stopIfTrue="1" operator="equal">
      <formula>"✓"</formula>
    </cfRule>
  </conditionalFormatting>
  <conditionalFormatting sqref="AE82:AP97">
    <cfRule type="cellIs" dxfId="861" priority="959" stopIfTrue="1" operator="equal">
      <formula>"✓"</formula>
    </cfRule>
  </conditionalFormatting>
  <conditionalFormatting sqref="AE167:AU182">
    <cfRule type="cellIs" dxfId="860" priority="934" stopIfTrue="1" operator="equal">
      <formula>"✓"</formula>
    </cfRule>
  </conditionalFormatting>
  <conditionalFormatting sqref="AI31:AI46">
    <cfRule type="cellIs" dxfId="859" priority="869" operator="equal">
      <formula>#REF!</formula>
    </cfRule>
  </conditionalFormatting>
  <conditionalFormatting sqref="AI48:AI63">
    <cfRule type="cellIs" dxfId="858" priority="868" operator="equal">
      <formula>"✓."</formula>
    </cfRule>
  </conditionalFormatting>
  <conditionalFormatting sqref="AI65:AI80">
    <cfRule type="cellIs" dxfId="857" priority="867" operator="equal">
      <formula>"✓."</formula>
    </cfRule>
  </conditionalFormatting>
  <conditionalFormatting sqref="AI82:AI97">
    <cfRule type="cellIs" dxfId="856" priority="866" operator="equal">
      <formula>"✓."</formula>
    </cfRule>
  </conditionalFormatting>
  <conditionalFormatting sqref="AI116:AI131">
    <cfRule type="cellIs" dxfId="855" priority="861" operator="equal">
      <formula>0</formula>
    </cfRule>
    <cfRule type="cellIs" dxfId="854" priority="860" operator="between">
      <formula>0.01</formula>
      <formula>0.99</formula>
    </cfRule>
    <cfRule type="cellIs" dxfId="853" priority="863" operator="equal">
      <formula>"✓."</formula>
    </cfRule>
    <cfRule type="cellIs" dxfId="852" priority="862" operator="equal">
      <formula>1</formula>
    </cfRule>
  </conditionalFormatting>
  <conditionalFormatting sqref="AI82:AJ97">
    <cfRule type="cellIs" dxfId="851" priority="865" stopIfTrue="1" operator="equal">
      <formula>"✓"</formula>
    </cfRule>
  </conditionalFormatting>
  <conditionalFormatting sqref="AI167:AK182">
    <cfRule type="cellIs" dxfId="850" priority="253" stopIfTrue="1" operator="equal">
      <formula>"✓"</formula>
    </cfRule>
  </conditionalFormatting>
  <conditionalFormatting sqref="AJ31:AJ46">
    <cfRule type="cellIs" dxfId="849" priority="1005" stopIfTrue="1" operator="equal">
      <formula>"✓"</formula>
    </cfRule>
    <cfRule type="cellIs" dxfId="848" priority="1003" operator="equal">
      <formula>"✓."</formula>
    </cfRule>
    <cfRule type="cellIs" dxfId="847" priority="1002" operator="equal">
      <formula>1</formula>
    </cfRule>
    <cfRule type="cellIs" dxfId="846" priority="1001" operator="equal">
      <formula>0</formula>
    </cfRule>
    <cfRule type="cellIs" dxfId="845" priority="1000" operator="between">
      <formula>0.01</formula>
      <formula>0.99</formula>
    </cfRule>
    <cfRule type="cellIs" dxfId="844" priority="1004" operator="equal">
      <formula>#REF!</formula>
    </cfRule>
  </conditionalFormatting>
  <conditionalFormatting sqref="AJ48:AJ63">
    <cfRule type="cellIs" dxfId="843" priority="998" operator="equal">
      <formula>#REF!</formula>
    </cfRule>
    <cfRule type="cellIs" dxfId="842" priority="997" operator="equal">
      <formula>"✓."</formula>
    </cfRule>
    <cfRule type="cellIs" dxfId="841" priority="996" operator="equal">
      <formula>1</formula>
    </cfRule>
    <cfRule type="cellIs" dxfId="840" priority="995" operator="equal">
      <formula>0</formula>
    </cfRule>
    <cfRule type="cellIs" dxfId="839" priority="994" operator="between">
      <formula>0.01</formula>
      <formula>0.99</formula>
    </cfRule>
  </conditionalFormatting>
  <conditionalFormatting sqref="AJ65:AJ80">
    <cfRule type="cellIs" dxfId="838" priority="992" operator="equal">
      <formula>#REF!</formula>
    </cfRule>
    <cfRule type="cellIs" dxfId="837" priority="991" operator="equal">
      <formula>"✓."</formula>
    </cfRule>
    <cfRule type="cellIs" dxfId="836" priority="990" operator="equal">
      <formula>1</formula>
    </cfRule>
    <cfRule type="cellIs" dxfId="835" priority="988" operator="between">
      <formula>0.01</formula>
      <formula>0.99</formula>
    </cfRule>
    <cfRule type="cellIs" dxfId="834" priority="989" operator="equal">
      <formula>0</formula>
    </cfRule>
  </conditionalFormatting>
  <conditionalFormatting sqref="AJ82:AJ97 AK87 AK95">
    <cfRule type="cellIs" dxfId="833" priority="957" operator="equal">
      <formula>"✓."</formula>
    </cfRule>
  </conditionalFormatting>
  <conditionalFormatting sqref="AJ14:AK29 AL48:AY63 AL65:AY80 AR14:AY29 BA14:BC29 BA48:BC63 BA65:BC80">
    <cfRule type="cellIs" dxfId="832" priority="984" operator="between">
      <formula>0.01</formula>
      <formula>0.99</formula>
    </cfRule>
    <cfRule type="cellIs" dxfId="831" priority="985" operator="equal">
      <formula>0</formula>
    </cfRule>
    <cfRule type="cellIs" dxfId="830" priority="986" operator="equal">
      <formula>1</formula>
    </cfRule>
  </conditionalFormatting>
  <conditionalFormatting sqref="AJ14:AK29 AR14:AY29 BA14:BC29 AR48:AY63 BA48:BC63 AR65:AY80 BA65:BC80">
    <cfRule type="cellIs" dxfId="829" priority="987" operator="equal">
      <formula>"✓."</formula>
    </cfRule>
  </conditionalFormatting>
  <conditionalFormatting sqref="AJ14:AK29">
    <cfRule type="cellIs" dxfId="828" priority="983" stopIfTrue="1" operator="equal">
      <formula>"✓"</formula>
    </cfRule>
  </conditionalFormatting>
  <conditionalFormatting sqref="AJ31:AL46">
    <cfRule type="cellIs" dxfId="827" priority="982" stopIfTrue="1" operator="equal">
      <formula>"✓"</formula>
    </cfRule>
  </conditionalFormatting>
  <conditionalFormatting sqref="AJ48:AL63">
    <cfRule type="cellIs" dxfId="826" priority="975" stopIfTrue="1" operator="equal">
      <formula>"✓"</formula>
    </cfRule>
  </conditionalFormatting>
  <conditionalFormatting sqref="AJ65:AL80">
    <cfRule type="cellIs" dxfId="825" priority="968" stopIfTrue="1" operator="equal">
      <formula>"✓"</formula>
    </cfRule>
  </conditionalFormatting>
  <conditionalFormatting sqref="AK31:AK46">
    <cfRule type="cellIs" dxfId="824" priority="976" stopIfTrue="1" operator="equal">
      <formula>"✓"</formula>
    </cfRule>
    <cfRule type="cellIs" dxfId="823" priority="978" operator="equal">
      <formula>0</formula>
    </cfRule>
    <cfRule type="cellIs" dxfId="822" priority="980" operator="equal">
      <formula>"✓."</formula>
    </cfRule>
    <cfRule type="cellIs" dxfId="821" priority="981" operator="equal">
      <formula>#REF!</formula>
    </cfRule>
    <cfRule type="cellIs" dxfId="820" priority="977" operator="between">
      <formula>0.01</formula>
      <formula>0.99</formula>
    </cfRule>
    <cfRule type="cellIs" dxfId="819" priority="979" operator="equal">
      <formula>1</formula>
    </cfRule>
  </conditionalFormatting>
  <conditionalFormatting sqref="AK48:AK63">
    <cfRule type="cellIs" dxfId="818" priority="974" operator="equal">
      <formula>#REF!</formula>
    </cfRule>
    <cfRule type="cellIs" dxfId="817" priority="969" stopIfTrue="1" operator="equal">
      <formula>"✓"</formula>
    </cfRule>
    <cfRule type="cellIs" dxfId="816" priority="972" operator="equal">
      <formula>1</formula>
    </cfRule>
    <cfRule type="cellIs" dxfId="815" priority="973" operator="equal">
      <formula>"✓."</formula>
    </cfRule>
    <cfRule type="cellIs" dxfId="814" priority="970" operator="between">
      <formula>0.01</formula>
      <formula>0.99</formula>
    </cfRule>
    <cfRule type="cellIs" dxfId="813" priority="971" operator="equal">
      <formula>0</formula>
    </cfRule>
  </conditionalFormatting>
  <conditionalFormatting sqref="AK65:AK80">
    <cfRule type="cellIs" dxfId="812" priority="967" operator="equal">
      <formula>#REF!</formula>
    </cfRule>
    <cfRule type="cellIs" dxfId="811" priority="966" operator="equal">
      <formula>"✓."</formula>
    </cfRule>
    <cfRule type="cellIs" dxfId="810" priority="965" operator="equal">
      <formula>1</formula>
    </cfRule>
    <cfRule type="cellIs" dxfId="809" priority="964" operator="equal">
      <formula>0</formula>
    </cfRule>
    <cfRule type="cellIs" dxfId="808" priority="963" operator="between">
      <formula>0.01</formula>
      <formula>0.99</formula>
    </cfRule>
    <cfRule type="cellIs" dxfId="807" priority="962" stopIfTrue="1" operator="equal">
      <formula>"✓"</formula>
    </cfRule>
  </conditionalFormatting>
  <conditionalFormatting sqref="AK87 AK95 AJ82:AJ97">
    <cfRule type="cellIs" dxfId="806" priority="956" operator="equal">
      <formula>1</formula>
    </cfRule>
    <cfRule type="cellIs" dxfId="805" priority="958" operator="equal">
      <formula>#REF!</formula>
    </cfRule>
    <cfRule type="cellIs" dxfId="804" priority="955" operator="equal">
      <formula>0</formula>
    </cfRule>
    <cfRule type="cellIs" dxfId="803" priority="954" operator="between">
      <formula>0.01</formula>
      <formula>0.99</formula>
    </cfRule>
  </conditionalFormatting>
  <conditionalFormatting sqref="AK87 AK95">
    <cfRule type="cellIs" dxfId="802" priority="953" stopIfTrue="1" operator="equal">
      <formula>"✓"</formula>
    </cfRule>
  </conditionalFormatting>
  <conditionalFormatting sqref="AK150:AK165">
    <cfRule type="cellIs" dxfId="801" priority="256" operator="equal">
      <formula>0</formula>
    </cfRule>
    <cfRule type="cellIs" dxfId="800" priority="263" stopIfTrue="1" operator="equal">
      <formula>"✓"</formula>
    </cfRule>
    <cfRule type="cellIs" dxfId="799" priority="255" operator="between">
      <formula>0.01</formula>
      <formula>0.99</formula>
    </cfRule>
    <cfRule type="cellIs" dxfId="798" priority="262" operator="equal">
      <formula>"✓."</formula>
    </cfRule>
    <cfRule type="cellIs" dxfId="797" priority="261" operator="equal">
      <formula>1</formula>
    </cfRule>
    <cfRule type="cellIs" dxfId="796" priority="260" operator="equal">
      <formula>0</formula>
    </cfRule>
    <cfRule type="cellIs" dxfId="795" priority="259" operator="between">
      <formula>0.01</formula>
      <formula>0.99</formula>
    </cfRule>
    <cfRule type="cellIs" dxfId="794" priority="258" stopIfTrue="1" operator="equal">
      <formula>"✓"</formula>
    </cfRule>
    <cfRule type="cellIs" dxfId="793" priority="257" operator="equal">
      <formula>1</formula>
    </cfRule>
  </conditionalFormatting>
  <conditionalFormatting sqref="AK167:AK182">
    <cfRule type="cellIs" dxfId="792" priority="245" operator="between">
      <formula>0.01</formula>
      <formula>0.99</formula>
    </cfRule>
    <cfRule type="cellIs" dxfId="791" priority="252" operator="equal">
      <formula>"✓."</formula>
    </cfRule>
    <cfRule type="cellIs" dxfId="790" priority="251" operator="equal">
      <formula>1</formula>
    </cfRule>
    <cfRule type="cellIs" dxfId="789" priority="250" operator="equal">
      <formula>0</formula>
    </cfRule>
    <cfRule type="cellIs" dxfId="788" priority="249" operator="between">
      <formula>0.01</formula>
      <formula>0.99</formula>
    </cfRule>
    <cfRule type="cellIs" dxfId="787" priority="248" stopIfTrue="1" operator="equal">
      <formula>"✓"</formula>
    </cfRule>
    <cfRule type="cellIs" dxfId="786" priority="247" operator="equal">
      <formula>1</formula>
    </cfRule>
    <cfRule type="cellIs" dxfId="785" priority="246" operator="equal">
      <formula>0</formula>
    </cfRule>
  </conditionalFormatting>
  <conditionalFormatting sqref="AL31:AL46">
    <cfRule type="cellIs" dxfId="784" priority="1019" stopIfTrue="1" operator="equal">
      <formula>"✓"</formula>
    </cfRule>
    <cfRule type="cellIs" dxfId="783" priority="1018" operator="equal">
      <formula>"✓."</formula>
    </cfRule>
  </conditionalFormatting>
  <conditionalFormatting sqref="AL116:AL131">
    <cfRule type="cellIs" dxfId="782" priority="1007" operator="equal">
      <formula>"✓."</formula>
    </cfRule>
  </conditionalFormatting>
  <conditionalFormatting sqref="AL150:AL165">
    <cfRule type="cellIs" dxfId="781" priority="960" operator="equal">
      <formula>"✓."</formula>
    </cfRule>
  </conditionalFormatting>
  <conditionalFormatting sqref="AL167:AL182">
    <cfRule type="cellIs" dxfId="780" priority="933" operator="equal">
      <formula>"✓."</formula>
    </cfRule>
  </conditionalFormatting>
  <conditionalFormatting sqref="AL65:AQ80">
    <cfRule type="cellIs" dxfId="779" priority="1013" stopIfTrue="1" operator="equal">
      <formula>"✓"</formula>
    </cfRule>
  </conditionalFormatting>
  <conditionalFormatting sqref="AL116:AQ131">
    <cfRule type="cellIs" dxfId="778" priority="1008" stopIfTrue="1" operator="equal">
      <formula>"✓"</formula>
    </cfRule>
    <cfRule type="cellIs" dxfId="777" priority="1006" operator="equal">
      <formula>0</formula>
    </cfRule>
  </conditionalFormatting>
  <conditionalFormatting sqref="AL150:AQ165">
    <cfRule type="cellIs" dxfId="776" priority="807" operator="equal">
      <formula>1</formula>
    </cfRule>
    <cfRule type="cellIs" dxfId="775" priority="805" operator="between">
      <formula>0.01</formula>
      <formula>0.99</formula>
    </cfRule>
    <cfRule type="cellIs" dxfId="774" priority="961" stopIfTrue="1" operator="equal">
      <formula>"✓"</formula>
    </cfRule>
    <cfRule type="cellIs" dxfId="773" priority="806" operator="equal">
      <formula>0</formula>
    </cfRule>
  </conditionalFormatting>
  <conditionalFormatting sqref="AL167:AQ182">
    <cfRule type="cellIs" dxfId="772" priority="795" operator="equal">
      <formula>0</formula>
    </cfRule>
    <cfRule type="cellIs" dxfId="771" priority="794" operator="between">
      <formula>0.01</formula>
      <formula>0.99</formula>
    </cfRule>
    <cfRule type="cellIs" dxfId="770" priority="796" operator="equal">
      <formula>1</formula>
    </cfRule>
  </conditionalFormatting>
  <conditionalFormatting sqref="AL31:AY46 C14:AI29 AL14:AQ29 H48:AI63 H65:AI80 C82:AP97 C99:AQ114 C133:AQ148 C150:AJ165 C167:AJ182 AW133:AY148 C48:F63 C65:F80 BA31:BC46">
    <cfRule type="cellIs" dxfId="769" priority="1020" operator="between">
      <formula>0.01</formula>
      <formula>0.99</formula>
    </cfRule>
    <cfRule type="cellIs" dxfId="768" priority="1022" operator="equal">
      <formula>1</formula>
    </cfRule>
    <cfRule type="cellIs" dxfId="767" priority="1021" operator="equal">
      <formula>0</formula>
    </cfRule>
  </conditionalFormatting>
  <conditionalFormatting sqref="AL31:AY46">
    <cfRule type="cellIs" dxfId="766" priority="773" operator="equal">
      <formula>#REF!</formula>
    </cfRule>
  </conditionalFormatting>
  <conditionalFormatting sqref="AL48:AY63 BA48:BC63">
    <cfRule type="cellIs" dxfId="765" priority="1016" stopIfTrue="1" operator="equal">
      <formula>"✓"</formula>
    </cfRule>
  </conditionalFormatting>
  <conditionalFormatting sqref="AM99:AP114">
    <cfRule type="cellIs" dxfId="764" priority="13" stopIfTrue="1" operator="equal">
      <formula>"✓"</formula>
    </cfRule>
  </conditionalFormatting>
  <conditionalFormatting sqref="AM133:AP148">
    <cfRule type="cellIs" dxfId="763" priority="10" operator="equal">
      <formula>1</formula>
    </cfRule>
    <cfRule type="cellIs" dxfId="762" priority="9" operator="between">
      <formula>0.01</formula>
      <formula>0.99</formula>
    </cfRule>
    <cfRule type="cellIs" dxfId="761" priority="11" operator="equal">
      <formula>0</formula>
    </cfRule>
    <cfRule type="cellIs" dxfId="760" priority="12" stopIfTrue="1" operator="equal">
      <formula>"✓"</formula>
    </cfRule>
  </conditionalFormatting>
  <conditionalFormatting sqref="AM150:AP159">
    <cfRule type="cellIs" dxfId="759" priority="4" stopIfTrue="1" operator="equal">
      <formula>"✓"</formula>
    </cfRule>
    <cfRule type="cellIs" dxfId="758" priority="6" operator="between">
      <formula>0.01</formula>
      <formula>0.99</formula>
    </cfRule>
    <cfRule type="cellIs" dxfId="757" priority="7" operator="equal">
      <formula>0</formula>
    </cfRule>
    <cfRule type="cellIs" dxfId="756" priority="8" operator="equal">
      <formula>1</formula>
    </cfRule>
    <cfRule type="cellIs" dxfId="755" priority="3" operator="equal">
      <formula>0</formula>
    </cfRule>
    <cfRule type="cellIs" dxfId="754" priority="2" operator="equal">
      <formula>1</formula>
    </cfRule>
    <cfRule type="cellIs" dxfId="753" priority="1" operator="between">
      <formula>0.01</formula>
      <formula>0.99</formula>
    </cfRule>
  </conditionalFormatting>
  <conditionalFormatting sqref="AM99:AQ114">
    <cfRule type="cellIs" dxfId="752" priority="14" operator="equal">
      <formula>#REF!</formula>
    </cfRule>
  </conditionalFormatting>
  <conditionalFormatting sqref="AM65:AY80 AK82:AP86 AM83:AP97 AL87:AP87 AK88:AP94 AL95:AP95 AK96:AP97 AL48:AY63 AQ82:AQ97 AV82:AV97 BA48:BC63 BA65:BC80">
    <cfRule type="cellIs" dxfId="751" priority="1014" operator="equal">
      <formula>#REF!</formula>
    </cfRule>
  </conditionalFormatting>
  <conditionalFormatting sqref="AQ14:AQ29">
    <cfRule type="cellIs" dxfId="750" priority="855" operator="equal">
      <formula>"✓."</formula>
    </cfRule>
  </conditionalFormatting>
  <conditionalFormatting sqref="AQ31:AQ46">
    <cfRule type="cellIs" dxfId="749" priority="850" operator="equal">
      <formula>"✓."</formula>
    </cfRule>
    <cfRule type="cellIs" dxfId="748" priority="853" operator="equal">
      <formula>0</formula>
    </cfRule>
    <cfRule type="cellIs" dxfId="747" priority="854" operator="equal">
      <formula>1</formula>
    </cfRule>
    <cfRule type="cellIs" dxfId="746" priority="852" operator="between">
      <formula>0.01</formula>
      <formula>0.99</formula>
    </cfRule>
  </conditionalFormatting>
  <conditionalFormatting sqref="AQ48:AQ63">
    <cfRule type="cellIs" dxfId="745" priority="844" operator="equal">
      <formula>"✓."</formula>
    </cfRule>
    <cfRule type="cellIs" dxfId="744" priority="845" operator="equal">
      <formula>#REF!</formula>
    </cfRule>
    <cfRule type="cellIs" dxfId="743" priority="846" operator="between">
      <formula>0.01</formula>
      <formula>0.99</formula>
    </cfRule>
    <cfRule type="cellIs" dxfId="742" priority="847" operator="equal">
      <formula>0</formula>
    </cfRule>
    <cfRule type="cellIs" dxfId="741" priority="848" operator="equal">
      <formula>1</formula>
    </cfRule>
  </conditionalFormatting>
  <conditionalFormatting sqref="AQ65:AQ80">
    <cfRule type="cellIs" dxfId="740" priority="839" operator="equal">
      <formula>"✓."</formula>
    </cfRule>
    <cfRule type="cellIs" dxfId="739" priority="840" operator="equal">
      <formula>#REF!</formula>
    </cfRule>
    <cfRule type="cellIs" dxfId="738" priority="841" operator="between">
      <formula>0.01</formula>
      <formula>0.99</formula>
    </cfRule>
    <cfRule type="cellIs" dxfId="737" priority="842" operator="equal">
      <formula>0</formula>
    </cfRule>
    <cfRule type="cellIs" dxfId="736" priority="843" operator="equal">
      <formula>1</formula>
    </cfRule>
  </conditionalFormatting>
  <conditionalFormatting sqref="AQ82:AQ97">
    <cfRule type="cellIs" dxfId="735" priority="836" operator="equal">
      <formula>0</formula>
    </cfRule>
    <cfRule type="cellIs" dxfId="734" priority="838" stopIfTrue="1" operator="equal">
      <formula>"✓"</formula>
    </cfRule>
  </conditionalFormatting>
  <conditionalFormatting sqref="AQ99:AQ114">
    <cfRule type="cellIs" dxfId="733" priority="829" operator="equal">
      <formula>0</formula>
    </cfRule>
    <cfRule type="cellIs" dxfId="732" priority="832" operator="equal">
      <formula>#REF!</formula>
    </cfRule>
    <cfRule type="cellIs" dxfId="731" priority="831" stopIfTrue="1" operator="equal">
      <formula>"✓"</formula>
    </cfRule>
  </conditionalFormatting>
  <conditionalFormatting sqref="AQ116:AQ131">
    <cfRule type="cellIs" dxfId="730" priority="816" operator="equal">
      <formula>#REF!</formula>
    </cfRule>
    <cfRule type="cellIs" dxfId="729" priority="818" operator="equal">
      <formula>0</formula>
    </cfRule>
    <cfRule type="cellIs" dxfId="728" priority="820" stopIfTrue="1" operator="equal">
      <formula>"✓"</formula>
    </cfRule>
    <cfRule type="cellIs" dxfId="727" priority="821" operator="equal">
      <formula>#REF!</formula>
    </cfRule>
    <cfRule type="cellIs" dxfId="726" priority="822" stopIfTrue="1" operator="equal">
      <formula>"✓"</formula>
    </cfRule>
    <cfRule type="cellIs" dxfId="725" priority="823" operator="between">
      <formula>0.01</formula>
      <formula>0.99</formula>
    </cfRule>
    <cfRule type="cellIs" dxfId="724" priority="824" operator="equal">
      <formula>0</formula>
    </cfRule>
    <cfRule type="cellIs" dxfId="723" priority="825" operator="equal">
      <formula>1</formula>
    </cfRule>
  </conditionalFormatting>
  <conditionalFormatting sqref="AQ133:AQ148">
    <cfRule type="cellIs" dxfId="722" priority="811" operator="equal">
      <formula>0</formula>
    </cfRule>
    <cfRule type="cellIs" dxfId="721" priority="813" stopIfTrue="1" operator="equal">
      <formula>"✓"</formula>
    </cfRule>
    <cfRule type="cellIs" dxfId="720" priority="814" operator="equal">
      <formula>#REF!</formula>
    </cfRule>
    <cfRule type="cellIs" dxfId="719" priority="809" operator="equal">
      <formula>#REF!</formula>
    </cfRule>
  </conditionalFormatting>
  <conditionalFormatting sqref="AQ150:AQ165">
    <cfRule type="cellIs" dxfId="718" priority="800" operator="equal">
      <formula>0</formula>
    </cfRule>
    <cfRule type="cellIs" dxfId="717" priority="798" operator="equal">
      <formula>#REF!</formula>
    </cfRule>
    <cfRule type="cellIs" dxfId="716" priority="804" stopIfTrue="1" operator="equal">
      <formula>"✓"</formula>
    </cfRule>
    <cfRule type="cellIs" dxfId="715" priority="803" operator="equal">
      <formula>#REF!</formula>
    </cfRule>
    <cfRule type="cellIs" dxfId="714" priority="802" stopIfTrue="1" operator="equal">
      <formula>"✓"</formula>
    </cfRule>
  </conditionalFormatting>
  <conditionalFormatting sqref="AQ167:AQ182">
    <cfRule type="cellIs" dxfId="713" priority="792" operator="equal">
      <formula>#REF!</formula>
    </cfRule>
    <cfRule type="cellIs" dxfId="712" priority="787" operator="equal">
      <formula>#REF!</formula>
    </cfRule>
    <cfRule type="cellIs" dxfId="711" priority="789" operator="equal">
      <formula>0</formula>
    </cfRule>
    <cfRule type="cellIs" dxfId="710" priority="793" stopIfTrue="1" operator="equal">
      <formula>"✓"</formula>
    </cfRule>
    <cfRule type="cellIs" dxfId="709" priority="791" stopIfTrue="1" operator="equal">
      <formula>"✓"</formula>
    </cfRule>
  </conditionalFormatting>
  <conditionalFormatting sqref="AQ82:AU97">
    <cfRule type="cellIs" dxfId="708" priority="348" operator="equal">
      <formula>#REF!</formula>
    </cfRule>
    <cfRule type="cellIs" dxfId="707" priority="346" operator="equal">
      <formula>"✓."</formula>
    </cfRule>
  </conditionalFormatting>
  <conditionalFormatting sqref="AQ150:AU165">
    <cfRule type="cellIs" dxfId="706" priority="271" operator="equal">
      <formula>"✓."</formula>
    </cfRule>
  </conditionalFormatting>
  <conditionalFormatting sqref="AQ99:AV114">
    <cfRule type="cellIs" dxfId="705" priority="337" operator="equal">
      <formula>"✓."</formula>
    </cfRule>
    <cfRule type="cellIs" dxfId="704" priority="336" operator="equal">
      <formula>1</formula>
    </cfRule>
    <cfRule type="cellIs" dxfId="703" priority="334" operator="between">
      <formula>0.01</formula>
      <formula>0.99</formula>
    </cfRule>
  </conditionalFormatting>
  <conditionalFormatting sqref="AQ116:AV131">
    <cfRule type="cellIs" dxfId="702" priority="318" operator="equal">
      <formula>"✓."</formula>
    </cfRule>
    <cfRule type="cellIs" dxfId="701" priority="315" operator="between">
      <formula>0.01</formula>
      <formula>0.99</formula>
    </cfRule>
    <cfRule type="cellIs" dxfId="700" priority="317" operator="equal">
      <formula>1</formula>
    </cfRule>
  </conditionalFormatting>
  <conditionalFormatting sqref="AQ133:AV148">
    <cfRule type="cellIs" dxfId="699" priority="296" operator="between">
      <formula>0.01</formula>
      <formula>0.99</formula>
    </cfRule>
    <cfRule type="cellIs" dxfId="698" priority="299" operator="equal">
      <formula>"✓."</formula>
    </cfRule>
    <cfRule type="cellIs" dxfId="697" priority="298" operator="equal">
      <formula>1</formula>
    </cfRule>
  </conditionalFormatting>
  <conditionalFormatting sqref="AQ167:AV182">
    <cfRule type="cellIs" dxfId="696" priority="242" operator="equal">
      <formula>"✓."</formula>
    </cfRule>
  </conditionalFormatting>
  <conditionalFormatting sqref="AQ48:AY63">
    <cfRule type="cellIs" dxfId="695" priority="849" stopIfTrue="1" operator="equal">
      <formula>"✓"</formula>
    </cfRule>
  </conditionalFormatting>
  <conditionalFormatting sqref="AQ82:AY97">
    <cfRule type="cellIs" dxfId="694" priority="343" operator="between">
      <formula>0.01</formula>
      <formula>0.99</formula>
    </cfRule>
    <cfRule type="cellIs" dxfId="693" priority="345" operator="equal">
      <formula>1</formula>
    </cfRule>
  </conditionalFormatting>
  <conditionalFormatting sqref="AQ150:AY165">
    <cfRule type="cellIs" dxfId="692" priority="268" operator="between">
      <formula>0.01</formula>
      <formula>0.99</formula>
    </cfRule>
    <cfRule type="cellIs" dxfId="691" priority="270" operator="equal">
      <formula>1</formula>
    </cfRule>
  </conditionalFormatting>
  <conditionalFormatting sqref="AQ167:AY182">
    <cfRule type="cellIs" dxfId="690" priority="241" operator="equal">
      <formula>1</formula>
    </cfRule>
    <cfRule type="cellIs" dxfId="689" priority="239" operator="between">
      <formula>0.01</formula>
      <formula>0.99</formula>
    </cfRule>
  </conditionalFormatting>
  <conditionalFormatting sqref="AR82:AU97">
    <cfRule type="cellIs" dxfId="688" priority="342" stopIfTrue="1" operator="equal">
      <formula>"✓"</formula>
    </cfRule>
    <cfRule type="cellIs" dxfId="687" priority="341" operator="equal">
      <formula>1</formula>
    </cfRule>
    <cfRule type="cellIs" dxfId="686" priority="340" operator="equal">
      <formula>0</formula>
    </cfRule>
    <cfRule type="cellIs" dxfId="685" priority="339" operator="between">
      <formula>0.01</formula>
      <formula>0.99</formula>
    </cfRule>
    <cfRule type="cellIs" dxfId="684" priority="347" stopIfTrue="1" operator="equal">
      <formula>"✓"</formula>
    </cfRule>
    <cfRule type="cellIs" dxfId="683" priority="344" operator="equal">
      <formula>0</formula>
    </cfRule>
  </conditionalFormatting>
  <conditionalFormatting sqref="AR99:AU114">
    <cfRule type="cellIs" dxfId="682" priority="335" operator="equal">
      <formula>0</formula>
    </cfRule>
    <cfRule type="cellIs" dxfId="681" priority="332" operator="equal">
      <formula>1</formula>
    </cfRule>
    <cfRule type="cellIs" dxfId="680" priority="331" operator="equal">
      <formula>0</formula>
    </cfRule>
    <cfRule type="cellIs" dxfId="679" priority="330" operator="between">
      <formula>0.01</formula>
      <formula>0.99</formula>
    </cfRule>
    <cfRule type="cellIs" dxfId="678" priority="338" stopIfTrue="1" operator="equal">
      <formula>"✓"</formula>
    </cfRule>
    <cfRule type="cellIs" dxfId="677" priority="333" stopIfTrue="1" operator="equal">
      <formula>"✓"</formula>
    </cfRule>
  </conditionalFormatting>
  <conditionalFormatting sqref="AR116:AU131">
    <cfRule type="cellIs" dxfId="676" priority="311" operator="between">
      <formula>0.01</formula>
      <formula>0.99</formula>
    </cfRule>
    <cfRule type="cellIs" dxfId="675" priority="313" operator="equal">
      <formula>1</formula>
    </cfRule>
    <cfRule type="cellIs" dxfId="674" priority="314" stopIfTrue="1" operator="equal">
      <formula>"✓"</formula>
    </cfRule>
    <cfRule type="cellIs" dxfId="673" priority="312" operator="equal">
      <formula>0</formula>
    </cfRule>
    <cfRule type="cellIs" dxfId="672" priority="316" operator="equal">
      <formula>0</formula>
    </cfRule>
    <cfRule type="cellIs" dxfId="671" priority="319" stopIfTrue="1" operator="equal">
      <formula>"✓"</formula>
    </cfRule>
  </conditionalFormatting>
  <conditionalFormatting sqref="AR133:AU148">
    <cfRule type="cellIs" dxfId="670" priority="300" stopIfTrue="1" operator="equal">
      <formula>"✓"</formula>
    </cfRule>
    <cfRule type="cellIs" dxfId="669" priority="295" stopIfTrue="1" operator="equal">
      <formula>"✓"</formula>
    </cfRule>
    <cfRule type="cellIs" dxfId="668" priority="294" operator="equal">
      <formula>1</formula>
    </cfRule>
    <cfRule type="cellIs" dxfId="667" priority="297" operator="equal">
      <formula>0</formula>
    </cfRule>
    <cfRule type="cellIs" dxfId="666" priority="292" operator="between">
      <formula>0.01</formula>
      <formula>0.99</formula>
    </cfRule>
    <cfRule type="cellIs" dxfId="665" priority="293" operator="equal">
      <formula>0</formula>
    </cfRule>
  </conditionalFormatting>
  <conditionalFormatting sqref="AR150:AU165">
    <cfRule type="cellIs" dxfId="664" priority="264" operator="between">
      <formula>0.01</formula>
      <formula>0.99</formula>
    </cfRule>
    <cfRule type="cellIs" dxfId="663" priority="265" operator="equal">
      <formula>0</formula>
    </cfRule>
    <cfRule type="cellIs" dxfId="662" priority="266" operator="equal">
      <formula>1</formula>
    </cfRule>
    <cfRule type="cellIs" dxfId="661" priority="267" stopIfTrue="1" operator="equal">
      <formula>"✓"</formula>
    </cfRule>
    <cfRule type="cellIs" dxfId="660" priority="269" operator="equal">
      <formula>0</formula>
    </cfRule>
    <cfRule type="cellIs" dxfId="659" priority="272" stopIfTrue="1" operator="equal">
      <formula>"✓"</formula>
    </cfRule>
  </conditionalFormatting>
  <conditionalFormatting sqref="AR167:AU182">
    <cfRule type="cellIs" dxfId="658" priority="243" stopIfTrue="1" operator="equal">
      <formula>"✓"</formula>
    </cfRule>
    <cfRule type="cellIs" dxfId="657" priority="238" stopIfTrue="1" operator="equal">
      <formula>"✓"</formula>
    </cfRule>
    <cfRule type="cellIs" dxfId="656" priority="237" operator="equal">
      <formula>1</formula>
    </cfRule>
    <cfRule type="cellIs" dxfId="655" priority="235" operator="between">
      <formula>0.01</formula>
      <formula>0.99</formula>
    </cfRule>
    <cfRule type="cellIs" dxfId="654" priority="240" operator="equal">
      <formula>0</formula>
    </cfRule>
    <cfRule type="cellIs" dxfId="653" priority="236" operator="equal">
      <formula>0</formula>
    </cfRule>
  </conditionalFormatting>
  <conditionalFormatting sqref="AR14:AY29">
    <cfRule type="cellIs" dxfId="652" priority="785" stopIfTrue="1" operator="equal">
      <formula>"✓"</formula>
    </cfRule>
  </conditionalFormatting>
  <conditionalFormatting sqref="AR65:AY80">
    <cfRule type="cellIs" dxfId="651" priority="951" stopIfTrue="1" operator="equal">
      <formula>"✓"</formula>
    </cfRule>
  </conditionalFormatting>
  <conditionalFormatting sqref="AU165">
    <cfRule type="cellIs" dxfId="650" priority="274" operator="equal">
      <formula>0</formula>
    </cfRule>
    <cfRule type="cellIs" dxfId="649" priority="275" operator="equal">
      <formula>1</formula>
    </cfRule>
    <cfRule type="cellIs" dxfId="648" priority="276" stopIfTrue="1" operator="equal">
      <formula>"✓"</formula>
    </cfRule>
    <cfRule type="cellIs" dxfId="647" priority="277" operator="between">
      <formula>0.01</formula>
      <formula>0.99</formula>
    </cfRule>
    <cfRule type="cellIs" dxfId="646" priority="278" operator="equal">
      <formula>0</formula>
    </cfRule>
    <cfRule type="cellIs" dxfId="645" priority="279" operator="equal">
      <formula>1</formula>
    </cfRule>
    <cfRule type="cellIs" dxfId="644" priority="280" operator="equal">
      <formula>"✓."</formula>
    </cfRule>
    <cfRule type="cellIs" dxfId="643" priority="281" stopIfTrue="1" operator="equal">
      <formula>"✓"</formula>
    </cfRule>
    <cfRule type="cellIs" dxfId="642" priority="273" operator="between">
      <formula>0.01</formula>
      <formula>0.99</formula>
    </cfRule>
  </conditionalFormatting>
  <conditionalFormatting sqref="AV14:AV29">
    <cfRule type="cellIs" dxfId="641" priority="782" operator="between">
      <formula>0.01</formula>
      <formula>0.99</formula>
    </cfRule>
    <cfRule type="cellIs" dxfId="640" priority="781" stopIfTrue="1" operator="equal">
      <formula>"✓"</formula>
    </cfRule>
    <cfRule type="cellIs" dxfId="639" priority="780" operator="equal">
      <formula>#REF!</formula>
    </cfRule>
    <cfRule type="cellIs" dxfId="638" priority="779" stopIfTrue="1" operator="equal">
      <formula>"✓"</formula>
    </cfRule>
    <cfRule type="cellIs" dxfId="637" priority="778" operator="equal">
      <formula>1</formula>
    </cfRule>
    <cfRule type="cellIs" dxfId="636" priority="777" operator="equal">
      <formula>0</formula>
    </cfRule>
    <cfRule type="cellIs" dxfId="635" priority="776" operator="between">
      <formula>0.01</formula>
      <formula>0.99</formula>
    </cfRule>
    <cfRule type="cellIs" dxfId="634" priority="784" operator="equal">
      <formula>1</formula>
    </cfRule>
    <cfRule type="cellIs" dxfId="633" priority="774" operator="equal">
      <formula>"✓."</formula>
    </cfRule>
    <cfRule type="cellIs" dxfId="632" priority="775" operator="equal">
      <formula>#REF!</formula>
    </cfRule>
    <cfRule type="cellIs" dxfId="631" priority="783" operator="equal">
      <formula>0</formula>
    </cfRule>
  </conditionalFormatting>
  <conditionalFormatting sqref="AV31:AV46">
    <cfRule type="cellIs" dxfId="630" priority="763" operator="between">
      <formula>0.01</formula>
      <formula>0.99</formula>
    </cfRule>
    <cfRule type="cellIs" dxfId="629" priority="764" operator="equal">
      <formula>0</formula>
    </cfRule>
    <cfRule type="cellIs" dxfId="628" priority="765" operator="equal">
      <formula>1</formula>
    </cfRule>
    <cfRule type="cellIs" dxfId="627" priority="766" stopIfTrue="1" operator="equal">
      <formula>"✓"</formula>
    </cfRule>
    <cfRule type="cellIs" dxfId="626" priority="767" operator="equal">
      <formula>#REF!</formula>
    </cfRule>
    <cfRule type="cellIs" dxfId="625" priority="769" operator="between">
      <formula>0.01</formula>
      <formula>0.99</formula>
    </cfRule>
    <cfRule type="cellIs" dxfId="624" priority="770" operator="equal">
      <formula>0</formula>
    </cfRule>
    <cfRule type="cellIs" dxfId="623" priority="771" operator="equal">
      <formula>1</formula>
    </cfRule>
    <cfRule type="cellIs" dxfId="622" priority="772" stopIfTrue="1" operator="equal">
      <formula>"✓"</formula>
    </cfRule>
    <cfRule type="cellIs" dxfId="621" priority="768" stopIfTrue="1" operator="equal">
      <formula>"✓"</formula>
    </cfRule>
    <cfRule type="cellIs" dxfId="620" priority="761" operator="equal">
      <formula>"✓."</formula>
    </cfRule>
    <cfRule type="cellIs" dxfId="619" priority="762" operator="equal">
      <formula>#REF!</formula>
    </cfRule>
  </conditionalFormatting>
  <conditionalFormatting sqref="AV48:AV63">
    <cfRule type="cellIs" dxfId="618" priority="758" stopIfTrue="1" operator="equal">
      <formula>"✓"</formula>
    </cfRule>
    <cfRule type="cellIs" dxfId="617" priority="759" operator="equal">
      <formula>#REF!</formula>
    </cfRule>
    <cfRule type="cellIs" dxfId="616" priority="760" stopIfTrue="1" operator="equal">
      <formula>"✓"</formula>
    </cfRule>
    <cfRule type="cellIs" dxfId="615" priority="752" stopIfTrue="1" operator="equal">
      <formula>"✓"</formula>
    </cfRule>
    <cfRule type="cellIs" dxfId="614" priority="747" operator="equal">
      <formula>"✓."</formula>
    </cfRule>
    <cfRule type="cellIs" dxfId="613" priority="748" operator="equal">
      <formula>#REF!</formula>
    </cfRule>
    <cfRule type="cellIs" dxfId="612" priority="749" operator="between">
      <formula>0.01</formula>
      <formula>0.99</formula>
    </cfRule>
    <cfRule type="cellIs" dxfId="611" priority="750" operator="equal">
      <formula>0</formula>
    </cfRule>
    <cfRule type="cellIs" dxfId="610" priority="753" operator="equal">
      <formula>#REF!</formula>
    </cfRule>
    <cfRule type="cellIs" dxfId="609" priority="754" stopIfTrue="1" operator="equal">
      <formula>"✓"</formula>
    </cfRule>
    <cfRule type="cellIs" dxfId="608" priority="755" operator="between">
      <formula>0.01</formula>
      <formula>0.99</formula>
    </cfRule>
    <cfRule type="cellIs" dxfId="607" priority="756" operator="equal">
      <formula>0</formula>
    </cfRule>
    <cfRule type="cellIs" dxfId="606" priority="757" operator="equal">
      <formula>1</formula>
    </cfRule>
    <cfRule type="cellIs" dxfId="605" priority="751" operator="equal">
      <formula>1</formula>
    </cfRule>
  </conditionalFormatting>
  <conditionalFormatting sqref="AV65">
    <cfRule type="cellIs" dxfId="604" priority="739" operator="equal">
      <formula>#REF!</formula>
    </cfRule>
    <cfRule type="cellIs" dxfId="603" priority="738" stopIfTrue="1" operator="equal">
      <formula>"✓"</formula>
    </cfRule>
    <cfRule type="cellIs" dxfId="602" priority="737" operator="equal">
      <formula>1</formula>
    </cfRule>
    <cfRule type="cellIs" dxfId="601" priority="736" operator="equal">
      <formula>0</formula>
    </cfRule>
    <cfRule type="cellIs" dxfId="600" priority="735" operator="between">
      <formula>0.01</formula>
      <formula>0.99</formula>
    </cfRule>
    <cfRule type="cellIs" dxfId="599" priority="734" operator="equal">
      <formula>#REF!</formula>
    </cfRule>
    <cfRule type="cellIs" dxfId="598" priority="733" operator="equal">
      <formula>"✓."</formula>
    </cfRule>
    <cfRule type="cellIs" dxfId="597" priority="740" stopIfTrue="1" operator="equal">
      <formula>"✓"</formula>
    </cfRule>
    <cfRule type="cellIs" dxfId="596" priority="742" operator="equal">
      <formula>0</formula>
    </cfRule>
    <cfRule type="cellIs" dxfId="595" priority="746" stopIfTrue="1" operator="equal">
      <formula>"✓"</formula>
    </cfRule>
    <cfRule type="cellIs" dxfId="594" priority="741" operator="between">
      <formula>0.01</formula>
      <formula>0.99</formula>
    </cfRule>
    <cfRule type="cellIs" dxfId="593" priority="745" operator="equal">
      <formula>#REF!</formula>
    </cfRule>
    <cfRule type="cellIs" dxfId="592" priority="744" stopIfTrue="1" operator="equal">
      <formula>"✓"</formula>
    </cfRule>
    <cfRule type="cellIs" dxfId="591" priority="743" operator="equal">
      <formula>1</formula>
    </cfRule>
  </conditionalFormatting>
  <conditionalFormatting sqref="AV65:AV80">
    <cfRule type="cellIs" dxfId="590" priority="732" stopIfTrue="1" operator="equal">
      <formula>"✓"</formula>
    </cfRule>
    <cfRule type="cellIs" dxfId="589" priority="731" operator="equal">
      <formula>#REF!</formula>
    </cfRule>
    <cfRule type="cellIs" dxfId="588" priority="729" operator="equal">
      <formula>1</formula>
    </cfRule>
    <cfRule type="cellIs" dxfId="587" priority="728" operator="equal">
      <formula>0</formula>
    </cfRule>
    <cfRule type="cellIs" dxfId="586" priority="727" operator="between">
      <formula>0.01</formula>
      <formula>0.99</formula>
    </cfRule>
    <cfRule type="cellIs" dxfId="585" priority="726" stopIfTrue="1" operator="equal">
      <formula>"✓"</formula>
    </cfRule>
    <cfRule type="cellIs" dxfId="584" priority="725" operator="equal">
      <formula>#REF!</formula>
    </cfRule>
    <cfRule type="cellIs" dxfId="583" priority="724" stopIfTrue="1" operator="equal">
      <formula>"✓"</formula>
    </cfRule>
    <cfRule type="cellIs" dxfId="582" priority="723" operator="equal">
      <formula>1</formula>
    </cfRule>
    <cfRule type="cellIs" dxfId="581" priority="722" operator="equal">
      <formula>0</formula>
    </cfRule>
    <cfRule type="cellIs" dxfId="580" priority="721" operator="between">
      <formula>0.01</formula>
      <formula>0.99</formula>
    </cfRule>
    <cfRule type="cellIs" dxfId="579" priority="720" operator="equal">
      <formula>#REF!</formula>
    </cfRule>
    <cfRule type="cellIs" dxfId="578" priority="719" operator="equal">
      <formula>"✓."</formula>
    </cfRule>
    <cfRule type="cellIs" dxfId="577" priority="730" stopIfTrue="1" operator="equal">
      <formula>"✓"</formula>
    </cfRule>
  </conditionalFormatting>
  <conditionalFormatting sqref="AV82:AV97">
    <cfRule type="cellIs" dxfId="576" priority="718" stopIfTrue="1" operator="equal">
      <formula>"✓"</formula>
    </cfRule>
    <cfRule type="cellIs" dxfId="575" priority="705" stopIfTrue="1" operator="equal">
      <formula>"✓"</formula>
    </cfRule>
    <cfRule type="cellIs" dxfId="574" priority="706" operator="equal">
      <formula>#REF!</formula>
    </cfRule>
    <cfRule type="cellIs" dxfId="573" priority="707" stopIfTrue="1" operator="equal">
      <formula>"✓"</formula>
    </cfRule>
    <cfRule type="cellIs" dxfId="572" priority="712" operator="equal">
      <formula>#REF!</formula>
    </cfRule>
    <cfRule type="cellIs" dxfId="571" priority="715" operator="equal">
      <formula>0</formula>
    </cfRule>
    <cfRule type="cellIs" dxfId="570" priority="716" operator="equal">
      <formula>1</formula>
    </cfRule>
    <cfRule type="cellIs" dxfId="569" priority="717" operator="equal">
      <formula>"✓."</formula>
    </cfRule>
    <cfRule type="cellIs" dxfId="568" priority="713" stopIfTrue="1" operator="equal">
      <formula>"✓"</formula>
    </cfRule>
    <cfRule type="cellIs" dxfId="567" priority="708" operator="between">
      <formula>0.01</formula>
      <formula>0.99</formula>
    </cfRule>
    <cfRule type="cellIs" dxfId="566" priority="703" operator="equal">
      <formula>0</formula>
    </cfRule>
    <cfRule type="cellIs" dxfId="565" priority="709" operator="equal">
      <formula>0</formula>
    </cfRule>
    <cfRule type="cellIs" dxfId="564" priority="710" operator="equal">
      <formula>1</formula>
    </cfRule>
    <cfRule type="cellIs" dxfId="563" priority="711" stopIfTrue="1" operator="equal">
      <formula>"✓"</formula>
    </cfRule>
    <cfRule type="cellIs" dxfId="562" priority="714" operator="between">
      <formula>0.01</formula>
      <formula>0.99</formula>
    </cfRule>
  </conditionalFormatting>
  <conditionalFormatting sqref="AV99:AV114">
    <cfRule type="cellIs" dxfId="561" priority="698" operator="equal">
      <formula>#REF!</formula>
    </cfRule>
    <cfRule type="cellIs" dxfId="560" priority="697" operator="equal">
      <formula>"✓."</formula>
    </cfRule>
    <cfRule type="cellIs" dxfId="559" priority="696" operator="equal">
      <formula>1</formula>
    </cfRule>
    <cfRule type="cellIs" dxfId="558" priority="681" operator="equal">
      <formula>#REF!</formula>
    </cfRule>
    <cfRule type="cellIs" dxfId="557" priority="695" operator="equal">
      <formula>0</formula>
    </cfRule>
    <cfRule type="cellIs" dxfId="556" priority="685" stopIfTrue="1" operator="equal">
      <formula>"✓"</formula>
    </cfRule>
    <cfRule type="cellIs" dxfId="555" priority="692" operator="equal">
      <formula>#REF!</formula>
    </cfRule>
    <cfRule type="cellIs" dxfId="554" priority="688" operator="between">
      <formula>0.01</formula>
      <formula>0.99</formula>
    </cfRule>
    <cfRule type="cellIs" dxfId="553" priority="683" operator="equal">
      <formula>0</formula>
    </cfRule>
    <cfRule type="cellIs" dxfId="552" priority="686" operator="equal">
      <formula>#REF!</formula>
    </cfRule>
    <cfRule type="cellIs" dxfId="551" priority="691" stopIfTrue="1" operator="equal">
      <formula>"✓"</formula>
    </cfRule>
    <cfRule type="cellIs" dxfId="550" priority="687" stopIfTrue="1" operator="equal">
      <formula>"✓"</formula>
    </cfRule>
    <cfRule type="cellIs" dxfId="549" priority="690" operator="equal">
      <formula>1</formula>
    </cfRule>
    <cfRule type="cellIs" dxfId="548" priority="693" stopIfTrue="1" operator="equal">
      <formula>"✓"</formula>
    </cfRule>
    <cfRule type="cellIs" dxfId="547" priority="689" operator="equal">
      <formula>0</formula>
    </cfRule>
    <cfRule type="cellIs" dxfId="546" priority="694" operator="between">
      <formula>0.01</formula>
      <formula>0.99</formula>
    </cfRule>
  </conditionalFormatting>
  <conditionalFormatting sqref="AV116:AV131">
    <cfRule type="cellIs" dxfId="545" priority="672" operator="equal">
      <formula>#REF!</formula>
    </cfRule>
    <cfRule type="cellIs" dxfId="544" priority="671" stopIfTrue="1" operator="equal">
      <formula>"✓"</formula>
    </cfRule>
    <cfRule type="cellIs" dxfId="543" priority="670" operator="equal">
      <formula>1</formula>
    </cfRule>
    <cfRule type="cellIs" dxfId="542" priority="669" operator="equal">
      <formula>0</formula>
    </cfRule>
    <cfRule type="cellIs" dxfId="541" priority="668" operator="between">
      <formula>0.01</formula>
      <formula>0.99</formula>
    </cfRule>
    <cfRule type="cellIs" dxfId="540" priority="667" stopIfTrue="1" operator="equal">
      <formula>"✓"</formula>
    </cfRule>
    <cfRule type="cellIs" dxfId="539" priority="666" operator="equal">
      <formula>#REF!</formula>
    </cfRule>
    <cfRule type="cellIs" dxfId="538" priority="665" stopIfTrue="1" operator="equal">
      <formula>"✓"</formula>
    </cfRule>
    <cfRule type="cellIs" dxfId="537" priority="663" operator="equal">
      <formula>0</formula>
    </cfRule>
    <cfRule type="cellIs" dxfId="536" priority="661" operator="equal">
      <formula>#REF!</formula>
    </cfRule>
    <cfRule type="cellIs" dxfId="535" priority="678" operator="equal">
      <formula>#REF!</formula>
    </cfRule>
    <cfRule type="cellIs" dxfId="534" priority="677" operator="equal">
      <formula>"✓."</formula>
    </cfRule>
    <cfRule type="cellIs" dxfId="533" priority="676" operator="equal">
      <formula>1</formula>
    </cfRule>
    <cfRule type="cellIs" dxfId="532" priority="675" operator="equal">
      <formula>0</formula>
    </cfRule>
    <cfRule type="cellIs" dxfId="531" priority="674" operator="between">
      <formula>0.01</formula>
      <formula>0.99</formula>
    </cfRule>
    <cfRule type="cellIs" dxfId="530" priority="673" stopIfTrue="1" operator="equal">
      <formula>"✓"</formula>
    </cfRule>
  </conditionalFormatting>
  <conditionalFormatting sqref="AV133:AV148">
    <cfRule type="cellIs" dxfId="529" priority="655" operator="between">
      <formula>0.01</formula>
      <formula>0.99</formula>
    </cfRule>
    <cfRule type="cellIs" dxfId="528" priority="658" operator="equal">
      <formula>"✓."</formula>
    </cfRule>
    <cfRule type="cellIs" dxfId="527" priority="657" operator="equal">
      <formula>1</formula>
    </cfRule>
    <cfRule type="cellIs" dxfId="526" priority="656" operator="equal">
      <formula>0</formula>
    </cfRule>
    <cfRule type="cellIs" dxfId="525" priority="654" stopIfTrue="1" operator="equal">
      <formula>"✓"</formula>
    </cfRule>
    <cfRule type="cellIs" dxfId="524" priority="653" operator="equal">
      <formula>#REF!</formula>
    </cfRule>
    <cfRule type="cellIs" dxfId="523" priority="652" stopIfTrue="1" operator="equal">
      <formula>"✓"</formula>
    </cfRule>
    <cfRule type="cellIs" dxfId="522" priority="651" operator="equal">
      <formula>1</formula>
    </cfRule>
    <cfRule type="cellIs" dxfId="521" priority="650" operator="equal">
      <formula>0</formula>
    </cfRule>
    <cfRule type="cellIs" dxfId="520" priority="649" operator="between">
      <formula>0.01</formula>
      <formula>0.99</formula>
    </cfRule>
    <cfRule type="cellIs" dxfId="519" priority="648" stopIfTrue="1" operator="equal">
      <formula>"✓"</formula>
    </cfRule>
    <cfRule type="cellIs" dxfId="518" priority="647" operator="equal">
      <formula>#REF!</formula>
    </cfRule>
    <cfRule type="cellIs" dxfId="517" priority="646" stopIfTrue="1" operator="equal">
      <formula>"✓"</formula>
    </cfRule>
    <cfRule type="cellIs" dxfId="516" priority="644" operator="equal">
      <formula>0</formula>
    </cfRule>
    <cfRule type="cellIs" dxfId="515" priority="642" operator="equal">
      <formula>#REF!</formula>
    </cfRule>
  </conditionalFormatting>
  <conditionalFormatting sqref="AV150:AV165">
    <cfRule type="cellIs" dxfId="514" priority="630" operator="equal">
      <formula>0</formula>
    </cfRule>
    <cfRule type="cellIs" dxfId="513" priority="638" operator="equal">
      <formula>"✓."</formula>
    </cfRule>
    <cfRule type="cellIs" dxfId="512" priority="637" operator="equal">
      <formula>1</formula>
    </cfRule>
    <cfRule type="cellIs" dxfId="511" priority="636" operator="equal">
      <formula>0</formula>
    </cfRule>
    <cfRule type="cellIs" dxfId="510" priority="631" operator="equal">
      <formula>1</formula>
    </cfRule>
    <cfRule type="cellIs" dxfId="509" priority="634" stopIfTrue="1" operator="equal">
      <formula>"✓"</formula>
    </cfRule>
    <cfRule type="cellIs" dxfId="508" priority="633" operator="equal">
      <formula>#REF!</formula>
    </cfRule>
    <cfRule type="cellIs" dxfId="507" priority="626" stopIfTrue="1" operator="equal">
      <formula>"✓"</formula>
    </cfRule>
    <cfRule type="cellIs" dxfId="506" priority="632" stopIfTrue="1" operator="equal">
      <formula>"✓"</formula>
    </cfRule>
    <cfRule type="cellIs" dxfId="505" priority="635" operator="between">
      <formula>0.01</formula>
      <formula>0.99</formula>
    </cfRule>
    <cfRule type="cellIs" dxfId="504" priority="622" operator="equal">
      <formula>#REF!</formula>
    </cfRule>
    <cfRule type="cellIs" dxfId="503" priority="624" operator="equal">
      <formula>0</formula>
    </cfRule>
    <cfRule type="cellIs" dxfId="502" priority="639" operator="equal">
      <formula>#REF!</formula>
    </cfRule>
    <cfRule type="cellIs" dxfId="501" priority="627" operator="equal">
      <formula>#REF!</formula>
    </cfRule>
    <cfRule type="cellIs" dxfId="500" priority="628" stopIfTrue="1" operator="equal">
      <formula>"✓"</formula>
    </cfRule>
    <cfRule type="cellIs" dxfId="499" priority="629" operator="between">
      <formula>0.01</formula>
      <formula>0.99</formula>
    </cfRule>
  </conditionalFormatting>
  <conditionalFormatting sqref="AV167:AV182">
    <cfRule type="cellIs" dxfId="498" priority="610" operator="equal">
      <formula>0</formula>
    </cfRule>
    <cfRule type="cellIs" dxfId="497" priority="609" operator="between">
      <formula>0.01</formula>
      <formula>0.99</formula>
    </cfRule>
    <cfRule type="cellIs" dxfId="496" priority="608" stopIfTrue="1" operator="equal">
      <formula>"✓"</formula>
    </cfRule>
    <cfRule type="cellIs" dxfId="495" priority="607" operator="equal">
      <formula>#REF!</formula>
    </cfRule>
    <cfRule type="cellIs" dxfId="494" priority="606" stopIfTrue="1" operator="equal">
      <formula>"✓"</formula>
    </cfRule>
    <cfRule type="cellIs" dxfId="493" priority="605" operator="equal">
      <formula>0</formula>
    </cfRule>
    <cfRule type="cellIs" dxfId="492" priority="604" operator="equal">
      <formula>#REF!</formula>
    </cfRule>
    <cfRule type="cellIs" dxfId="491" priority="611" operator="equal">
      <formula>1</formula>
    </cfRule>
    <cfRule type="cellIs" dxfId="490" priority="619" operator="equal">
      <formula>#REF!</formula>
    </cfRule>
    <cfRule type="cellIs" dxfId="489" priority="618" operator="equal">
      <formula>"✓."</formula>
    </cfRule>
    <cfRule type="cellIs" dxfId="488" priority="617" operator="equal">
      <formula>1</formula>
    </cfRule>
    <cfRule type="cellIs" dxfId="487" priority="616" operator="equal">
      <formula>0</formula>
    </cfRule>
    <cfRule type="cellIs" dxfId="486" priority="615" operator="between">
      <formula>0.01</formula>
      <formula>0.99</formula>
    </cfRule>
    <cfRule type="cellIs" dxfId="485" priority="614" stopIfTrue="1" operator="equal">
      <formula>"✓"</formula>
    </cfRule>
    <cfRule type="cellIs" dxfId="484" priority="613" operator="equal">
      <formula>#REF!</formula>
    </cfRule>
    <cfRule type="cellIs" dxfId="483" priority="612" stopIfTrue="1" operator="equal">
      <formula>"✓"</formula>
    </cfRule>
  </conditionalFormatting>
  <conditionalFormatting sqref="AV82:AY97 BA82:BC97">
    <cfRule type="cellIs" dxfId="482" priority="563" operator="equal">
      <formula>#REF!</formula>
    </cfRule>
    <cfRule type="cellIs" dxfId="481" priority="561" operator="equal">
      <formula>"✓."</formula>
    </cfRule>
  </conditionalFormatting>
  <conditionalFormatting sqref="AV99:AY114">
    <cfRule type="cellIs" dxfId="480" priority="699" stopIfTrue="1" operator="equal">
      <formula>"✓"</formula>
    </cfRule>
  </conditionalFormatting>
  <conditionalFormatting sqref="AV116:AY131">
    <cfRule type="cellIs" dxfId="479" priority="679" stopIfTrue="1" operator="equal">
      <formula>"✓"</formula>
    </cfRule>
  </conditionalFormatting>
  <conditionalFormatting sqref="AV133:AY148">
    <cfRule type="cellIs" dxfId="478" priority="659" operator="equal">
      <formula>#REF!</formula>
    </cfRule>
  </conditionalFormatting>
  <conditionalFormatting sqref="AV150:AY165">
    <cfRule type="cellIs" dxfId="477" priority="289" operator="equal">
      <formula>"✓."</formula>
    </cfRule>
    <cfRule type="cellIs" dxfId="476" priority="640" stopIfTrue="1" operator="equal">
      <formula>"✓"</formula>
    </cfRule>
  </conditionalFormatting>
  <conditionalFormatting sqref="AV167:AY182">
    <cfRule type="cellIs" dxfId="475" priority="620" stopIfTrue="1" operator="equal">
      <formula>"✓"</formula>
    </cfRule>
  </conditionalFormatting>
  <conditionalFormatting sqref="AW82:AY97 BA82:BC97">
    <cfRule type="cellIs" dxfId="474" priority="562" stopIfTrue="1" operator="equal">
      <formula>"✓"</formula>
    </cfRule>
  </conditionalFormatting>
  <conditionalFormatting sqref="AW99:AY114 AW133:AY148">
    <cfRule type="cellIs" dxfId="473" priority="950" stopIfTrue="1" operator="equal">
      <formula>"✓"</formula>
    </cfRule>
    <cfRule type="cellIs" dxfId="472" priority="949" operator="equal">
      <formula>"✓."</formula>
    </cfRule>
  </conditionalFormatting>
  <conditionalFormatting sqref="AW99:AY114">
    <cfRule type="cellIs" dxfId="471" priority="324" operator="between">
      <formula>0.01</formula>
      <formula>0.99</formula>
    </cfRule>
    <cfRule type="cellIs" dxfId="470" priority="328" stopIfTrue="1" operator="equal">
      <formula>"✓"</formula>
    </cfRule>
    <cfRule type="cellIs" dxfId="469" priority="325" operator="equal">
      <formula>0</formula>
    </cfRule>
    <cfRule type="cellIs" dxfId="468" priority="327" operator="equal">
      <formula>"✓."</formula>
    </cfRule>
    <cfRule type="cellIs" dxfId="467" priority="326" operator="equal">
      <formula>1</formula>
    </cfRule>
  </conditionalFormatting>
  <conditionalFormatting sqref="AW116:AY131">
    <cfRule type="cellIs" dxfId="466" priority="305" operator="between">
      <formula>0.01</formula>
      <formula>0.99</formula>
    </cfRule>
    <cfRule type="cellIs" dxfId="465" priority="306" operator="equal">
      <formula>0</formula>
    </cfRule>
    <cfRule type="cellIs" dxfId="464" priority="307" operator="equal">
      <formula>1</formula>
    </cfRule>
    <cfRule type="cellIs" dxfId="463" priority="308" operator="equal">
      <formula>"✓."</formula>
    </cfRule>
    <cfRule type="cellIs" dxfId="462" priority="309" stopIfTrue="1" operator="equal">
      <formula>"✓"</formula>
    </cfRule>
    <cfRule type="cellIs" dxfId="461" priority="944" operator="equal">
      <formula>"✓."</formula>
    </cfRule>
    <cfRule type="cellIs" dxfId="460" priority="943" operator="equal">
      <formula>1</formula>
    </cfRule>
    <cfRule type="cellIs" dxfId="459" priority="942" operator="equal">
      <formula>0</formula>
    </cfRule>
    <cfRule type="cellIs" dxfId="458" priority="941" operator="between">
      <formula>0.01</formula>
      <formula>0.99</formula>
    </cfRule>
    <cfRule type="cellIs" dxfId="457" priority="945" stopIfTrue="1" operator="equal">
      <formula>"✓"</formula>
    </cfRule>
  </conditionalFormatting>
  <conditionalFormatting sqref="AW133:AY148 AW99:AY114">
    <cfRule type="cellIs" dxfId="456" priority="947" operator="equal">
      <formula>0</formula>
    </cfRule>
    <cfRule type="cellIs" dxfId="455" priority="946" operator="between">
      <formula>0.01</formula>
      <formula>0.99</formula>
    </cfRule>
    <cfRule type="cellIs" dxfId="454" priority="948" operator="equal">
      <formula>1</formula>
    </cfRule>
  </conditionalFormatting>
  <conditionalFormatting sqref="AW150:AY165">
    <cfRule type="cellIs" dxfId="453" priority="936" operator="between">
      <formula>0.01</formula>
      <formula>0.99</formula>
    </cfRule>
    <cfRule type="cellIs" dxfId="452" priority="937" operator="equal">
      <formula>0</formula>
    </cfRule>
    <cfRule type="cellIs" dxfId="451" priority="938" operator="equal">
      <formula>1</formula>
    </cfRule>
    <cfRule type="cellIs" dxfId="450" priority="939" operator="equal">
      <formula>"✓."</formula>
    </cfRule>
    <cfRule type="cellIs" dxfId="449" priority="940" stopIfTrue="1" operator="equal">
      <formula>"✓"</formula>
    </cfRule>
    <cfRule type="cellIs" dxfId="448" priority="290" stopIfTrue="1" operator="equal">
      <formula>"✓"</formula>
    </cfRule>
    <cfRule type="cellIs" dxfId="447" priority="287" operator="equal">
      <formula>0</formula>
    </cfRule>
  </conditionalFormatting>
  <conditionalFormatting sqref="AW167:AY182 BA167:BC182">
    <cfRule type="cellIs" dxfId="446" priority="930" operator="equal">
      <formula>1</formula>
    </cfRule>
    <cfRule type="cellIs" dxfId="445" priority="931" operator="equal">
      <formula>"✓."</formula>
    </cfRule>
    <cfRule type="cellIs" dxfId="444" priority="932" stopIfTrue="1" operator="equal">
      <formula>"✓"</formula>
    </cfRule>
    <cfRule type="cellIs" dxfId="443" priority="929" operator="equal">
      <formula>0</formula>
    </cfRule>
    <cfRule type="cellIs" dxfId="442" priority="928" operator="between">
      <formula>0.01</formula>
      <formula>0.99</formula>
    </cfRule>
  </conditionalFormatting>
  <conditionalFormatting sqref="AW167:AY182">
    <cfRule type="cellIs" dxfId="441" priority="599" stopIfTrue="1" operator="equal">
      <formula>"✓"</formula>
    </cfRule>
  </conditionalFormatting>
  <conditionalFormatting sqref="AW82:AZ97">
    <cfRule type="cellIs" dxfId="440" priority="151" operator="equal">
      <formula>1</formula>
    </cfRule>
    <cfRule type="cellIs" dxfId="439" priority="154" stopIfTrue="1" operator="equal">
      <formula>"✓"</formula>
    </cfRule>
    <cfRule type="cellIs" dxfId="438" priority="150" operator="equal">
      <formula>0</formula>
    </cfRule>
    <cfRule type="cellIs" dxfId="437" priority="149" operator="between">
      <formula>0.01</formula>
      <formula>0.99</formula>
    </cfRule>
  </conditionalFormatting>
  <conditionalFormatting sqref="AW99:AZ114">
    <cfRule type="cellIs" dxfId="436" priority="130" operator="equal">
      <formula>0</formula>
    </cfRule>
    <cfRule type="cellIs" dxfId="435" priority="129" operator="between">
      <formula>0.01</formula>
      <formula>0.99</formula>
    </cfRule>
    <cfRule type="cellIs" dxfId="434" priority="134" stopIfTrue="1" operator="equal">
      <formula>"✓"</formula>
    </cfRule>
    <cfRule type="cellIs" dxfId="433" priority="131" operator="equal">
      <formula>1</formula>
    </cfRule>
  </conditionalFormatting>
  <conditionalFormatting sqref="AW116:AZ131">
    <cfRule type="cellIs" dxfId="432" priority="109" operator="between">
      <formula>0.01</formula>
      <formula>0.99</formula>
    </cfRule>
    <cfRule type="cellIs" dxfId="431" priority="110" operator="equal">
      <formula>0</formula>
    </cfRule>
    <cfRule type="cellIs" dxfId="430" priority="111" operator="equal">
      <formula>1</formula>
    </cfRule>
    <cfRule type="cellIs" dxfId="429" priority="114" stopIfTrue="1" operator="equal">
      <formula>"✓"</formula>
    </cfRule>
  </conditionalFormatting>
  <conditionalFormatting sqref="AW150:AZ165">
    <cfRule type="cellIs" dxfId="428" priority="49" operator="between">
      <formula>0.01</formula>
      <formula>0.99</formula>
    </cfRule>
    <cfRule type="cellIs" dxfId="427" priority="50" operator="equal">
      <formula>0</formula>
    </cfRule>
    <cfRule type="cellIs" dxfId="426" priority="54" stopIfTrue="1" operator="equal">
      <formula>"✓"</formula>
    </cfRule>
    <cfRule type="cellIs" dxfId="425" priority="51" operator="equal">
      <formula>1</formula>
    </cfRule>
  </conditionalFormatting>
  <conditionalFormatting sqref="AW167:AZ182">
    <cfRule type="cellIs" dxfId="424" priority="30" operator="equal">
      <formula>0</formula>
    </cfRule>
  </conditionalFormatting>
  <conditionalFormatting sqref="AZ14:AZ29">
    <cfRule type="cellIs" dxfId="423" priority="220" stopIfTrue="1" operator="equal">
      <formula>"✓"</formula>
    </cfRule>
    <cfRule type="cellIs" dxfId="422" priority="221" operator="equal">
      <formula>#REF!</formula>
    </cfRule>
    <cfRule type="cellIs" dxfId="421" priority="222" stopIfTrue="1" operator="equal">
      <formula>"✓"</formula>
    </cfRule>
    <cfRule type="cellIs" dxfId="420" priority="223" operator="between">
      <formula>0.01</formula>
      <formula>0.99</formula>
    </cfRule>
    <cfRule type="cellIs" dxfId="419" priority="224" operator="equal">
      <formula>0</formula>
    </cfRule>
    <cfRule type="cellIs" dxfId="418" priority="225" operator="equal">
      <formula>1</formula>
    </cfRule>
    <cfRule type="cellIs" dxfId="417" priority="226" stopIfTrue="1" operator="equal">
      <formula>"✓"</formula>
    </cfRule>
    <cfRule type="cellIs" dxfId="416" priority="233" operator="equal">
      <formula>#REF!</formula>
    </cfRule>
    <cfRule type="cellIs" dxfId="415" priority="229" operator="between">
      <formula>0.01</formula>
      <formula>0.99</formula>
    </cfRule>
    <cfRule type="cellIs" dxfId="414" priority="218" operator="equal">
      <formula>#REF!</formula>
    </cfRule>
    <cfRule type="cellIs" dxfId="413" priority="217" operator="equal">
      <formula>"✓."</formula>
    </cfRule>
    <cfRule type="cellIs" dxfId="412" priority="216" operator="equal">
      <formula>1</formula>
    </cfRule>
    <cfRule type="cellIs" dxfId="411" priority="231" operator="equal">
      <formula>1</formula>
    </cfRule>
    <cfRule type="cellIs" dxfId="410" priority="230" operator="equal">
      <formula>0</formula>
    </cfRule>
    <cfRule type="cellIs" dxfId="409" priority="228" stopIfTrue="1" operator="equal">
      <formula>"✓"</formula>
    </cfRule>
    <cfRule type="cellIs" dxfId="408" priority="227" operator="equal">
      <formula>#REF!</formula>
    </cfRule>
    <cfRule type="cellIs" dxfId="407" priority="215" operator="between">
      <formula>0.01</formula>
      <formula>0.99</formula>
    </cfRule>
    <cfRule type="cellIs" dxfId="406" priority="234" stopIfTrue="1" operator="equal">
      <formula>"✓"</formula>
    </cfRule>
    <cfRule type="cellIs" dxfId="405" priority="232" operator="equal">
      <formula>"✓."</formula>
    </cfRule>
    <cfRule type="cellIs" dxfId="404" priority="219" operator="equal">
      <formula>0</formula>
    </cfRule>
  </conditionalFormatting>
  <conditionalFormatting sqref="AZ31:AZ46">
    <cfRule type="cellIs" dxfId="403" priority="203" operator="between">
      <formula>0.01</formula>
      <formula>0.99</formula>
    </cfRule>
    <cfRule type="cellIs" dxfId="402" priority="204" operator="equal">
      <formula>0</formula>
    </cfRule>
    <cfRule type="cellIs" dxfId="401" priority="205" operator="equal">
      <formula>1</formula>
    </cfRule>
    <cfRule type="cellIs" dxfId="400" priority="206" stopIfTrue="1" operator="equal">
      <formula>"✓"</formula>
    </cfRule>
    <cfRule type="cellIs" dxfId="399" priority="207" operator="equal">
      <formula>#REF!</formula>
    </cfRule>
    <cfRule type="cellIs" dxfId="398" priority="208" stopIfTrue="1" operator="equal">
      <formula>"✓"</formula>
    </cfRule>
    <cfRule type="cellIs" dxfId="397" priority="210" operator="equal">
      <formula>0</formula>
    </cfRule>
    <cfRule type="cellIs" dxfId="396" priority="211" operator="equal">
      <formula>1</formula>
    </cfRule>
    <cfRule type="cellIs" dxfId="395" priority="212" operator="equal">
      <formula>"✓."</formula>
    </cfRule>
    <cfRule type="cellIs" dxfId="394" priority="213" operator="equal">
      <formula>#REF!</formula>
    </cfRule>
    <cfRule type="cellIs" dxfId="393" priority="214" stopIfTrue="1" operator="equal">
      <formula>"✓"</formula>
    </cfRule>
    <cfRule type="cellIs" dxfId="392" priority="195" operator="between">
      <formula>0.01</formula>
      <formula>0.99</formula>
    </cfRule>
    <cfRule type="cellIs" dxfId="391" priority="196" operator="equal">
      <formula>1</formula>
    </cfRule>
    <cfRule type="cellIs" dxfId="390" priority="197" operator="equal">
      <formula>"✓."</formula>
    </cfRule>
    <cfRule type="cellIs" dxfId="389" priority="198" operator="equal">
      <formula>#REF!</formula>
    </cfRule>
    <cfRule type="cellIs" dxfId="388" priority="199" operator="equal">
      <formula>0</formula>
    </cfRule>
    <cfRule type="cellIs" dxfId="387" priority="200" stopIfTrue="1" operator="equal">
      <formula>"✓"</formula>
    </cfRule>
    <cfRule type="cellIs" dxfId="386" priority="201" operator="equal">
      <formula>#REF!</formula>
    </cfRule>
    <cfRule type="cellIs" dxfId="385" priority="209" operator="between">
      <formula>0.01</formula>
      <formula>0.99</formula>
    </cfRule>
    <cfRule type="cellIs" dxfId="384" priority="202" stopIfTrue="1" operator="equal">
      <formula>"✓"</formula>
    </cfRule>
  </conditionalFormatting>
  <conditionalFormatting sqref="AZ48:AZ63">
    <cfRule type="cellIs" dxfId="383" priority="191" operator="equal">
      <formula>1</formula>
    </cfRule>
    <cfRule type="cellIs" dxfId="382" priority="190" operator="equal">
      <formula>0</formula>
    </cfRule>
    <cfRule type="cellIs" dxfId="381" priority="189" operator="between">
      <formula>0.01</formula>
      <formula>0.99</formula>
    </cfRule>
    <cfRule type="cellIs" dxfId="380" priority="188" stopIfTrue="1" operator="equal">
      <formula>"✓"</formula>
    </cfRule>
    <cfRule type="cellIs" dxfId="379" priority="187" operator="equal">
      <formula>#REF!</formula>
    </cfRule>
    <cfRule type="cellIs" dxfId="378" priority="182" stopIfTrue="1" operator="equal">
      <formula>"✓"</formula>
    </cfRule>
    <cfRule type="cellIs" dxfId="377" priority="183" operator="between">
      <formula>0.01</formula>
      <formula>0.99</formula>
    </cfRule>
    <cfRule type="cellIs" dxfId="376" priority="186" stopIfTrue="1" operator="equal">
      <formula>"✓"</formula>
    </cfRule>
    <cfRule type="cellIs" dxfId="375" priority="175" operator="between">
      <formula>0.01</formula>
      <formula>0.99</formula>
    </cfRule>
    <cfRule type="cellIs" dxfId="374" priority="177" operator="equal">
      <formula>"✓."</formula>
    </cfRule>
    <cfRule type="cellIs" dxfId="373" priority="184" operator="equal">
      <formula>0</formula>
    </cfRule>
    <cfRule type="cellIs" dxfId="372" priority="181" operator="equal">
      <formula>#REF!</formula>
    </cfRule>
    <cfRule type="cellIs" dxfId="371" priority="179" operator="equal">
      <formula>0</formula>
    </cfRule>
    <cfRule type="cellIs" dxfId="370" priority="180" stopIfTrue="1" operator="equal">
      <formula>"✓"</formula>
    </cfRule>
    <cfRule type="cellIs" dxfId="369" priority="185" operator="equal">
      <formula>1</formula>
    </cfRule>
    <cfRule type="cellIs" dxfId="368" priority="194" stopIfTrue="1" operator="equal">
      <formula>"✓"</formula>
    </cfRule>
    <cfRule type="cellIs" dxfId="367" priority="178" operator="equal">
      <formula>#REF!</formula>
    </cfRule>
    <cfRule type="cellIs" dxfId="366" priority="193" operator="equal">
      <formula>#REF!</formula>
    </cfRule>
    <cfRule type="cellIs" dxfId="365" priority="176" operator="equal">
      <formula>1</formula>
    </cfRule>
    <cfRule type="cellIs" dxfId="364" priority="192" operator="equal">
      <formula>"✓."</formula>
    </cfRule>
  </conditionalFormatting>
  <conditionalFormatting sqref="AZ65:AZ80">
    <cfRule type="cellIs" dxfId="363" priority="171" operator="equal">
      <formula>1</formula>
    </cfRule>
    <cfRule type="cellIs" dxfId="362" priority="170" operator="equal">
      <formula>0</formula>
    </cfRule>
    <cfRule type="cellIs" dxfId="361" priority="169" operator="between">
      <formula>0.01</formula>
      <formula>0.99</formula>
    </cfRule>
    <cfRule type="cellIs" dxfId="360" priority="168" stopIfTrue="1" operator="equal">
      <formula>"✓"</formula>
    </cfRule>
    <cfRule type="cellIs" dxfId="359" priority="167" operator="equal">
      <formula>#REF!</formula>
    </cfRule>
    <cfRule type="cellIs" dxfId="358" priority="166" stopIfTrue="1" operator="equal">
      <formula>"✓"</formula>
    </cfRule>
    <cfRule type="cellIs" dxfId="357" priority="165" operator="equal">
      <formula>1</formula>
    </cfRule>
    <cfRule type="cellIs" dxfId="356" priority="164" operator="equal">
      <formula>0</formula>
    </cfRule>
    <cfRule type="cellIs" dxfId="355" priority="163" operator="between">
      <formula>0.01</formula>
      <formula>0.99</formula>
    </cfRule>
    <cfRule type="cellIs" dxfId="354" priority="162" stopIfTrue="1" operator="equal">
      <formula>"✓"</formula>
    </cfRule>
    <cfRule type="cellIs" dxfId="353" priority="161" operator="equal">
      <formula>#REF!</formula>
    </cfRule>
    <cfRule type="cellIs" dxfId="352" priority="160" stopIfTrue="1" operator="equal">
      <formula>"✓"</formula>
    </cfRule>
    <cfRule type="cellIs" dxfId="351" priority="159" operator="equal">
      <formula>0</formula>
    </cfRule>
    <cfRule type="cellIs" dxfId="350" priority="158" operator="equal">
      <formula>#REF!</formula>
    </cfRule>
    <cfRule type="cellIs" dxfId="349" priority="157" operator="equal">
      <formula>"✓."</formula>
    </cfRule>
    <cfRule type="cellIs" dxfId="348" priority="156" operator="equal">
      <formula>1</formula>
    </cfRule>
    <cfRule type="cellIs" dxfId="347" priority="155" operator="between">
      <formula>0.01</formula>
      <formula>0.99</formula>
    </cfRule>
    <cfRule type="cellIs" dxfId="346" priority="174" stopIfTrue="1" operator="equal">
      <formula>"✓"</formula>
    </cfRule>
    <cfRule type="cellIs" dxfId="345" priority="173" operator="equal">
      <formula>#REF!</formula>
    </cfRule>
    <cfRule type="cellIs" dxfId="344" priority="172" operator="equal">
      <formula>"✓."</formula>
    </cfRule>
  </conditionalFormatting>
  <conditionalFormatting sqref="AZ82:AZ97">
    <cfRule type="cellIs" dxfId="343" priority="135" operator="between">
      <formula>0.01</formula>
      <formula>0.99</formula>
    </cfRule>
    <cfRule type="cellIs" dxfId="342" priority="143" operator="between">
      <formula>0.01</formula>
      <formula>0.99</formula>
    </cfRule>
    <cfRule type="cellIs" dxfId="341" priority="144" operator="equal">
      <formula>0</formula>
    </cfRule>
    <cfRule type="cellIs" dxfId="340" priority="139" operator="equal">
      <formula>0</formula>
    </cfRule>
    <cfRule type="cellIs" dxfId="339" priority="138" operator="equal">
      <formula>#REF!</formula>
    </cfRule>
    <cfRule type="cellIs" dxfId="338" priority="142" stopIfTrue="1" operator="equal">
      <formula>"✓"</formula>
    </cfRule>
    <cfRule type="cellIs" dxfId="337" priority="141" operator="equal">
      <formula>#REF!</formula>
    </cfRule>
    <cfRule type="cellIs" dxfId="336" priority="137" operator="equal">
      <formula>"✓."</formula>
    </cfRule>
    <cfRule type="cellIs" dxfId="335" priority="140" stopIfTrue="1" operator="equal">
      <formula>"✓"</formula>
    </cfRule>
    <cfRule type="cellIs" dxfId="334" priority="136" operator="equal">
      <formula>1</formula>
    </cfRule>
    <cfRule type="cellIs" dxfId="333" priority="145" operator="equal">
      <formula>1</formula>
    </cfRule>
    <cfRule type="cellIs" dxfId="332" priority="146" stopIfTrue="1" operator="equal">
      <formula>"✓"</formula>
    </cfRule>
    <cfRule type="cellIs" dxfId="331" priority="147" operator="equal">
      <formula>#REF!</formula>
    </cfRule>
    <cfRule type="cellIs" dxfId="330" priority="148" stopIfTrue="1" operator="equal">
      <formula>"✓"</formula>
    </cfRule>
    <cfRule type="cellIs" dxfId="329" priority="152" operator="equal">
      <formula>"✓."</formula>
    </cfRule>
    <cfRule type="cellIs" dxfId="328" priority="153" operator="equal">
      <formula>#REF!</formula>
    </cfRule>
  </conditionalFormatting>
  <conditionalFormatting sqref="AZ99:AZ114">
    <cfRule type="cellIs" dxfId="327" priority="126" stopIfTrue="1" operator="equal">
      <formula>"✓"</formula>
    </cfRule>
    <cfRule type="cellIs" dxfId="326" priority="127" operator="equal">
      <formula>#REF!</formula>
    </cfRule>
    <cfRule type="cellIs" dxfId="325" priority="128" stopIfTrue="1" operator="equal">
      <formula>"✓"</formula>
    </cfRule>
    <cfRule type="cellIs" dxfId="324" priority="132" operator="equal">
      <formula>"✓."</formula>
    </cfRule>
    <cfRule type="cellIs" dxfId="323" priority="133" operator="equal">
      <formula>#REF!</formula>
    </cfRule>
    <cfRule type="cellIs" dxfId="322" priority="115" operator="between">
      <formula>0.01</formula>
      <formula>0.99</formula>
    </cfRule>
    <cfRule type="cellIs" dxfId="321" priority="118" operator="equal">
      <formula>#REF!</formula>
    </cfRule>
    <cfRule type="cellIs" dxfId="320" priority="119" operator="equal">
      <formula>0</formula>
    </cfRule>
    <cfRule type="cellIs" dxfId="319" priority="116" operator="equal">
      <formula>1</formula>
    </cfRule>
    <cfRule type="cellIs" dxfId="318" priority="123" operator="between">
      <formula>0.01</formula>
      <formula>0.99</formula>
    </cfRule>
    <cfRule type="cellIs" dxfId="317" priority="117" operator="equal">
      <formula>"✓."</formula>
    </cfRule>
    <cfRule type="cellIs" dxfId="316" priority="120" stopIfTrue="1" operator="equal">
      <formula>"✓"</formula>
    </cfRule>
    <cfRule type="cellIs" dxfId="315" priority="121" operator="equal">
      <formula>#REF!</formula>
    </cfRule>
    <cfRule type="cellIs" dxfId="314" priority="122" stopIfTrue="1" operator="equal">
      <formula>"✓"</formula>
    </cfRule>
    <cfRule type="cellIs" dxfId="313" priority="124" operator="equal">
      <formula>0</formula>
    </cfRule>
    <cfRule type="cellIs" dxfId="312" priority="125" operator="equal">
      <formula>1</formula>
    </cfRule>
  </conditionalFormatting>
  <conditionalFormatting sqref="AZ116:AZ131">
    <cfRule type="cellIs" dxfId="311" priority="102" stopIfTrue="1" operator="equal">
      <formula>"✓"</formula>
    </cfRule>
    <cfRule type="cellIs" dxfId="310" priority="101" operator="equal">
      <formula>#REF!</formula>
    </cfRule>
    <cfRule type="cellIs" dxfId="309" priority="112" operator="equal">
      <formula>"✓."</formula>
    </cfRule>
    <cfRule type="cellIs" dxfId="308" priority="113" operator="equal">
      <formula>#REF!</formula>
    </cfRule>
    <cfRule type="cellIs" dxfId="307" priority="95" operator="between">
      <formula>0.01</formula>
      <formula>0.99</formula>
    </cfRule>
    <cfRule type="cellIs" dxfId="306" priority="96" operator="equal">
      <formula>1</formula>
    </cfRule>
    <cfRule type="cellIs" dxfId="305" priority="97" operator="equal">
      <formula>"✓."</formula>
    </cfRule>
    <cfRule type="cellIs" dxfId="304" priority="100" stopIfTrue="1" operator="equal">
      <formula>"✓"</formula>
    </cfRule>
    <cfRule type="cellIs" dxfId="303" priority="98" operator="equal">
      <formula>#REF!</formula>
    </cfRule>
    <cfRule type="cellIs" dxfId="302" priority="108" stopIfTrue="1" operator="equal">
      <formula>"✓"</formula>
    </cfRule>
    <cfRule type="cellIs" dxfId="301" priority="107" operator="equal">
      <formula>#REF!</formula>
    </cfRule>
    <cfRule type="cellIs" dxfId="300" priority="106" stopIfTrue="1" operator="equal">
      <formula>"✓"</formula>
    </cfRule>
    <cfRule type="cellIs" dxfId="299" priority="105" operator="equal">
      <formula>1</formula>
    </cfRule>
    <cfRule type="cellIs" dxfId="298" priority="104" operator="equal">
      <formula>0</formula>
    </cfRule>
    <cfRule type="cellIs" dxfId="297" priority="103" operator="between">
      <formula>0.01</formula>
      <formula>0.99</formula>
    </cfRule>
    <cfRule type="cellIs" dxfId="296" priority="99" operator="equal">
      <formula>0</formula>
    </cfRule>
  </conditionalFormatting>
  <conditionalFormatting sqref="AZ133:AZ144">
    <cfRule type="cellIs" dxfId="295" priority="86" stopIfTrue="1" operator="equal">
      <formula>"✓"</formula>
    </cfRule>
    <cfRule type="cellIs" dxfId="294" priority="85" operator="equal">
      <formula>1</formula>
    </cfRule>
    <cfRule type="cellIs" dxfId="293" priority="84" operator="equal">
      <formula>0</formula>
    </cfRule>
    <cfRule type="cellIs" dxfId="292" priority="83" operator="between">
      <formula>0.01</formula>
      <formula>0.99</formula>
    </cfRule>
    <cfRule type="cellIs" dxfId="291" priority="81" operator="equal">
      <formula>#REF!</formula>
    </cfRule>
    <cfRule type="cellIs" dxfId="290" priority="80" stopIfTrue="1" operator="equal">
      <formula>"✓"</formula>
    </cfRule>
    <cfRule type="cellIs" dxfId="289" priority="79" operator="equal">
      <formula>0</formula>
    </cfRule>
    <cfRule type="cellIs" dxfId="288" priority="82" stopIfTrue="1" operator="equal">
      <formula>"✓"</formula>
    </cfRule>
    <cfRule type="cellIs" dxfId="287" priority="94" stopIfTrue="1" operator="equal">
      <formula>"✓"</formula>
    </cfRule>
    <cfRule type="cellIs" dxfId="286" priority="93" operator="equal">
      <formula>#REF!</formula>
    </cfRule>
    <cfRule type="cellIs" dxfId="285" priority="92" operator="equal">
      <formula>"✓."</formula>
    </cfRule>
    <cfRule type="cellIs" dxfId="284" priority="91" operator="equal">
      <formula>1</formula>
    </cfRule>
    <cfRule type="cellIs" dxfId="283" priority="90" operator="equal">
      <formula>0</formula>
    </cfRule>
    <cfRule type="cellIs" dxfId="282" priority="89" operator="between">
      <formula>0.01</formula>
      <formula>0.99</formula>
    </cfRule>
    <cfRule type="cellIs" dxfId="281" priority="88" stopIfTrue="1" operator="equal">
      <formula>"✓"</formula>
    </cfRule>
    <cfRule type="cellIs" dxfId="280" priority="87" operator="equal">
      <formula>#REF!</formula>
    </cfRule>
  </conditionalFormatting>
  <conditionalFormatting sqref="AZ133:AZ148">
    <cfRule type="cellIs" dxfId="279" priority="72" operator="equal">
      <formula>"✓."</formula>
    </cfRule>
    <cfRule type="cellIs" dxfId="278" priority="71" operator="equal">
      <formula>1</formula>
    </cfRule>
    <cfRule type="cellIs" dxfId="277" priority="69" operator="between">
      <formula>0.01</formula>
      <formula>0.99</formula>
    </cfRule>
    <cfRule type="cellIs" dxfId="276" priority="73" operator="equal">
      <formula>#REF!</formula>
    </cfRule>
  </conditionalFormatting>
  <conditionalFormatting sqref="AZ145:AZ148">
    <cfRule type="cellIs" dxfId="275" priority="66" stopIfTrue="1" operator="equal">
      <formula>"✓"</formula>
    </cfRule>
    <cfRule type="cellIs" dxfId="274" priority="70" operator="equal">
      <formula>0</formula>
    </cfRule>
    <cfRule type="cellIs" dxfId="273" priority="74" stopIfTrue="1" operator="equal">
      <formula>"✓"</formula>
    </cfRule>
    <cfRule type="cellIs" dxfId="272" priority="68" stopIfTrue="1" operator="equal">
      <formula>"✓"</formula>
    </cfRule>
    <cfRule type="cellIs" dxfId="271" priority="67" operator="equal">
      <formula>#REF!</formula>
    </cfRule>
    <cfRule type="cellIs" dxfId="270" priority="65" operator="equal">
      <formula>1</formula>
    </cfRule>
    <cfRule type="cellIs" dxfId="269" priority="64" operator="equal">
      <formula>0</formula>
    </cfRule>
    <cfRule type="cellIs" dxfId="268" priority="62" stopIfTrue="1" operator="equal">
      <formula>"✓"</formula>
    </cfRule>
    <cfRule type="cellIs" dxfId="267" priority="61" operator="equal">
      <formula>#REF!</formula>
    </cfRule>
    <cfRule type="cellIs" dxfId="266" priority="60" stopIfTrue="1" operator="equal">
      <formula>"✓"</formula>
    </cfRule>
    <cfRule type="cellIs" dxfId="265" priority="59" operator="equal">
      <formula>0</formula>
    </cfRule>
    <cfRule type="cellIs" dxfId="264" priority="58" operator="equal">
      <formula>#REF!</formula>
    </cfRule>
    <cfRule type="cellIs" dxfId="263" priority="57" operator="equal">
      <formula>"✓."</formula>
    </cfRule>
    <cfRule type="cellIs" dxfId="262" priority="63" operator="between">
      <formula>0.01</formula>
      <formula>0.99</formula>
    </cfRule>
    <cfRule type="cellIs" dxfId="261" priority="56" operator="equal">
      <formula>1</formula>
    </cfRule>
    <cfRule type="cellIs" dxfId="260" priority="55" operator="between">
      <formula>0.01</formula>
      <formula>0.99</formula>
    </cfRule>
  </conditionalFormatting>
  <conditionalFormatting sqref="AZ150:AZ165">
    <cfRule type="cellIs" dxfId="259" priority="45" operator="equal">
      <formula>1</formula>
    </cfRule>
    <cfRule type="cellIs" dxfId="258" priority="53" operator="equal">
      <formula>#REF!</formula>
    </cfRule>
    <cfRule type="cellIs" dxfId="257" priority="52" operator="equal">
      <formula>"✓."</formula>
    </cfRule>
    <cfRule type="cellIs" dxfId="256" priority="48" stopIfTrue="1" operator="equal">
      <formula>"✓"</formula>
    </cfRule>
    <cfRule type="cellIs" dxfId="255" priority="47" operator="equal">
      <formula>#REF!</formula>
    </cfRule>
    <cfRule type="cellIs" dxfId="254" priority="46" stopIfTrue="1" operator="equal">
      <formula>"✓"</formula>
    </cfRule>
    <cfRule type="cellIs" dxfId="253" priority="44" operator="equal">
      <formula>0</formula>
    </cfRule>
    <cfRule type="cellIs" dxfId="252" priority="43" operator="between">
      <formula>0.01</formula>
      <formula>0.99</formula>
    </cfRule>
    <cfRule type="cellIs" dxfId="251" priority="42" stopIfTrue="1" operator="equal">
      <formula>"✓"</formula>
    </cfRule>
    <cfRule type="cellIs" dxfId="250" priority="41" operator="equal">
      <formula>#REF!</formula>
    </cfRule>
    <cfRule type="cellIs" dxfId="249" priority="40" stopIfTrue="1" operator="equal">
      <formula>"✓"</formula>
    </cfRule>
    <cfRule type="cellIs" dxfId="248" priority="39" operator="equal">
      <formula>0</formula>
    </cfRule>
    <cfRule type="cellIs" dxfId="247" priority="38" operator="equal">
      <formula>#REF!</formula>
    </cfRule>
    <cfRule type="cellIs" dxfId="246" priority="37" operator="equal">
      <formula>"✓."</formula>
    </cfRule>
    <cfRule type="cellIs" dxfId="245" priority="36" operator="equal">
      <formula>1</formula>
    </cfRule>
    <cfRule type="cellIs" dxfId="244" priority="35" operator="between">
      <formula>0.01</formula>
      <formula>0.99</formula>
    </cfRule>
  </conditionalFormatting>
  <conditionalFormatting sqref="AZ167:AZ182">
    <cfRule type="cellIs" dxfId="243" priority="29" operator="between">
      <formula>0.01</formula>
      <formula>0.99</formula>
    </cfRule>
    <cfRule type="cellIs" dxfId="242" priority="31" operator="equal">
      <formula>1</formula>
    </cfRule>
    <cfRule type="cellIs" dxfId="241" priority="15" operator="between">
      <formula>0.01</formula>
      <formula>0.99</formula>
    </cfRule>
    <cfRule type="cellIs" dxfId="240" priority="32" operator="equal">
      <formula>"✓."</formula>
    </cfRule>
    <cfRule type="cellIs" dxfId="239" priority="33" operator="equal">
      <formula>#REF!</formula>
    </cfRule>
    <cfRule type="cellIs" dxfId="238" priority="34" stopIfTrue="1" operator="equal">
      <formula>"✓"</formula>
    </cfRule>
    <cfRule type="cellIs" dxfId="237" priority="16" operator="equal">
      <formula>1</formula>
    </cfRule>
    <cfRule type="cellIs" dxfId="236" priority="17" operator="equal">
      <formula>"✓."</formula>
    </cfRule>
    <cfRule type="cellIs" dxfId="235" priority="18" operator="equal">
      <formula>#REF!</formula>
    </cfRule>
    <cfRule type="cellIs" dxfId="234" priority="19" operator="equal">
      <formula>0</formula>
    </cfRule>
    <cfRule type="cellIs" dxfId="233" priority="20" stopIfTrue="1" operator="equal">
      <formula>"✓"</formula>
    </cfRule>
    <cfRule type="cellIs" dxfId="232" priority="21" operator="equal">
      <formula>#REF!</formula>
    </cfRule>
    <cfRule type="cellIs" dxfId="231" priority="22" stopIfTrue="1" operator="equal">
      <formula>"✓"</formula>
    </cfRule>
    <cfRule type="cellIs" dxfId="230" priority="23" operator="between">
      <formula>0.01</formula>
      <formula>0.99</formula>
    </cfRule>
    <cfRule type="cellIs" dxfId="229" priority="24" operator="equal">
      <formula>0</formula>
    </cfRule>
    <cfRule type="cellIs" dxfId="228" priority="25" operator="equal">
      <formula>1</formula>
    </cfRule>
    <cfRule type="cellIs" dxfId="227" priority="26" stopIfTrue="1" operator="equal">
      <formula>"✓"</formula>
    </cfRule>
    <cfRule type="cellIs" dxfId="226" priority="27" operator="equal">
      <formula>#REF!</formula>
    </cfRule>
    <cfRule type="cellIs" dxfId="225" priority="28" stopIfTrue="1" operator="equal">
      <formula>"✓"</formula>
    </cfRule>
  </conditionalFormatting>
  <conditionalFormatting sqref="BA82:BC97 AW82:AY97">
    <cfRule type="cellIs" dxfId="224" priority="559" operator="equal">
      <formula>0</formula>
    </cfRule>
  </conditionalFormatting>
  <conditionalFormatting sqref="BA82:BC97">
    <cfRule type="cellIs" dxfId="223" priority="558" operator="between">
      <formula>0.01</formula>
      <formula>0.99</formula>
    </cfRule>
    <cfRule type="cellIs" dxfId="222" priority="560" operator="equal">
      <formula>1</formula>
    </cfRule>
  </conditionalFormatting>
  <conditionalFormatting sqref="BA99:BC114">
    <cfRule type="cellIs" dxfId="221" priority="569" operator="equal">
      <formula>0</formula>
    </cfRule>
    <cfRule type="cellIs" dxfId="220" priority="572" stopIfTrue="1" operator="equal">
      <formula>"✓"</formula>
    </cfRule>
    <cfRule type="cellIs" dxfId="219" priority="571" operator="equal">
      <formula>"✓."</formula>
    </cfRule>
    <cfRule type="cellIs" dxfId="218" priority="570" operator="equal">
      <formula>1</formula>
    </cfRule>
    <cfRule type="cellIs" dxfId="217" priority="568" operator="between">
      <formula>0.01</formula>
      <formula>0.99</formula>
    </cfRule>
  </conditionalFormatting>
  <conditionalFormatting sqref="BA116:BC131">
    <cfRule type="cellIs" dxfId="216" priority="581" stopIfTrue="1" operator="equal">
      <formula>"✓"</formula>
    </cfRule>
    <cfRule type="cellIs" dxfId="215" priority="580" operator="equal">
      <formula>"✓."</formula>
    </cfRule>
    <cfRule type="cellIs" dxfId="214" priority="579" operator="equal">
      <formula>1</formula>
    </cfRule>
    <cfRule type="cellIs" dxfId="213" priority="578" operator="equal">
      <formula>0</formula>
    </cfRule>
    <cfRule type="cellIs" dxfId="212" priority="577" operator="between">
      <formula>0.01</formula>
      <formula>0.99</formula>
    </cfRule>
  </conditionalFormatting>
  <conditionalFormatting sqref="BA133:BC148 C48:G63 C65:G80 G82:G97 G99:G114 G116:G131 G133:G148 G150:G165 G167:G182">
    <cfRule type="cellIs" dxfId="211" priority="916" operator="equal">
      <formula>#REF!</formula>
    </cfRule>
  </conditionalFormatting>
  <conditionalFormatting sqref="BA133:BC148">
    <cfRule type="cellIs" dxfId="210" priority="586" stopIfTrue="1" operator="equal">
      <formula>"✓"</formula>
    </cfRule>
    <cfRule type="cellIs" dxfId="209" priority="585" operator="equal">
      <formula>"✓."</formula>
    </cfRule>
    <cfRule type="cellIs" dxfId="208" priority="584" operator="equal">
      <formula>1</formula>
    </cfRule>
    <cfRule type="cellIs" dxfId="207" priority="583" operator="equal">
      <formula>0</formula>
    </cfRule>
    <cfRule type="cellIs" dxfId="206" priority="582" operator="between">
      <formula>0.01</formula>
      <formula>0.99</formula>
    </cfRule>
  </conditionalFormatting>
  <conditionalFormatting sqref="BA150:BC165">
    <cfRule type="cellIs" dxfId="205" priority="594" operator="equal">
      <formula>"✓."</formula>
    </cfRule>
    <cfRule type="cellIs" dxfId="204" priority="595" stopIfTrue="1" operator="equal">
      <formula>"✓"</formula>
    </cfRule>
    <cfRule type="cellIs" dxfId="203" priority="593" operator="equal">
      <formula>1</formula>
    </cfRule>
    <cfRule type="cellIs" dxfId="202" priority="591" operator="between">
      <formula>0.01</formula>
      <formula>0.99</formula>
    </cfRule>
    <cfRule type="cellIs" dxfId="201" priority="592" operator="equal">
      <formula>0</formula>
    </cfRule>
  </conditionalFormatting>
  <conditionalFormatting sqref="BA82:BD97">
    <cfRule type="cellIs" dxfId="200" priority="464" operator="equal">
      <formula>0</formula>
    </cfRule>
    <cfRule type="cellIs" dxfId="199" priority="463" operator="between">
      <formula>0.01</formula>
      <formula>0.99</formula>
    </cfRule>
    <cfRule type="cellIs" dxfId="198" priority="465" operator="equal">
      <formula>1</formula>
    </cfRule>
  </conditionalFormatting>
  <conditionalFormatting sqref="BA99:BD114">
    <cfRule type="cellIs" dxfId="197" priority="445" operator="equal">
      <formula>1</formula>
    </cfRule>
    <cfRule type="cellIs" dxfId="196" priority="444" operator="equal">
      <formula>0</formula>
    </cfRule>
    <cfRule type="cellIs" dxfId="195" priority="443" operator="between">
      <formula>0.01</formula>
      <formula>0.99</formula>
    </cfRule>
  </conditionalFormatting>
  <conditionalFormatting sqref="BA116:BD131">
    <cfRule type="cellIs" dxfId="194" priority="423" operator="between">
      <formula>0.01</formula>
      <formula>0.99</formula>
    </cfRule>
    <cfRule type="cellIs" dxfId="193" priority="425" operator="equal">
      <formula>1</formula>
    </cfRule>
    <cfRule type="cellIs" dxfId="192" priority="424" operator="equal">
      <formula>0</formula>
    </cfRule>
  </conditionalFormatting>
  <conditionalFormatting sqref="BA133:BD148">
    <cfRule type="cellIs" dxfId="191" priority="405" operator="equal">
      <formula>1</formula>
    </cfRule>
    <cfRule type="cellIs" dxfId="190" priority="404" operator="equal">
      <formula>0</formula>
    </cfRule>
    <cfRule type="cellIs" dxfId="189" priority="403" operator="between">
      <formula>0.01</formula>
      <formula>0.99</formula>
    </cfRule>
  </conditionalFormatting>
  <conditionalFormatting sqref="BA150:BD165">
    <cfRule type="cellIs" dxfId="188" priority="385" operator="equal">
      <formula>1</formula>
    </cfRule>
    <cfRule type="cellIs" dxfId="187" priority="384" operator="equal">
      <formula>0</formula>
    </cfRule>
    <cfRule type="cellIs" dxfId="186" priority="383" operator="between">
      <formula>0.01</formula>
      <formula>0.99</formula>
    </cfRule>
  </conditionalFormatting>
  <conditionalFormatting sqref="BA167:BD182">
    <cfRule type="cellIs" dxfId="185" priority="364" operator="equal">
      <formula>0</formula>
    </cfRule>
    <cfRule type="cellIs" dxfId="184" priority="365" operator="equal">
      <formula>1</formula>
    </cfRule>
    <cfRule type="cellIs" dxfId="183" priority="363" operator="between">
      <formula>0.01</formula>
      <formula>0.99</formula>
    </cfRule>
  </conditionalFormatting>
  <conditionalFormatting sqref="BA14:BF29">
    <cfRule type="cellIs" dxfId="182" priority="548" stopIfTrue="1" operator="equal">
      <formula>"✓"</formula>
    </cfRule>
  </conditionalFormatting>
  <conditionalFormatting sqref="BA31:BF46">
    <cfRule type="cellIs" dxfId="181" priority="528" stopIfTrue="1" operator="equal">
      <formula>"✓"</formula>
    </cfRule>
    <cfRule type="cellIs" dxfId="180" priority="527" operator="equal">
      <formula>#REF!</formula>
    </cfRule>
  </conditionalFormatting>
  <conditionalFormatting sqref="BA48:BF63">
    <cfRule type="cellIs" dxfId="179" priority="508" stopIfTrue="1" operator="equal">
      <formula>"✓"</formula>
    </cfRule>
  </conditionalFormatting>
  <conditionalFormatting sqref="BA65:BF80">
    <cfRule type="cellIs" dxfId="178" priority="488" stopIfTrue="1" operator="equal">
      <formula>"✓"</formula>
    </cfRule>
  </conditionalFormatting>
  <conditionalFormatting sqref="BA82:BF97">
    <cfRule type="cellIs" dxfId="177" priority="468" stopIfTrue="1" operator="equal">
      <formula>"✓"</formula>
    </cfRule>
  </conditionalFormatting>
  <conditionalFormatting sqref="BA99:BF114">
    <cfRule type="cellIs" dxfId="176" priority="448" stopIfTrue="1" operator="equal">
      <formula>"✓"</formula>
    </cfRule>
  </conditionalFormatting>
  <conditionalFormatting sqref="BA116:BF131">
    <cfRule type="cellIs" dxfId="175" priority="428" stopIfTrue="1" operator="equal">
      <formula>"✓"</formula>
    </cfRule>
  </conditionalFormatting>
  <conditionalFormatting sqref="BA133:BF148">
    <cfRule type="cellIs" dxfId="174" priority="408" stopIfTrue="1" operator="equal">
      <formula>"✓"</formula>
    </cfRule>
  </conditionalFormatting>
  <conditionalFormatting sqref="BA150:BF165">
    <cfRule type="cellIs" dxfId="173" priority="388" stopIfTrue="1" operator="equal">
      <formula>"✓"</formula>
    </cfRule>
  </conditionalFormatting>
  <conditionalFormatting sqref="BA167:BF182">
    <cfRule type="cellIs" dxfId="172" priority="368" stopIfTrue="1" operator="equal">
      <formula>"✓"</formula>
    </cfRule>
  </conditionalFormatting>
  <conditionalFormatting sqref="BD14:BD29">
    <cfRule type="cellIs" dxfId="171" priority="545" operator="equal">
      <formula>1</formula>
    </cfRule>
    <cfRule type="cellIs" dxfId="170" priority="546" operator="equal">
      <formula>"✓."</formula>
    </cfRule>
    <cfRule type="cellIs" dxfId="169" priority="529" operator="between">
      <formula>0.01</formula>
      <formula>0.99</formula>
    </cfRule>
    <cfRule type="cellIs" dxfId="168" priority="530" operator="equal">
      <formula>1</formula>
    </cfRule>
    <cfRule type="cellIs" dxfId="167" priority="531" operator="equal">
      <formula>"✓."</formula>
    </cfRule>
    <cfRule type="cellIs" dxfId="166" priority="532" operator="equal">
      <formula>#REF!</formula>
    </cfRule>
    <cfRule type="cellIs" dxfId="165" priority="533" operator="equal">
      <formula>0</formula>
    </cfRule>
    <cfRule type="cellIs" dxfId="164" priority="534" stopIfTrue="1" operator="equal">
      <formula>"✓"</formula>
    </cfRule>
    <cfRule type="cellIs" dxfId="163" priority="535" operator="equal">
      <formula>#REF!</formula>
    </cfRule>
    <cfRule type="cellIs" dxfId="162" priority="536" stopIfTrue="1" operator="equal">
      <formula>"✓"</formula>
    </cfRule>
    <cfRule type="cellIs" dxfId="161" priority="537" operator="between">
      <formula>0.01</formula>
      <formula>0.99</formula>
    </cfRule>
    <cfRule type="cellIs" dxfId="160" priority="538" operator="equal">
      <formula>0</formula>
    </cfRule>
    <cfRule type="cellIs" dxfId="159" priority="542" stopIfTrue="1" operator="equal">
      <formula>"✓"</formula>
    </cfRule>
    <cfRule type="cellIs" dxfId="158" priority="543" operator="between">
      <formula>0.01</formula>
      <formula>0.99</formula>
    </cfRule>
    <cfRule type="cellIs" dxfId="157" priority="544" operator="equal">
      <formula>0</formula>
    </cfRule>
    <cfRule type="cellIs" dxfId="156" priority="539" operator="equal">
      <formula>1</formula>
    </cfRule>
    <cfRule type="cellIs" dxfId="155" priority="540" stopIfTrue="1" operator="equal">
      <formula>"✓"</formula>
    </cfRule>
    <cfRule type="cellIs" dxfId="154" priority="541" operator="equal">
      <formula>#REF!</formula>
    </cfRule>
  </conditionalFormatting>
  <conditionalFormatting sqref="BD31:BD46">
    <cfRule type="cellIs" dxfId="153" priority="511" operator="equal">
      <formula>"✓."</formula>
    </cfRule>
    <cfRule type="cellIs" dxfId="152" priority="510" operator="equal">
      <formula>1</formula>
    </cfRule>
    <cfRule type="cellIs" dxfId="151" priority="509" operator="between">
      <formula>0.01</formula>
      <formula>0.99</formula>
    </cfRule>
    <cfRule type="cellIs" dxfId="150" priority="522" stopIfTrue="1" operator="equal">
      <formula>"✓"</formula>
    </cfRule>
    <cfRule type="cellIs" dxfId="149" priority="523" operator="between">
      <formula>0.01</formula>
      <formula>0.99</formula>
    </cfRule>
    <cfRule type="cellIs" dxfId="148" priority="524" operator="equal">
      <formula>0</formula>
    </cfRule>
    <cfRule type="cellIs" dxfId="147" priority="520" stopIfTrue="1" operator="equal">
      <formula>"✓"</formula>
    </cfRule>
    <cfRule type="cellIs" dxfId="146" priority="519" operator="equal">
      <formula>1</formula>
    </cfRule>
    <cfRule type="cellIs" dxfId="145" priority="525" operator="equal">
      <formula>1</formula>
    </cfRule>
    <cfRule type="cellIs" dxfId="144" priority="516" stopIfTrue="1" operator="equal">
      <formula>"✓"</formula>
    </cfRule>
    <cfRule type="cellIs" dxfId="143" priority="518" operator="equal">
      <formula>0</formula>
    </cfRule>
    <cfRule type="cellIs" dxfId="142" priority="521" operator="equal">
      <formula>#REF!</formula>
    </cfRule>
    <cfRule type="cellIs" dxfId="141" priority="517" operator="between">
      <formula>0.01</formula>
      <formula>0.99</formula>
    </cfRule>
    <cfRule type="cellIs" dxfId="140" priority="526" operator="equal">
      <formula>"✓."</formula>
    </cfRule>
    <cfRule type="cellIs" dxfId="139" priority="515" operator="equal">
      <formula>#REF!</formula>
    </cfRule>
    <cfRule type="cellIs" dxfId="138" priority="514" stopIfTrue="1" operator="equal">
      <formula>"✓"</formula>
    </cfRule>
    <cfRule type="cellIs" dxfId="137" priority="513" operator="equal">
      <formula>0</formula>
    </cfRule>
    <cfRule type="cellIs" dxfId="136" priority="512" operator="equal">
      <formula>#REF!</formula>
    </cfRule>
  </conditionalFormatting>
  <conditionalFormatting sqref="BD48:BD63">
    <cfRule type="cellIs" dxfId="135" priority="506" operator="equal">
      <formula>"✓."</formula>
    </cfRule>
    <cfRule type="cellIs" dxfId="134" priority="505" operator="equal">
      <formula>1</formula>
    </cfRule>
    <cfRule type="cellIs" dxfId="133" priority="494" stopIfTrue="1" operator="equal">
      <formula>"✓"</formula>
    </cfRule>
    <cfRule type="cellIs" dxfId="132" priority="495" operator="equal">
      <formula>#REF!</formula>
    </cfRule>
    <cfRule type="cellIs" dxfId="131" priority="496" stopIfTrue="1" operator="equal">
      <formula>"✓"</formula>
    </cfRule>
    <cfRule type="cellIs" dxfId="130" priority="497" operator="between">
      <formula>0.01</formula>
      <formula>0.99</formula>
    </cfRule>
    <cfRule type="cellIs" dxfId="129" priority="498" operator="equal">
      <formula>0</formula>
    </cfRule>
    <cfRule type="cellIs" dxfId="128" priority="499" operator="equal">
      <formula>1</formula>
    </cfRule>
    <cfRule type="cellIs" dxfId="127" priority="500" stopIfTrue="1" operator="equal">
      <formula>"✓"</formula>
    </cfRule>
    <cfRule type="cellIs" dxfId="126" priority="492" operator="equal">
      <formula>#REF!</formula>
    </cfRule>
    <cfRule type="cellIs" dxfId="125" priority="501" operator="equal">
      <formula>#REF!</formula>
    </cfRule>
    <cfRule type="cellIs" dxfId="124" priority="502" stopIfTrue="1" operator="equal">
      <formula>"✓"</formula>
    </cfRule>
    <cfRule type="cellIs" dxfId="123" priority="503" operator="between">
      <formula>0.01</formula>
      <formula>0.99</formula>
    </cfRule>
    <cfRule type="cellIs" dxfId="122" priority="504" operator="equal">
      <formula>0</formula>
    </cfRule>
    <cfRule type="cellIs" dxfId="121" priority="491" operator="equal">
      <formula>"✓."</formula>
    </cfRule>
    <cfRule type="cellIs" dxfId="120" priority="490" operator="equal">
      <formula>1</formula>
    </cfRule>
    <cfRule type="cellIs" dxfId="119" priority="493" operator="equal">
      <formula>0</formula>
    </cfRule>
    <cfRule type="cellIs" dxfId="118" priority="489" operator="between">
      <formula>0.01</formula>
      <formula>0.99</formula>
    </cfRule>
    <cfRule type="cellIs" dxfId="117" priority="507" operator="equal">
      <formula>#REF!</formula>
    </cfRule>
  </conditionalFormatting>
  <conditionalFormatting sqref="BD65:BD80">
    <cfRule type="cellIs" dxfId="116" priority="487" operator="equal">
      <formula>#REF!</formula>
    </cfRule>
    <cfRule type="cellIs" dxfId="115" priority="478" operator="equal">
      <formula>0</formula>
    </cfRule>
    <cfRule type="cellIs" dxfId="114" priority="469" operator="between">
      <formula>0.01</formula>
      <formula>0.99</formula>
    </cfRule>
    <cfRule type="cellIs" dxfId="113" priority="470" operator="equal">
      <formula>1</formula>
    </cfRule>
    <cfRule type="cellIs" dxfId="112" priority="471" operator="equal">
      <formula>"✓."</formula>
    </cfRule>
    <cfRule type="cellIs" dxfId="111" priority="472" operator="equal">
      <formula>#REF!</formula>
    </cfRule>
    <cfRule type="cellIs" dxfId="110" priority="473" operator="equal">
      <formula>0</formula>
    </cfRule>
    <cfRule type="cellIs" dxfId="109" priority="474" stopIfTrue="1" operator="equal">
      <formula>"✓"</formula>
    </cfRule>
    <cfRule type="cellIs" dxfId="108" priority="476" stopIfTrue="1" operator="equal">
      <formula>"✓"</formula>
    </cfRule>
    <cfRule type="cellIs" dxfId="107" priority="475" operator="equal">
      <formula>#REF!</formula>
    </cfRule>
    <cfRule type="cellIs" dxfId="106" priority="477" operator="between">
      <formula>0.01</formula>
      <formula>0.99</formula>
    </cfRule>
    <cfRule type="cellIs" dxfId="105" priority="479" operator="equal">
      <formula>1</formula>
    </cfRule>
    <cfRule type="cellIs" dxfId="104" priority="480" stopIfTrue="1" operator="equal">
      <formula>"✓"</formula>
    </cfRule>
    <cfRule type="cellIs" dxfId="103" priority="481" operator="equal">
      <formula>#REF!</formula>
    </cfRule>
    <cfRule type="cellIs" dxfId="102" priority="482" stopIfTrue="1" operator="equal">
      <formula>"✓"</formula>
    </cfRule>
    <cfRule type="cellIs" dxfId="101" priority="483" operator="between">
      <formula>0.01</formula>
      <formula>0.99</formula>
    </cfRule>
    <cfRule type="cellIs" dxfId="100" priority="484" operator="equal">
      <formula>0</formula>
    </cfRule>
    <cfRule type="cellIs" dxfId="99" priority="485" operator="equal">
      <formula>1</formula>
    </cfRule>
    <cfRule type="cellIs" dxfId="98" priority="486" operator="equal">
      <formula>"✓."</formula>
    </cfRule>
  </conditionalFormatting>
  <conditionalFormatting sqref="BD82:BD97">
    <cfRule type="cellIs" dxfId="97" priority="462" stopIfTrue="1" operator="equal">
      <formula>"✓"</formula>
    </cfRule>
    <cfRule type="cellIs" dxfId="96" priority="461" operator="equal">
      <formula>#REF!</formula>
    </cfRule>
    <cfRule type="cellIs" dxfId="95" priority="460" stopIfTrue="1" operator="equal">
      <formula>"✓"</formula>
    </cfRule>
    <cfRule type="cellIs" dxfId="94" priority="459" operator="equal">
      <formula>1</formula>
    </cfRule>
    <cfRule type="cellIs" dxfId="93" priority="458" operator="equal">
      <formula>0</formula>
    </cfRule>
    <cfRule type="cellIs" dxfId="92" priority="457" operator="between">
      <formula>0.01</formula>
      <formula>0.99</formula>
    </cfRule>
    <cfRule type="cellIs" dxfId="91" priority="456" stopIfTrue="1" operator="equal">
      <formula>"✓"</formula>
    </cfRule>
    <cfRule type="cellIs" dxfId="90" priority="455" operator="equal">
      <formula>#REF!</formula>
    </cfRule>
    <cfRule type="cellIs" dxfId="89" priority="454" stopIfTrue="1" operator="equal">
      <formula>"✓"</formula>
    </cfRule>
    <cfRule type="cellIs" dxfId="88" priority="452" operator="equal">
      <formula>#REF!</formula>
    </cfRule>
    <cfRule type="cellIs" dxfId="87" priority="451" operator="equal">
      <formula>"✓."</formula>
    </cfRule>
    <cfRule type="cellIs" dxfId="86" priority="450" operator="equal">
      <formula>1</formula>
    </cfRule>
    <cfRule type="cellIs" dxfId="85" priority="449" operator="between">
      <formula>0.01</formula>
      <formula>0.99</formula>
    </cfRule>
    <cfRule type="cellIs" dxfId="84" priority="466" operator="equal">
      <formula>"✓."</formula>
    </cfRule>
    <cfRule type="cellIs" dxfId="83" priority="453" operator="equal">
      <formula>0</formula>
    </cfRule>
  </conditionalFormatting>
  <conditionalFormatting sqref="BD99:BD114">
    <cfRule type="cellIs" dxfId="82" priority="429" operator="between">
      <formula>0.01</formula>
      <formula>0.99</formula>
    </cfRule>
    <cfRule type="cellIs" dxfId="81" priority="446" operator="equal">
      <formula>"✓."</formula>
    </cfRule>
    <cfRule type="cellIs" dxfId="80" priority="442" stopIfTrue="1" operator="equal">
      <formula>"✓"</formula>
    </cfRule>
    <cfRule type="cellIs" dxfId="79" priority="441" operator="equal">
      <formula>#REF!</formula>
    </cfRule>
    <cfRule type="cellIs" dxfId="78" priority="440" stopIfTrue="1" operator="equal">
      <formula>"✓"</formula>
    </cfRule>
    <cfRule type="cellIs" dxfId="77" priority="438" operator="equal">
      <formula>0</formula>
    </cfRule>
    <cfRule type="cellIs" dxfId="76" priority="437" operator="between">
      <formula>0.01</formula>
      <formula>0.99</formula>
    </cfRule>
    <cfRule type="cellIs" dxfId="75" priority="430" operator="equal">
      <formula>1</formula>
    </cfRule>
    <cfRule type="cellIs" dxfId="74" priority="431" operator="equal">
      <formula>"✓."</formula>
    </cfRule>
    <cfRule type="cellIs" dxfId="73" priority="439" operator="equal">
      <formula>1</formula>
    </cfRule>
    <cfRule type="cellIs" dxfId="72" priority="432" operator="equal">
      <formula>#REF!</formula>
    </cfRule>
    <cfRule type="cellIs" dxfId="71" priority="433" operator="equal">
      <formula>0</formula>
    </cfRule>
    <cfRule type="cellIs" dxfId="70" priority="435" operator="equal">
      <formula>#REF!</formula>
    </cfRule>
    <cfRule type="cellIs" dxfId="69" priority="436" stopIfTrue="1" operator="equal">
      <formula>"✓"</formula>
    </cfRule>
    <cfRule type="cellIs" dxfId="68" priority="434" stopIfTrue="1" operator="equal">
      <formula>"✓"</formula>
    </cfRule>
  </conditionalFormatting>
  <conditionalFormatting sqref="BD116:BD131">
    <cfRule type="cellIs" dxfId="67" priority="416" stopIfTrue="1" operator="equal">
      <formula>"✓"</formula>
    </cfRule>
    <cfRule type="cellIs" dxfId="66" priority="409" operator="between">
      <formula>0.01</formula>
      <formula>0.99</formula>
    </cfRule>
    <cfRule type="cellIs" dxfId="65" priority="410" operator="equal">
      <formula>1</formula>
    </cfRule>
    <cfRule type="cellIs" dxfId="64" priority="414" stopIfTrue="1" operator="equal">
      <formula>"✓"</formula>
    </cfRule>
    <cfRule type="cellIs" dxfId="63" priority="421" operator="equal">
      <formula>#REF!</formula>
    </cfRule>
    <cfRule type="cellIs" dxfId="62" priority="422" stopIfTrue="1" operator="equal">
      <formula>"✓"</formula>
    </cfRule>
    <cfRule type="cellIs" dxfId="61" priority="426" operator="equal">
      <formula>"✓."</formula>
    </cfRule>
    <cfRule type="cellIs" dxfId="60" priority="412" operator="equal">
      <formula>#REF!</formula>
    </cfRule>
    <cfRule type="cellIs" dxfId="59" priority="413" operator="equal">
      <formula>0</formula>
    </cfRule>
    <cfRule type="cellIs" dxfId="58" priority="415" operator="equal">
      <formula>#REF!</formula>
    </cfRule>
    <cfRule type="cellIs" dxfId="57" priority="411" operator="equal">
      <formula>"✓."</formula>
    </cfRule>
    <cfRule type="cellIs" dxfId="56" priority="419" operator="equal">
      <formula>1</formula>
    </cfRule>
    <cfRule type="cellIs" dxfId="55" priority="420" stopIfTrue="1" operator="equal">
      <formula>"✓"</formula>
    </cfRule>
    <cfRule type="cellIs" dxfId="54" priority="417" operator="between">
      <formula>0.01</formula>
      <formula>0.99</formula>
    </cfRule>
    <cfRule type="cellIs" dxfId="53" priority="418" operator="equal">
      <formula>0</formula>
    </cfRule>
  </conditionalFormatting>
  <conditionalFormatting sqref="BD133:BD148">
    <cfRule type="cellIs" dxfId="52" priority="390" operator="equal">
      <formula>1</formula>
    </cfRule>
    <cfRule type="cellIs" dxfId="51" priority="391" operator="equal">
      <formula>"✓."</formula>
    </cfRule>
    <cfRule type="cellIs" dxfId="50" priority="392" operator="equal">
      <formula>#REF!</formula>
    </cfRule>
    <cfRule type="cellIs" dxfId="49" priority="406" operator="equal">
      <formula>"✓."</formula>
    </cfRule>
    <cfRule type="cellIs" dxfId="48" priority="402" stopIfTrue="1" operator="equal">
      <formula>"✓"</formula>
    </cfRule>
    <cfRule type="cellIs" dxfId="47" priority="401" operator="equal">
      <formula>#REF!</formula>
    </cfRule>
    <cfRule type="cellIs" dxfId="46" priority="400" stopIfTrue="1" operator="equal">
      <formula>"✓"</formula>
    </cfRule>
    <cfRule type="cellIs" dxfId="45" priority="398" operator="equal">
      <formula>0</formula>
    </cfRule>
    <cfRule type="cellIs" dxfId="44" priority="397" operator="between">
      <formula>0.01</formula>
      <formula>0.99</formula>
    </cfRule>
    <cfRule type="cellIs" dxfId="43" priority="394" stopIfTrue="1" operator="equal">
      <formula>"✓"</formula>
    </cfRule>
    <cfRule type="cellIs" dxfId="42" priority="395" operator="equal">
      <formula>#REF!</formula>
    </cfRule>
    <cfRule type="cellIs" dxfId="41" priority="396" stopIfTrue="1" operator="equal">
      <formula>"✓"</formula>
    </cfRule>
    <cfRule type="cellIs" dxfId="40" priority="393" operator="equal">
      <formula>0</formula>
    </cfRule>
    <cfRule type="cellIs" dxfId="39" priority="399" operator="equal">
      <formula>1</formula>
    </cfRule>
    <cfRule type="cellIs" dxfId="38" priority="389" operator="between">
      <formula>0.01</formula>
      <formula>0.99</formula>
    </cfRule>
  </conditionalFormatting>
  <conditionalFormatting sqref="BD150:BD165">
    <cfRule type="cellIs" dxfId="37" priority="372" operator="equal">
      <formula>#REF!</formula>
    </cfRule>
    <cfRule type="cellIs" dxfId="36" priority="373" operator="equal">
      <formula>0</formula>
    </cfRule>
    <cfRule type="cellIs" dxfId="35" priority="374" stopIfTrue="1" operator="equal">
      <formula>"✓"</formula>
    </cfRule>
    <cfRule type="cellIs" dxfId="34" priority="375" operator="equal">
      <formula>#REF!</formula>
    </cfRule>
    <cfRule type="cellIs" dxfId="33" priority="381" operator="equal">
      <formula>#REF!</formula>
    </cfRule>
    <cfRule type="cellIs" dxfId="32" priority="378" operator="equal">
      <formula>0</formula>
    </cfRule>
    <cfRule type="cellIs" dxfId="31" priority="379" operator="equal">
      <formula>1</formula>
    </cfRule>
    <cfRule type="cellIs" dxfId="30" priority="382" stopIfTrue="1" operator="equal">
      <formula>"✓"</formula>
    </cfRule>
    <cfRule type="cellIs" dxfId="29" priority="386" operator="equal">
      <formula>"✓."</formula>
    </cfRule>
    <cfRule type="cellIs" dxfId="28" priority="376" stopIfTrue="1" operator="equal">
      <formula>"✓"</formula>
    </cfRule>
    <cfRule type="cellIs" dxfId="27" priority="377" operator="between">
      <formula>0.01</formula>
      <formula>0.99</formula>
    </cfRule>
    <cfRule type="cellIs" dxfId="26" priority="380" stopIfTrue="1" operator="equal">
      <formula>"✓"</formula>
    </cfRule>
    <cfRule type="cellIs" dxfId="25" priority="369" operator="between">
      <formula>0.01</formula>
      <formula>0.99</formula>
    </cfRule>
    <cfRule type="cellIs" dxfId="24" priority="370" operator="equal">
      <formula>1</formula>
    </cfRule>
    <cfRule type="cellIs" dxfId="23" priority="371" operator="equal">
      <formula>"✓."</formula>
    </cfRule>
  </conditionalFormatting>
  <conditionalFormatting sqref="BD167:BD182">
    <cfRule type="cellIs" dxfId="22" priority="356" stopIfTrue="1" operator="equal">
      <formula>"✓"</formula>
    </cfRule>
    <cfRule type="cellIs" dxfId="21" priority="361" operator="equal">
      <formula>#REF!</formula>
    </cfRule>
    <cfRule type="cellIs" dxfId="20" priority="362" stopIfTrue="1" operator="equal">
      <formula>"✓"</formula>
    </cfRule>
    <cfRule type="cellIs" dxfId="19" priority="357" operator="between">
      <formula>0.01</formula>
      <formula>0.99</formula>
    </cfRule>
    <cfRule type="cellIs" dxfId="18" priority="367" operator="equal">
      <formula>#REF!</formula>
    </cfRule>
    <cfRule type="cellIs" dxfId="17" priority="366" operator="equal">
      <formula>"✓."</formula>
    </cfRule>
    <cfRule type="cellIs" dxfId="16" priority="349" operator="between">
      <formula>0.01</formula>
      <formula>0.99</formula>
    </cfRule>
    <cfRule type="cellIs" dxfId="15" priority="360" stopIfTrue="1" operator="equal">
      <formula>"✓"</formula>
    </cfRule>
    <cfRule type="cellIs" dxfId="14" priority="359" operator="equal">
      <formula>1</formula>
    </cfRule>
    <cfRule type="cellIs" dxfId="13" priority="358" operator="equal">
      <formula>0</formula>
    </cfRule>
    <cfRule type="cellIs" dxfId="12" priority="350" operator="equal">
      <formula>1</formula>
    </cfRule>
    <cfRule type="cellIs" dxfId="11" priority="351" operator="equal">
      <formula>"✓."</formula>
    </cfRule>
    <cfRule type="cellIs" dxfId="10" priority="352" operator="equal">
      <formula>#REF!</formula>
    </cfRule>
    <cfRule type="cellIs" dxfId="9" priority="353" operator="equal">
      <formula>0</formula>
    </cfRule>
    <cfRule type="cellIs" dxfId="8" priority="354" stopIfTrue="1" operator="equal">
      <formula>"✓"</formula>
    </cfRule>
    <cfRule type="cellIs" dxfId="7" priority="355" operator="equal">
      <formula>#REF!</formula>
    </cfRule>
  </conditionalFormatting>
  <conditionalFormatting sqref="BD14:BF29">
    <cfRule type="cellIs" dxfId="6" priority="547" operator="equal">
      <formula>#REF!</formula>
    </cfRule>
  </conditionalFormatting>
  <conditionalFormatting sqref="BD82:BF97">
    <cfRule type="cellIs" dxfId="5" priority="467" operator="equal">
      <formula>#REF!</formula>
    </cfRule>
  </conditionalFormatting>
  <conditionalFormatting sqref="BD99:BF114">
    <cfRule type="cellIs" dxfId="4" priority="447" operator="equal">
      <formula>#REF!</formula>
    </cfRule>
  </conditionalFormatting>
  <conditionalFormatting sqref="BD116:BF131">
    <cfRule type="cellIs" dxfId="3" priority="427" operator="equal">
      <formula>#REF!</formula>
    </cfRule>
  </conditionalFormatting>
  <conditionalFormatting sqref="BD133:BF148">
    <cfRule type="cellIs" dxfId="2" priority="407" operator="equal">
      <formula>#REF!</formula>
    </cfRule>
  </conditionalFormatting>
  <conditionalFormatting sqref="BD150:BF165">
    <cfRule type="cellIs" dxfId="1" priority="387" operator="equal">
      <formula>#REF!</formula>
    </cfRule>
  </conditionalFormatting>
  <conditionalFormatting sqref="BE48:BF63 BE65:BF80">
    <cfRule type="cellIs" dxfId="0" priority="1024" operator="equal">
      <formula>#REF!</formula>
    </cfRule>
  </conditionalFormatting>
  <pageMargins left="0.7" right="0.7" top="0.75" bottom="0.75" header="0.3" footer="0.3"/>
  <pageSetup paperSize="9" scale="10" fitToHeight="0" orientation="landscape" horizontalDpi="4294967295" verticalDpi="4294967295" r:id="rId1"/>
  <rowBreaks count="8" manualBreakCount="8">
    <brk id="29" max="49" man="1"/>
    <brk id="46" max="49" man="1"/>
    <brk id="63" max="49" man="1"/>
    <brk id="80" max="49" man="1"/>
    <brk id="97" max="49" man="1"/>
    <brk id="114" max="49" man="1"/>
    <brk id="131" max="49" man="1"/>
    <brk id="148" max="49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Progress App</vt:lpstr>
      <vt:lpstr>Apartment Progress</vt:lpstr>
      <vt:lpstr>Work Progress (%)</vt:lpstr>
      <vt:lpstr>'Work Progress (%)'!Print_Area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Muneeb Shehzad Butt</cp:lastModifiedBy>
  <dcterms:created xsi:type="dcterms:W3CDTF">2025-12-02T10:39:36Z</dcterms:created>
  <dcterms:modified xsi:type="dcterms:W3CDTF">2025-12-04T17:20:44Z</dcterms:modified>
</cp:coreProperties>
</file>