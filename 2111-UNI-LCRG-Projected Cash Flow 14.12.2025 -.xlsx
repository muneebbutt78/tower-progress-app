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wer_app\"/>
    </mc:Choice>
  </mc:AlternateContent>
  <xr:revisionPtr revIDLastSave="0" documentId="13_ncr:1_{F0DE3C51-40BF-4E84-9A53-DD3C6F209B3A}" xr6:coauthVersionLast="47" xr6:coauthVersionMax="47" xr10:uidLastSave="{00000000-0000-0000-0000-000000000000}"/>
  <bookViews>
    <workbookView xWindow="780" yWindow="540" windowWidth="21600" windowHeight="11295" firstSheet="4" activeTab="7" xr2:uid="{BB931B9F-9E61-4EB7-8214-0D2B71B60C83}"/>
  </bookViews>
  <sheets>
    <sheet name="Summary All Towers" sheetId="7" r:id="rId1"/>
    <sheet name="Summary I Tower" sheetId="4" r:id="rId2"/>
    <sheet name="Summary L1 Tower" sheetId="5" r:id="rId3"/>
    <sheet name="Summary L2 Tower" sheetId="6" r:id="rId4"/>
    <sheet name="I Finishes" sheetId="10" r:id="rId5"/>
    <sheet name="L1 Finishes" sheetId="11" r:id="rId6"/>
    <sheet name="L2 Finishes" sheetId="12" r:id="rId7"/>
    <sheet name="Ground Floor" sheetId="17" r:id="rId8"/>
    <sheet name="Court Yard" sheetId="16" r:id="rId9"/>
    <sheet name="Approved Item-Actual" sheetId="14" r:id="rId10"/>
    <sheet name="Table 1" sheetId="15" r:id="rId11"/>
  </sheets>
  <definedNames>
    <definedName name="_xlnm._FilterDatabase" localSheetId="4" hidden="1">'I Finishes'!$H$2:$H$84</definedName>
    <definedName name="_xlnm.Print_Area" localSheetId="8">'Court Yard'!$B$1:$K$22</definedName>
    <definedName name="_xlnm.Print_Area" localSheetId="7">'Ground Floor'!$B$3:$L$25</definedName>
    <definedName name="_xlnm.Print_Area" localSheetId="4">'I Finishes'!$B$2:$AB$85</definedName>
    <definedName name="_xlnm.Print_Area" localSheetId="5">'L1 Finishes'!$B$2:$W$77</definedName>
    <definedName name="_xlnm.Print_Area" localSheetId="6">'L2 Finishes'!$B$2:$Y$77</definedName>
    <definedName name="_xlnm.Print_Area" localSheetId="0">'Summary All Towers'!$B$2:$Z$15</definedName>
    <definedName name="_xlnm.Print_Area" localSheetId="1">'Summary I Tower'!$B$2:$X$12</definedName>
    <definedName name="_xlnm.Print_Area" localSheetId="2">'Summary L1 Tower'!$B$2:$Q$12</definedName>
    <definedName name="_xlnm.Print_Area" localSheetId="3">'Summary L2 Tower'!$B$2:$Q$12</definedName>
    <definedName name="_xlnm.Print_Area" localSheetId="10">'Table 1'!$A$1:$Q$89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2" i="16" l="1"/>
  <c r="H22" i="16"/>
  <c r="I22" i="16"/>
  <c r="J22" i="16"/>
  <c r="F22" i="16"/>
  <c r="F20" i="16"/>
  <c r="H17" i="16"/>
  <c r="I17" i="16" s="1"/>
  <c r="G14" i="16"/>
  <c r="F14" i="16"/>
  <c r="H14" i="16" s="1"/>
  <c r="I11" i="16"/>
  <c r="H10" i="16"/>
  <c r="I9" i="16"/>
  <c r="H9" i="16"/>
  <c r="G8" i="16"/>
  <c r="F8" i="16"/>
  <c r="H7" i="16"/>
  <c r="I6" i="16"/>
  <c r="I5" i="16"/>
  <c r="G24" i="16" l="1"/>
  <c r="I14" i="16"/>
  <c r="F24" i="16"/>
  <c r="H8" i="16"/>
  <c r="I8" i="16" s="1"/>
  <c r="I24" i="16" s="1"/>
  <c r="H24" i="16"/>
  <c r="K21" i="17" l="1"/>
  <c r="K20" i="17"/>
  <c r="K17" i="17"/>
  <c r="K18" i="17"/>
  <c r="H18" i="17"/>
  <c r="K11" i="17"/>
  <c r="K12" i="17" s="1"/>
  <c r="H12" i="17"/>
  <c r="I12" i="17"/>
  <c r="J12" i="17"/>
  <c r="J16" i="17"/>
  <c r="I16" i="17"/>
  <c r="J15" i="17"/>
  <c r="I15" i="17"/>
  <c r="J14" i="17"/>
  <c r="I14" i="17"/>
  <c r="I18" i="17" s="1"/>
  <c r="J13" i="17"/>
  <c r="G18" i="17"/>
  <c r="H8" i="7"/>
  <c r="J20" i="16"/>
  <c r="D155" i="14"/>
  <c r="E155" i="14"/>
  <c r="F155" i="14"/>
  <c r="G155" i="14"/>
  <c r="H155" i="14"/>
  <c r="I155" i="14"/>
  <c r="J155" i="14"/>
  <c r="K155" i="14"/>
  <c r="C155" i="14"/>
  <c r="J78" i="10"/>
  <c r="J81" i="10"/>
  <c r="C217" i="14"/>
  <c r="D217" i="14"/>
  <c r="E217" i="14"/>
  <c r="C218" i="14"/>
  <c r="D218" i="14"/>
  <c r="C219" i="14"/>
  <c r="D219" i="14"/>
  <c r="E219" i="14"/>
  <c r="C220" i="14"/>
  <c r="D220" i="14"/>
  <c r="D221" i="14"/>
  <c r="E221" i="14"/>
  <c r="D222" i="14"/>
  <c r="E222" i="14"/>
  <c r="D223" i="14"/>
  <c r="E223" i="14"/>
  <c r="D224" i="14"/>
  <c r="E224" i="14"/>
  <c r="D225" i="14"/>
  <c r="E225" i="14"/>
  <c r="D216" i="14"/>
  <c r="E216" i="14"/>
  <c r="B217" i="14"/>
  <c r="B218" i="14"/>
  <c r="B219" i="14"/>
  <c r="B220" i="14"/>
  <c r="B221" i="14"/>
  <c r="B222" i="14"/>
  <c r="B223" i="14"/>
  <c r="B224" i="14"/>
  <c r="B225" i="14"/>
  <c r="C216" i="14"/>
  <c r="K216" i="14"/>
  <c r="J216" i="14"/>
  <c r="B216" i="14"/>
  <c r="A225" i="14"/>
  <c r="A217" i="14"/>
  <c r="A218" i="14"/>
  <c r="A219" i="14"/>
  <c r="A220" i="14"/>
  <c r="A221" i="14"/>
  <c r="A222" i="14"/>
  <c r="A223" i="14"/>
  <c r="A224" i="14"/>
  <c r="A216" i="14"/>
  <c r="E150" i="14"/>
  <c r="E151" i="14"/>
  <c r="E152" i="14"/>
  <c r="E153" i="14"/>
  <c r="E154" i="14"/>
  <c r="D150" i="14"/>
  <c r="D151" i="14"/>
  <c r="D152" i="14"/>
  <c r="D153" i="14"/>
  <c r="D154" i="14"/>
  <c r="C150" i="14"/>
  <c r="C151" i="14"/>
  <c r="C152" i="14"/>
  <c r="C153" i="14"/>
  <c r="C154" i="14"/>
  <c r="B151" i="14"/>
  <c r="B152" i="14"/>
  <c r="B153" i="14"/>
  <c r="B154" i="14"/>
  <c r="A150" i="14"/>
  <c r="A151" i="14"/>
  <c r="A152" i="14"/>
  <c r="A153" i="14"/>
  <c r="A154" i="14"/>
  <c r="E80" i="14"/>
  <c r="E81" i="14"/>
  <c r="E82" i="14"/>
  <c r="E83" i="14"/>
  <c r="E84" i="14"/>
  <c r="D80" i="14"/>
  <c r="D81" i="14"/>
  <c r="D82" i="14"/>
  <c r="D83" i="14"/>
  <c r="D84" i="14"/>
  <c r="C80" i="14"/>
  <c r="C81" i="14"/>
  <c r="C82" i="14"/>
  <c r="C83" i="14"/>
  <c r="C84" i="14"/>
  <c r="F75" i="12"/>
  <c r="C224" i="14" s="1"/>
  <c r="F74" i="11"/>
  <c r="F80" i="10"/>
  <c r="J80" i="10" s="1"/>
  <c r="B80" i="14"/>
  <c r="B81" i="14"/>
  <c r="B82" i="14"/>
  <c r="B83" i="14"/>
  <c r="B84" i="14"/>
  <c r="A83" i="14"/>
  <c r="A84" i="14"/>
  <c r="A79" i="14"/>
  <c r="A80" i="14"/>
  <c r="A81" i="14"/>
  <c r="A82" i="14"/>
  <c r="D79" i="14"/>
  <c r="C79" i="14"/>
  <c r="J79" i="14" s="1"/>
  <c r="F79" i="14"/>
  <c r="K79" i="14"/>
  <c r="K85" i="14" s="1"/>
  <c r="L79" i="14"/>
  <c r="L85" i="14" s="1"/>
  <c r="M79" i="14"/>
  <c r="J68" i="12"/>
  <c r="J69" i="12"/>
  <c r="J70" i="12"/>
  <c r="J73" i="12"/>
  <c r="J67" i="12"/>
  <c r="H71" i="12"/>
  <c r="I71" i="12" s="1"/>
  <c r="H69" i="12"/>
  <c r="E218" i="14" s="1"/>
  <c r="F72" i="12"/>
  <c r="J72" i="12" s="1"/>
  <c r="F71" i="11"/>
  <c r="J76" i="11"/>
  <c r="J75" i="11"/>
  <c r="J74" i="11"/>
  <c r="J73" i="11"/>
  <c r="J72" i="11"/>
  <c r="J71" i="11"/>
  <c r="J69" i="11"/>
  <c r="J68" i="11"/>
  <c r="J67" i="11"/>
  <c r="J66" i="11"/>
  <c r="J65" i="11"/>
  <c r="I70" i="11"/>
  <c r="H76" i="10"/>
  <c r="I76" i="10" s="1"/>
  <c r="E79" i="14" s="1"/>
  <c r="H70" i="11"/>
  <c r="F77" i="11"/>
  <c r="F76" i="12"/>
  <c r="C225" i="14" s="1"/>
  <c r="F74" i="12"/>
  <c r="C223" i="14" s="1"/>
  <c r="F73" i="12"/>
  <c r="C222" i="14" s="1"/>
  <c r="F75" i="11"/>
  <c r="F73" i="11"/>
  <c r="F72" i="11"/>
  <c r="K73" i="11"/>
  <c r="K72" i="11"/>
  <c r="H68" i="11"/>
  <c r="F81" i="10"/>
  <c r="F79" i="10"/>
  <c r="J79" i="10" s="1"/>
  <c r="H23" i="17" l="1"/>
  <c r="I23" i="17"/>
  <c r="K23" i="17"/>
  <c r="J74" i="12"/>
  <c r="C221" i="14"/>
  <c r="E220" i="14"/>
  <c r="J76" i="12"/>
  <c r="J75" i="12"/>
  <c r="H79" i="14"/>
  <c r="J18" i="17"/>
  <c r="J23" i="17" s="1"/>
  <c r="G12" i="17"/>
  <c r="G23" i="17" s="1"/>
  <c r="G8" i="7"/>
  <c r="I8" i="7" s="1"/>
  <c r="J11" i="11" l="1"/>
  <c r="H50" i="10" l="1"/>
  <c r="H33" i="10"/>
  <c r="H32" i="10"/>
  <c r="E26" i="15"/>
  <c r="H20" i="11"/>
  <c r="D101" i="14" s="1"/>
  <c r="H21" i="10"/>
  <c r="H23" i="10"/>
  <c r="H12" i="12"/>
  <c r="D164" i="14" s="1"/>
  <c r="H38" i="10"/>
  <c r="H34" i="10"/>
  <c r="G34" i="10"/>
  <c r="C39" i="14" s="1"/>
  <c r="H31" i="10"/>
  <c r="D36" i="14" s="1"/>
  <c r="D242" i="14"/>
  <c r="D243" i="14"/>
  <c r="D241" i="14"/>
  <c r="F6" i="7"/>
  <c r="M80" i="14"/>
  <c r="M82" i="14"/>
  <c r="M245" i="14"/>
  <c r="M234" i="14"/>
  <c r="I233" i="14"/>
  <c r="I239" i="14" s="1"/>
  <c r="W6" i="7" s="1"/>
  <c r="G232" i="14"/>
  <c r="G239" i="14" s="1"/>
  <c r="U6" i="7" s="1"/>
  <c r="E230" i="14"/>
  <c r="M230" i="14" s="1"/>
  <c r="E231" i="14"/>
  <c r="M231" i="14" s="1"/>
  <c r="E234" i="14"/>
  <c r="E228" i="14"/>
  <c r="M228" i="14" s="1"/>
  <c r="I160" i="14"/>
  <c r="I167" i="14"/>
  <c r="I166" i="14"/>
  <c r="I63" i="12"/>
  <c r="E215" i="14" s="1"/>
  <c r="I13" i="12"/>
  <c r="P13" i="12" s="1"/>
  <c r="I12" i="12"/>
  <c r="O12" i="12" s="1"/>
  <c r="G164" i="14" s="1"/>
  <c r="H159" i="14"/>
  <c r="I159" i="14"/>
  <c r="J159" i="14"/>
  <c r="K159" i="14"/>
  <c r="G159" i="14"/>
  <c r="G165" i="14"/>
  <c r="I7" i="12"/>
  <c r="E159" i="14" s="1"/>
  <c r="H144" i="14"/>
  <c r="I63" i="11"/>
  <c r="G101" i="14"/>
  <c r="I99" i="14"/>
  <c r="K96" i="14"/>
  <c r="I95" i="14"/>
  <c r="J95" i="14"/>
  <c r="I91" i="14"/>
  <c r="J94" i="14"/>
  <c r="J37" i="14"/>
  <c r="J41" i="14"/>
  <c r="I70" i="14"/>
  <c r="J62" i="14"/>
  <c r="I57" i="14"/>
  <c r="J46" i="14"/>
  <c r="G46" i="14"/>
  <c r="I107" i="14"/>
  <c r="E244" i="14"/>
  <c r="M244" i="14" s="1"/>
  <c r="F246" i="14"/>
  <c r="C246" i="14"/>
  <c r="G7" i="7" s="1"/>
  <c r="E242" i="14"/>
  <c r="E243" i="14"/>
  <c r="E241" i="14"/>
  <c r="I242" i="14"/>
  <c r="I243" i="14"/>
  <c r="I241" i="14"/>
  <c r="H242" i="14"/>
  <c r="H243" i="14"/>
  <c r="H241" i="14"/>
  <c r="G242" i="14"/>
  <c r="G243" i="14"/>
  <c r="G241" i="14"/>
  <c r="E240" i="14"/>
  <c r="M240" i="14" s="1"/>
  <c r="F239" i="14"/>
  <c r="H239" i="14"/>
  <c r="V6" i="7" s="1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L159" i="14"/>
  <c r="G160" i="14"/>
  <c r="H160" i="14"/>
  <c r="J160" i="14"/>
  <c r="L160" i="14"/>
  <c r="H161" i="14"/>
  <c r="I161" i="14"/>
  <c r="J161" i="14"/>
  <c r="L161" i="14"/>
  <c r="G162" i="14"/>
  <c r="H162" i="14"/>
  <c r="I162" i="14"/>
  <c r="J162" i="14"/>
  <c r="K162" i="14"/>
  <c r="L162" i="14"/>
  <c r="G163" i="14"/>
  <c r="H163" i="14"/>
  <c r="I163" i="14"/>
  <c r="J163" i="14"/>
  <c r="K163" i="14"/>
  <c r="L163" i="14"/>
  <c r="H164" i="14"/>
  <c r="I164" i="14"/>
  <c r="J164" i="14"/>
  <c r="L164" i="14"/>
  <c r="H166" i="14"/>
  <c r="H167" i="14"/>
  <c r="G168" i="14"/>
  <c r="H168" i="14"/>
  <c r="I168" i="14"/>
  <c r="J168" i="14"/>
  <c r="L168" i="14"/>
  <c r="G169" i="14"/>
  <c r="H169" i="14"/>
  <c r="I169" i="14"/>
  <c r="J169" i="14"/>
  <c r="L169" i="14"/>
  <c r="G170" i="14"/>
  <c r="H170" i="14"/>
  <c r="I170" i="14"/>
  <c r="J170" i="14"/>
  <c r="L170" i="14"/>
  <c r="G171" i="14"/>
  <c r="H171" i="14"/>
  <c r="I171" i="14"/>
  <c r="J171" i="14"/>
  <c r="L171" i="14"/>
  <c r="G172" i="14"/>
  <c r="H172" i="14"/>
  <c r="I172" i="14"/>
  <c r="J172" i="14"/>
  <c r="L172" i="14"/>
  <c r="G173" i="14"/>
  <c r="H173" i="14"/>
  <c r="I173" i="14"/>
  <c r="J173" i="14"/>
  <c r="L173" i="14"/>
  <c r="G174" i="14"/>
  <c r="H174" i="14"/>
  <c r="I174" i="14"/>
  <c r="J174" i="14"/>
  <c r="L174" i="14"/>
  <c r="G175" i="14"/>
  <c r="H175" i="14"/>
  <c r="I175" i="14"/>
  <c r="J175" i="14"/>
  <c r="L175" i="14"/>
  <c r="G176" i="14"/>
  <c r="H176" i="14"/>
  <c r="I176" i="14"/>
  <c r="J176" i="14"/>
  <c r="L176" i="14"/>
  <c r="G177" i="14"/>
  <c r="H177" i="14"/>
  <c r="I177" i="14"/>
  <c r="J177" i="14"/>
  <c r="L177" i="14"/>
  <c r="G178" i="14"/>
  <c r="H178" i="14"/>
  <c r="I178" i="14"/>
  <c r="J178" i="14"/>
  <c r="K178" i="14"/>
  <c r="L178" i="14"/>
  <c r="H179" i="14"/>
  <c r="I179" i="14"/>
  <c r="J179" i="14"/>
  <c r="L179" i="14"/>
  <c r="H180" i="14"/>
  <c r="I180" i="14"/>
  <c r="J180" i="14"/>
  <c r="L180" i="14"/>
  <c r="H181" i="14"/>
  <c r="I181" i="14"/>
  <c r="J181" i="14"/>
  <c r="L181" i="14"/>
  <c r="H182" i="14"/>
  <c r="I182" i="14"/>
  <c r="J182" i="14"/>
  <c r="L182" i="14"/>
  <c r="H183" i="14"/>
  <c r="I183" i="14"/>
  <c r="J183" i="14"/>
  <c r="L183" i="14"/>
  <c r="H184" i="14"/>
  <c r="I184" i="14"/>
  <c r="J184" i="14"/>
  <c r="L184" i="14"/>
  <c r="H185" i="14"/>
  <c r="I185" i="14"/>
  <c r="J185" i="14"/>
  <c r="K185" i="14"/>
  <c r="L185" i="14"/>
  <c r="H186" i="14"/>
  <c r="I186" i="14"/>
  <c r="J186" i="14"/>
  <c r="L186" i="14"/>
  <c r="H187" i="14"/>
  <c r="I187" i="14"/>
  <c r="J187" i="14"/>
  <c r="L187" i="14"/>
  <c r="H188" i="14"/>
  <c r="I188" i="14"/>
  <c r="J188" i="14"/>
  <c r="L188" i="14"/>
  <c r="H189" i="14"/>
  <c r="I189" i="14"/>
  <c r="J189" i="14"/>
  <c r="L189" i="14"/>
  <c r="H190" i="14"/>
  <c r="I190" i="14"/>
  <c r="J190" i="14"/>
  <c r="L190" i="14"/>
  <c r="H191" i="14"/>
  <c r="I191" i="14"/>
  <c r="J191" i="14"/>
  <c r="K191" i="14"/>
  <c r="L191" i="14"/>
  <c r="H192" i="14"/>
  <c r="I192" i="14"/>
  <c r="J192" i="14"/>
  <c r="L192" i="14"/>
  <c r="H193" i="14"/>
  <c r="I193" i="14"/>
  <c r="J193" i="14"/>
  <c r="L193" i="14"/>
  <c r="H194" i="14"/>
  <c r="I194" i="14"/>
  <c r="J194" i="14"/>
  <c r="L194" i="14"/>
  <c r="H195" i="14"/>
  <c r="I195" i="14"/>
  <c r="J195" i="14"/>
  <c r="L195" i="14"/>
  <c r="H196" i="14"/>
  <c r="I196" i="14"/>
  <c r="J196" i="14"/>
  <c r="L196" i="14"/>
  <c r="H197" i="14"/>
  <c r="I197" i="14"/>
  <c r="J197" i="14"/>
  <c r="L197" i="14"/>
  <c r="H198" i="14"/>
  <c r="I198" i="14"/>
  <c r="J198" i="14"/>
  <c r="L198" i="14"/>
  <c r="H199" i="14"/>
  <c r="I199" i="14"/>
  <c r="J199" i="14"/>
  <c r="L199" i="14"/>
  <c r="H200" i="14"/>
  <c r="I200" i="14"/>
  <c r="J200" i="14"/>
  <c r="L200" i="14"/>
  <c r="H201" i="14"/>
  <c r="I201" i="14"/>
  <c r="J201" i="14"/>
  <c r="L201" i="14"/>
  <c r="H202" i="14"/>
  <c r="I202" i="14"/>
  <c r="J202" i="14"/>
  <c r="L202" i="14"/>
  <c r="H203" i="14"/>
  <c r="I203" i="14"/>
  <c r="J203" i="14"/>
  <c r="L203" i="14"/>
  <c r="H204" i="14"/>
  <c r="I204" i="14"/>
  <c r="J204" i="14"/>
  <c r="L204" i="14"/>
  <c r="H205" i="14"/>
  <c r="I205" i="14"/>
  <c r="J205" i="14"/>
  <c r="L205" i="14"/>
  <c r="H206" i="14"/>
  <c r="I206" i="14"/>
  <c r="J206" i="14"/>
  <c r="L206" i="14"/>
  <c r="H207" i="14"/>
  <c r="I207" i="14"/>
  <c r="J207" i="14"/>
  <c r="L207" i="14"/>
  <c r="H208" i="14"/>
  <c r="I208" i="14"/>
  <c r="J208" i="14"/>
  <c r="K208" i="14"/>
  <c r="L208" i="14"/>
  <c r="H209" i="14"/>
  <c r="I209" i="14"/>
  <c r="J209" i="14"/>
  <c r="K209" i="14"/>
  <c r="L209" i="14"/>
  <c r="H210" i="14"/>
  <c r="I210" i="14"/>
  <c r="J210" i="14"/>
  <c r="K210" i="14"/>
  <c r="L210" i="14"/>
  <c r="H211" i="14"/>
  <c r="I211" i="14"/>
  <c r="J211" i="14"/>
  <c r="K211" i="14"/>
  <c r="L211" i="14"/>
  <c r="H212" i="14"/>
  <c r="I212" i="14"/>
  <c r="J212" i="14"/>
  <c r="K212" i="14"/>
  <c r="L212" i="14"/>
  <c r="H213" i="14"/>
  <c r="I213" i="14"/>
  <c r="J213" i="14"/>
  <c r="K213" i="14"/>
  <c r="L213" i="14"/>
  <c r="H214" i="14"/>
  <c r="I214" i="14"/>
  <c r="J214" i="14"/>
  <c r="K214" i="14"/>
  <c r="L214" i="14"/>
  <c r="H215" i="14"/>
  <c r="I215" i="14"/>
  <c r="J215" i="14"/>
  <c r="K215" i="14"/>
  <c r="L215" i="14"/>
  <c r="H158" i="14"/>
  <c r="I158" i="14"/>
  <c r="J158" i="14"/>
  <c r="K158" i="14"/>
  <c r="L158" i="14"/>
  <c r="G158" i="14"/>
  <c r="F185" i="14"/>
  <c r="F191" i="14"/>
  <c r="A215" i="14"/>
  <c r="A158" i="14"/>
  <c r="C159" i="14"/>
  <c r="D159" i="14"/>
  <c r="D160" i="14"/>
  <c r="D161" i="14"/>
  <c r="C162" i="14"/>
  <c r="D162" i="14"/>
  <c r="C163" i="14"/>
  <c r="D163" i="14"/>
  <c r="E163" i="14"/>
  <c r="D165" i="14"/>
  <c r="D166" i="14"/>
  <c r="D167" i="14"/>
  <c r="C168" i="14"/>
  <c r="D168" i="14"/>
  <c r="E168" i="14"/>
  <c r="C169" i="14"/>
  <c r="D169" i="14"/>
  <c r="E169" i="14"/>
  <c r="C170" i="14"/>
  <c r="D170" i="14"/>
  <c r="E170" i="14"/>
  <c r="C171" i="14"/>
  <c r="D171" i="14"/>
  <c r="E171" i="14"/>
  <c r="C172" i="14"/>
  <c r="D172" i="14"/>
  <c r="E172" i="14"/>
  <c r="C173" i="14"/>
  <c r="D173" i="14"/>
  <c r="E173" i="14"/>
  <c r="C174" i="14"/>
  <c r="D174" i="14"/>
  <c r="E174" i="14"/>
  <c r="C175" i="14"/>
  <c r="D175" i="14"/>
  <c r="E175" i="14"/>
  <c r="C176" i="14"/>
  <c r="D176" i="14"/>
  <c r="E176" i="14"/>
  <c r="C177" i="14"/>
  <c r="D177" i="14"/>
  <c r="E177" i="14"/>
  <c r="C178" i="14"/>
  <c r="D178" i="14"/>
  <c r="C179" i="14"/>
  <c r="D179" i="14"/>
  <c r="E179" i="14"/>
  <c r="C180" i="14"/>
  <c r="D180" i="14"/>
  <c r="E180" i="14"/>
  <c r="C181" i="14"/>
  <c r="D181" i="14"/>
  <c r="E181" i="14"/>
  <c r="C182" i="14"/>
  <c r="D182" i="14"/>
  <c r="E182" i="14"/>
  <c r="C183" i="14"/>
  <c r="D183" i="14"/>
  <c r="E183" i="14"/>
  <c r="C184" i="14"/>
  <c r="D184" i="14"/>
  <c r="E184" i="14"/>
  <c r="C185" i="14"/>
  <c r="D185" i="14"/>
  <c r="C186" i="14"/>
  <c r="D186" i="14"/>
  <c r="E186" i="14"/>
  <c r="C187" i="14"/>
  <c r="D187" i="14"/>
  <c r="E187" i="14"/>
  <c r="C188" i="14"/>
  <c r="D188" i="14"/>
  <c r="E188" i="14"/>
  <c r="C189" i="14"/>
  <c r="D189" i="14"/>
  <c r="E189" i="14"/>
  <c r="C190" i="14"/>
  <c r="D190" i="14"/>
  <c r="E190" i="14"/>
  <c r="C192" i="14"/>
  <c r="D192" i="14"/>
  <c r="E192" i="14"/>
  <c r="C193" i="14"/>
  <c r="D193" i="14"/>
  <c r="E193" i="14"/>
  <c r="C194" i="14"/>
  <c r="D194" i="14"/>
  <c r="E194" i="14"/>
  <c r="C195" i="14"/>
  <c r="D195" i="14"/>
  <c r="E195" i="14"/>
  <c r="C196" i="14"/>
  <c r="D196" i="14"/>
  <c r="E196" i="14"/>
  <c r="C197" i="14"/>
  <c r="D197" i="14"/>
  <c r="E197" i="14"/>
  <c r="C198" i="14"/>
  <c r="D198" i="14"/>
  <c r="E198" i="14"/>
  <c r="C199" i="14"/>
  <c r="D199" i="14"/>
  <c r="E199" i="14"/>
  <c r="C200" i="14"/>
  <c r="D200" i="14"/>
  <c r="E200" i="14"/>
  <c r="C201" i="14"/>
  <c r="D201" i="14"/>
  <c r="E201" i="14"/>
  <c r="C202" i="14"/>
  <c r="D202" i="14"/>
  <c r="E202" i="14"/>
  <c r="C203" i="14"/>
  <c r="D203" i="14"/>
  <c r="E203" i="14"/>
  <c r="C204" i="14"/>
  <c r="D204" i="14"/>
  <c r="E204" i="14"/>
  <c r="C205" i="14"/>
  <c r="D205" i="14"/>
  <c r="E205" i="14"/>
  <c r="C206" i="14"/>
  <c r="D206" i="14"/>
  <c r="E206" i="14"/>
  <c r="C207" i="14"/>
  <c r="D207" i="14"/>
  <c r="E207" i="14"/>
  <c r="C208" i="14"/>
  <c r="D208" i="14"/>
  <c r="E208" i="14"/>
  <c r="C209" i="14"/>
  <c r="D209" i="14"/>
  <c r="E209" i="14"/>
  <c r="C210" i="14"/>
  <c r="D210" i="14"/>
  <c r="E210" i="14"/>
  <c r="C211" i="14"/>
  <c r="D211" i="14"/>
  <c r="E211" i="14"/>
  <c r="C212" i="14"/>
  <c r="D212" i="14"/>
  <c r="E212" i="14"/>
  <c r="C213" i="14"/>
  <c r="D213" i="14"/>
  <c r="E213" i="14"/>
  <c r="C214" i="14"/>
  <c r="D214" i="14"/>
  <c r="E214" i="14"/>
  <c r="C215" i="14"/>
  <c r="D215" i="14"/>
  <c r="D158" i="14"/>
  <c r="C158" i="14"/>
  <c r="B159" i="14"/>
  <c r="B160" i="14"/>
  <c r="B161" i="14"/>
  <c r="B162" i="14"/>
  <c r="B163" i="14"/>
  <c r="B164" i="14"/>
  <c r="B165" i="14"/>
  <c r="B166" i="14"/>
  <c r="B167" i="14"/>
  <c r="B168" i="14"/>
  <c r="B169" i="14"/>
  <c r="B170" i="14"/>
  <c r="B171" i="14"/>
  <c r="B172" i="14"/>
  <c r="B173" i="14"/>
  <c r="B174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B158" i="14"/>
  <c r="A107" i="14"/>
  <c r="H87" i="14"/>
  <c r="I87" i="14"/>
  <c r="J87" i="14"/>
  <c r="K87" i="14"/>
  <c r="L87" i="14"/>
  <c r="H88" i="14"/>
  <c r="I88" i="14"/>
  <c r="J88" i="14"/>
  <c r="K88" i="14"/>
  <c r="L88" i="14"/>
  <c r="I89" i="14"/>
  <c r="J89" i="14"/>
  <c r="K89" i="14"/>
  <c r="L89" i="14"/>
  <c r="I90" i="14"/>
  <c r="J90" i="14"/>
  <c r="K90" i="14"/>
  <c r="L90" i="14"/>
  <c r="H91" i="14"/>
  <c r="J91" i="14"/>
  <c r="K91" i="14"/>
  <c r="L91" i="14"/>
  <c r="H92" i="14"/>
  <c r="I92" i="14"/>
  <c r="J92" i="14"/>
  <c r="K92" i="14"/>
  <c r="L92" i="14"/>
  <c r="H93" i="14"/>
  <c r="I93" i="14"/>
  <c r="J93" i="14"/>
  <c r="K93" i="14"/>
  <c r="L93" i="14"/>
  <c r="H94" i="14"/>
  <c r="I94" i="14"/>
  <c r="K94" i="14"/>
  <c r="L94" i="14"/>
  <c r="H95" i="14"/>
  <c r="K95" i="14"/>
  <c r="L95" i="14"/>
  <c r="H96" i="14"/>
  <c r="I96" i="14"/>
  <c r="J96" i="14"/>
  <c r="L96" i="14"/>
  <c r="I97" i="14"/>
  <c r="J97" i="14"/>
  <c r="K97" i="14"/>
  <c r="L97" i="14"/>
  <c r="H98" i="14"/>
  <c r="I98" i="14"/>
  <c r="J98" i="14"/>
  <c r="K98" i="14"/>
  <c r="L98" i="14"/>
  <c r="H99" i="14"/>
  <c r="J99" i="14"/>
  <c r="K99" i="14"/>
  <c r="L99" i="14"/>
  <c r="H100" i="14"/>
  <c r="I100" i="14"/>
  <c r="J100" i="14"/>
  <c r="K100" i="14"/>
  <c r="L100" i="14"/>
  <c r="J101" i="14"/>
  <c r="K101" i="14"/>
  <c r="L101" i="14"/>
  <c r="I102" i="14"/>
  <c r="J102" i="14"/>
  <c r="K102" i="14"/>
  <c r="L102" i="14"/>
  <c r="H103" i="14"/>
  <c r="I103" i="14"/>
  <c r="J103" i="14"/>
  <c r="K103" i="14"/>
  <c r="L103" i="14"/>
  <c r="H104" i="14"/>
  <c r="I104" i="14"/>
  <c r="J104" i="14"/>
  <c r="K104" i="14"/>
  <c r="L104" i="14"/>
  <c r="H105" i="14"/>
  <c r="I105" i="14"/>
  <c r="J105" i="14"/>
  <c r="K105" i="14"/>
  <c r="L105" i="14"/>
  <c r="H106" i="14"/>
  <c r="I106" i="14"/>
  <c r="J106" i="14"/>
  <c r="K106" i="14"/>
  <c r="L106" i="14"/>
  <c r="H107" i="14"/>
  <c r="J107" i="14" s="1"/>
  <c r="K107" i="14"/>
  <c r="L107" i="14"/>
  <c r="H108" i="14"/>
  <c r="I108" i="14"/>
  <c r="J108" i="14"/>
  <c r="K108" i="14"/>
  <c r="L108" i="14"/>
  <c r="H109" i="14"/>
  <c r="I109" i="14"/>
  <c r="J109" i="14"/>
  <c r="K109" i="14"/>
  <c r="L109" i="14"/>
  <c r="H110" i="14"/>
  <c r="I110" i="14"/>
  <c r="J110" i="14"/>
  <c r="K110" i="14"/>
  <c r="L110" i="14"/>
  <c r="H111" i="14"/>
  <c r="I111" i="14"/>
  <c r="J111" i="14"/>
  <c r="K111" i="14"/>
  <c r="L111" i="14"/>
  <c r="H112" i="14"/>
  <c r="I112" i="14"/>
  <c r="J112" i="14"/>
  <c r="K112" i="14"/>
  <c r="L112" i="14"/>
  <c r="H113" i="14"/>
  <c r="I113" i="14"/>
  <c r="J113" i="14"/>
  <c r="K113" i="14"/>
  <c r="L113" i="14"/>
  <c r="H114" i="14"/>
  <c r="J114" i="14"/>
  <c r="K114" i="14"/>
  <c r="L114" i="14"/>
  <c r="H115" i="14"/>
  <c r="I115" i="14"/>
  <c r="J115" i="14"/>
  <c r="K115" i="14"/>
  <c r="L115" i="14"/>
  <c r="H116" i="14"/>
  <c r="I116" i="14"/>
  <c r="J116" i="14"/>
  <c r="K116" i="14"/>
  <c r="L116" i="14"/>
  <c r="H117" i="14"/>
  <c r="I117" i="14"/>
  <c r="J117" i="14"/>
  <c r="K117" i="14"/>
  <c r="L117" i="14"/>
  <c r="H118" i="14"/>
  <c r="I118" i="14"/>
  <c r="J118" i="14"/>
  <c r="K118" i="14"/>
  <c r="L118" i="14"/>
  <c r="H119" i="14"/>
  <c r="I119" i="14"/>
  <c r="J119" i="14"/>
  <c r="K119" i="14"/>
  <c r="L119" i="14"/>
  <c r="I120" i="14"/>
  <c r="J120" i="14"/>
  <c r="K120" i="14"/>
  <c r="L120" i="14"/>
  <c r="H121" i="14"/>
  <c r="I121" i="14"/>
  <c r="J121" i="14"/>
  <c r="K121" i="14"/>
  <c r="L121" i="14"/>
  <c r="H122" i="14"/>
  <c r="I122" i="14"/>
  <c r="J122" i="14"/>
  <c r="K122" i="14"/>
  <c r="L122" i="14"/>
  <c r="H123" i="14"/>
  <c r="I123" i="14"/>
  <c r="J123" i="14"/>
  <c r="K123" i="14"/>
  <c r="L123" i="14"/>
  <c r="H124" i="14"/>
  <c r="I124" i="14"/>
  <c r="J124" i="14"/>
  <c r="K124" i="14"/>
  <c r="L124" i="14"/>
  <c r="H125" i="14"/>
  <c r="I125" i="14"/>
  <c r="J125" i="14"/>
  <c r="K125" i="14"/>
  <c r="L125" i="14"/>
  <c r="H126" i="14"/>
  <c r="I126" i="14"/>
  <c r="J126" i="14"/>
  <c r="K126" i="14"/>
  <c r="L126" i="14"/>
  <c r="H127" i="14"/>
  <c r="I127" i="14"/>
  <c r="J127" i="14"/>
  <c r="K127" i="14"/>
  <c r="L127" i="14"/>
  <c r="H128" i="14"/>
  <c r="I128" i="14"/>
  <c r="J128" i="14"/>
  <c r="K128" i="14"/>
  <c r="L128" i="14"/>
  <c r="H129" i="14"/>
  <c r="I129" i="14"/>
  <c r="J129" i="14"/>
  <c r="K129" i="14"/>
  <c r="L129" i="14"/>
  <c r="H130" i="14"/>
  <c r="I130" i="14"/>
  <c r="J130" i="14"/>
  <c r="K130" i="14"/>
  <c r="L130" i="14"/>
  <c r="H131" i="14"/>
  <c r="I131" i="14"/>
  <c r="J131" i="14"/>
  <c r="K131" i="14"/>
  <c r="L131" i="14"/>
  <c r="H132" i="14"/>
  <c r="I132" i="14"/>
  <c r="J132" i="14"/>
  <c r="K132" i="14"/>
  <c r="L132" i="14"/>
  <c r="H133" i="14"/>
  <c r="I133" i="14"/>
  <c r="J133" i="14"/>
  <c r="K133" i="14"/>
  <c r="L133" i="14"/>
  <c r="H134" i="14"/>
  <c r="I134" i="14"/>
  <c r="J134" i="14"/>
  <c r="K134" i="14"/>
  <c r="L134" i="14"/>
  <c r="H135" i="14"/>
  <c r="I135" i="14"/>
  <c r="J135" i="14"/>
  <c r="K135" i="14"/>
  <c r="L135" i="14"/>
  <c r="H136" i="14"/>
  <c r="I136" i="14"/>
  <c r="J136" i="14"/>
  <c r="K136" i="14"/>
  <c r="L136" i="14"/>
  <c r="H137" i="14"/>
  <c r="I137" i="14"/>
  <c r="J137" i="14"/>
  <c r="K137" i="14"/>
  <c r="L137" i="14"/>
  <c r="H138" i="14"/>
  <c r="I138" i="14"/>
  <c r="J138" i="14"/>
  <c r="K138" i="14"/>
  <c r="L138" i="14"/>
  <c r="H139" i="14"/>
  <c r="I139" i="14"/>
  <c r="J139" i="14"/>
  <c r="K139" i="14"/>
  <c r="L139" i="14"/>
  <c r="H140" i="14"/>
  <c r="I140" i="14"/>
  <c r="J140" i="14"/>
  <c r="K140" i="14"/>
  <c r="L140" i="14"/>
  <c r="H141" i="14"/>
  <c r="I141" i="14"/>
  <c r="J141" i="14"/>
  <c r="K141" i="14"/>
  <c r="L141" i="14"/>
  <c r="H142" i="14"/>
  <c r="I142" i="14"/>
  <c r="J142" i="14"/>
  <c r="K142" i="14"/>
  <c r="L142" i="14"/>
  <c r="H143" i="14"/>
  <c r="I143" i="14"/>
  <c r="J143" i="14"/>
  <c r="K143" i="14"/>
  <c r="L143" i="14"/>
  <c r="I144" i="14"/>
  <c r="J144" i="14"/>
  <c r="K144" i="14"/>
  <c r="L144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6" i="14"/>
  <c r="G91" i="14"/>
  <c r="G92" i="14"/>
  <c r="G94" i="14"/>
  <c r="G95" i="14"/>
  <c r="G96" i="14"/>
  <c r="G97" i="14"/>
  <c r="G98" i="14"/>
  <c r="G100" i="14"/>
  <c r="G103" i="14"/>
  <c r="G104" i="14"/>
  <c r="G105" i="14"/>
  <c r="G106" i="14"/>
  <c r="G107" i="14"/>
  <c r="A101" i="14"/>
  <c r="C88" i="14"/>
  <c r="C92" i="14"/>
  <c r="D92" i="14"/>
  <c r="E92" i="14"/>
  <c r="C93" i="14"/>
  <c r="D93" i="14"/>
  <c r="C94" i="14"/>
  <c r="C96" i="14"/>
  <c r="D97" i="14"/>
  <c r="C98" i="14"/>
  <c r="D98" i="14"/>
  <c r="D99" i="14"/>
  <c r="C100" i="14"/>
  <c r="D100" i="14"/>
  <c r="E100" i="14"/>
  <c r="C101" i="14"/>
  <c r="C102" i="14"/>
  <c r="C103" i="14"/>
  <c r="D103" i="14"/>
  <c r="E103" i="14"/>
  <c r="C104" i="14"/>
  <c r="D104" i="14"/>
  <c r="E104" i="14"/>
  <c r="C105" i="14"/>
  <c r="D105" i="14"/>
  <c r="E105" i="14"/>
  <c r="C106" i="14"/>
  <c r="D106" i="14"/>
  <c r="E106" i="14"/>
  <c r="C107" i="14"/>
  <c r="C108" i="14"/>
  <c r="D108" i="14"/>
  <c r="E108" i="14"/>
  <c r="C109" i="14"/>
  <c r="D109" i="14"/>
  <c r="E109" i="14"/>
  <c r="C110" i="14"/>
  <c r="D110" i="14"/>
  <c r="E110" i="14"/>
  <c r="C111" i="14"/>
  <c r="D111" i="14"/>
  <c r="E111" i="14"/>
  <c r="C112" i="14"/>
  <c r="D112" i="14"/>
  <c r="E112" i="14"/>
  <c r="C113" i="14"/>
  <c r="D113" i="14"/>
  <c r="E113" i="14"/>
  <c r="C114" i="14"/>
  <c r="D114" i="14"/>
  <c r="C115" i="14"/>
  <c r="D115" i="14"/>
  <c r="E115" i="14"/>
  <c r="C116" i="14"/>
  <c r="D116" i="14"/>
  <c r="E116" i="14"/>
  <c r="C117" i="14"/>
  <c r="D117" i="14"/>
  <c r="E117" i="14"/>
  <c r="C118" i="14"/>
  <c r="D118" i="14"/>
  <c r="E118" i="14"/>
  <c r="C119" i="14"/>
  <c r="D119" i="14"/>
  <c r="E119" i="14"/>
  <c r="C121" i="14"/>
  <c r="D121" i="14"/>
  <c r="E121" i="14"/>
  <c r="C122" i="14"/>
  <c r="D122" i="14"/>
  <c r="E122" i="14"/>
  <c r="C123" i="14"/>
  <c r="D123" i="14"/>
  <c r="E123" i="14"/>
  <c r="C124" i="14"/>
  <c r="D124" i="14"/>
  <c r="E124" i="14"/>
  <c r="C125" i="14"/>
  <c r="D125" i="14"/>
  <c r="E125" i="14"/>
  <c r="C126" i="14"/>
  <c r="D126" i="14"/>
  <c r="E126" i="14"/>
  <c r="C127" i="14"/>
  <c r="D127" i="14"/>
  <c r="E127" i="14"/>
  <c r="C128" i="14"/>
  <c r="D128" i="14"/>
  <c r="E128" i="14"/>
  <c r="C129" i="14"/>
  <c r="D129" i="14"/>
  <c r="E129" i="14"/>
  <c r="C130" i="14"/>
  <c r="D130" i="14"/>
  <c r="E130" i="14"/>
  <c r="C131" i="14"/>
  <c r="D131" i="14"/>
  <c r="E131" i="14"/>
  <c r="C132" i="14"/>
  <c r="D132" i="14"/>
  <c r="E132" i="14"/>
  <c r="C133" i="14"/>
  <c r="D133" i="14"/>
  <c r="E133" i="14"/>
  <c r="C134" i="14"/>
  <c r="D134" i="14"/>
  <c r="E134" i="14"/>
  <c r="C135" i="14"/>
  <c r="D135" i="14"/>
  <c r="E135" i="14"/>
  <c r="C136" i="14"/>
  <c r="D136" i="14"/>
  <c r="E136" i="14"/>
  <c r="C137" i="14"/>
  <c r="D137" i="14"/>
  <c r="E137" i="14"/>
  <c r="C138" i="14"/>
  <c r="D138" i="14"/>
  <c r="E138" i="14"/>
  <c r="C139" i="14"/>
  <c r="D139" i="14"/>
  <c r="E139" i="14"/>
  <c r="C140" i="14"/>
  <c r="D140" i="14"/>
  <c r="E140" i="14"/>
  <c r="C141" i="14"/>
  <c r="D141" i="14"/>
  <c r="E141" i="14"/>
  <c r="C142" i="14"/>
  <c r="D142" i="14"/>
  <c r="E142" i="14"/>
  <c r="C143" i="14"/>
  <c r="D143" i="14"/>
  <c r="E143" i="14"/>
  <c r="C144" i="14"/>
  <c r="D144" i="14"/>
  <c r="E144" i="14"/>
  <c r="C145" i="14"/>
  <c r="D145" i="14"/>
  <c r="E145" i="14"/>
  <c r="C146" i="14"/>
  <c r="D146" i="14"/>
  <c r="E146" i="14"/>
  <c r="C147" i="14"/>
  <c r="E147" i="14"/>
  <c r="C148" i="14"/>
  <c r="D148" i="14"/>
  <c r="E148" i="14"/>
  <c r="C149" i="14"/>
  <c r="D149" i="14"/>
  <c r="E149" i="14"/>
  <c r="C87" i="14"/>
  <c r="B150" i="14"/>
  <c r="A149" i="14"/>
  <c r="B149" i="14"/>
  <c r="A88" i="14"/>
  <c r="B88" i="14"/>
  <c r="A89" i="14"/>
  <c r="B89" i="14"/>
  <c r="A90" i="14"/>
  <c r="B90" i="14"/>
  <c r="A91" i="14"/>
  <c r="B91" i="14"/>
  <c r="A92" i="14"/>
  <c r="B92" i="14"/>
  <c r="A93" i="14"/>
  <c r="B93" i="14"/>
  <c r="A94" i="14"/>
  <c r="B94" i="14"/>
  <c r="A95" i="14"/>
  <c r="B95" i="14"/>
  <c r="A96" i="14"/>
  <c r="B96" i="14"/>
  <c r="A97" i="14"/>
  <c r="B97" i="14"/>
  <c r="A98" i="14"/>
  <c r="B98" i="14"/>
  <c r="A99" i="14"/>
  <c r="B99" i="14"/>
  <c r="A100" i="14"/>
  <c r="B100" i="14"/>
  <c r="B101" i="14"/>
  <c r="A102" i="14"/>
  <c r="B102" i="14"/>
  <c r="A103" i="14"/>
  <c r="B103" i="14"/>
  <c r="A104" i="14"/>
  <c r="B104" i="14"/>
  <c r="A105" i="14"/>
  <c r="B105" i="14"/>
  <c r="A106" i="14"/>
  <c r="B106" i="14"/>
  <c r="B107" i="14"/>
  <c r="A108" i="14"/>
  <c r="B108" i="14"/>
  <c r="A109" i="14"/>
  <c r="B109" i="14"/>
  <c r="A110" i="14"/>
  <c r="B110" i="14"/>
  <c r="A111" i="14"/>
  <c r="B111" i="14"/>
  <c r="A112" i="14"/>
  <c r="B112" i="14"/>
  <c r="A113" i="14"/>
  <c r="B113" i="14"/>
  <c r="A114" i="14"/>
  <c r="B114" i="14"/>
  <c r="A115" i="14"/>
  <c r="B115" i="14"/>
  <c r="A116" i="14"/>
  <c r="B116" i="14"/>
  <c r="A117" i="14"/>
  <c r="B117" i="14"/>
  <c r="A118" i="14"/>
  <c r="B118" i="14"/>
  <c r="A119" i="14"/>
  <c r="B119" i="14"/>
  <c r="A120" i="14"/>
  <c r="B120" i="14"/>
  <c r="A121" i="14"/>
  <c r="B121" i="14"/>
  <c r="A122" i="14"/>
  <c r="B122" i="14"/>
  <c r="A123" i="14"/>
  <c r="B123" i="14"/>
  <c r="A124" i="14"/>
  <c r="B124" i="14"/>
  <c r="A125" i="14"/>
  <c r="B125" i="14"/>
  <c r="A126" i="14"/>
  <c r="B126" i="14"/>
  <c r="A127" i="14"/>
  <c r="B127" i="14"/>
  <c r="A128" i="14"/>
  <c r="B128" i="14"/>
  <c r="A129" i="14"/>
  <c r="B129" i="14"/>
  <c r="A130" i="14"/>
  <c r="B130" i="14"/>
  <c r="A131" i="14"/>
  <c r="B131" i="14"/>
  <c r="A132" i="14"/>
  <c r="B132" i="14"/>
  <c r="A133" i="14"/>
  <c r="B133" i="14"/>
  <c r="A134" i="14"/>
  <c r="B134" i="14"/>
  <c r="A135" i="14"/>
  <c r="B135" i="14"/>
  <c r="A136" i="14"/>
  <c r="B136" i="14"/>
  <c r="A137" i="14"/>
  <c r="B137" i="14"/>
  <c r="A138" i="14"/>
  <c r="B138" i="14"/>
  <c r="A139" i="14"/>
  <c r="B139" i="14"/>
  <c r="A140" i="14"/>
  <c r="B140" i="14"/>
  <c r="A141" i="14"/>
  <c r="B141" i="14"/>
  <c r="A142" i="14"/>
  <c r="B142" i="14"/>
  <c r="A143" i="14"/>
  <c r="B143" i="14"/>
  <c r="A144" i="14"/>
  <c r="B144" i="14"/>
  <c r="A145" i="14"/>
  <c r="B145" i="14"/>
  <c r="A146" i="14"/>
  <c r="B146" i="14"/>
  <c r="A147" i="14"/>
  <c r="B147" i="14"/>
  <c r="A148" i="14"/>
  <c r="B148" i="14"/>
  <c r="B87" i="14"/>
  <c r="A87" i="14"/>
  <c r="D76" i="14"/>
  <c r="C75" i="14"/>
  <c r="C76" i="14"/>
  <c r="D77" i="14"/>
  <c r="E35" i="15" s="1"/>
  <c r="C77" i="14"/>
  <c r="C78" i="14"/>
  <c r="D36" i="15" s="1"/>
  <c r="A78" i="14"/>
  <c r="B76" i="14"/>
  <c r="B77" i="14"/>
  <c r="B78" i="14"/>
  <c r="B36" i="15" s="1"/>
  <c r="B79" i="14"/>
  <c r="B75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13" i="14"/>
  <c r="E21" i="14"/>
  <c r="E38" i="14"/>
  <c r="D18" i="14"/>
  <c r="D21" i="14"/>
  <c r="D26" i="14"/>
  <c r="D32" i="14"/>
  <c r="D35" i="14"/>
  <c r="D37" i="14"/>
  <c r="D38" i="14"/>
  <c r="D41" i="14"/>
  <c r="D42" i="14"/>
  <c r="D44" i="14"/>
  <c r="D45" i="14"/>
  <c r="D47" i="14"/>
  <c r="D49" i="14"/>
  <c r="D50" i="14"/>
  <c r="D51" i="14"/>
  <c r="D52" i="14"/>
  <c r="D53" i="14"/>
  <c r="D54" i="14"/>
  <c r="D55" i="14"/>
  <c r="D56" i="14"/>
  <c r="D57" i="14"/>
  <c r="D59" i="14"/>
  <c r="D60" i="14"/>
  <c r="D64" i="14"/>
  <c r="D65" i="14"/>
  <c r="D67" i="14"/>
  <c r="D68" i="14"/>
  <c r="D69" i="14"/>
  <c r="D71" i="14"/>
  <c r="D72" i="14"/>
  <c r="D73" i="14"/>
  <c r="C14" i="14"/>
  <c r="C15" i="14"/>
  <c r="D10" i="15" s="1"/>
  <c r="C16" i="14"/>
  <c r="C17" i="14"/>
  <c r="C18" i="14"/>
  <c r="C19" i="14"/>
  <c r="C20" i="14"/>
  <c r="C22" i="14"/>
  <c r="C23" i="14"/>
  <c r="C24" i="14"/>
  <c r="C25" i="14"/>
  <c r="C26" i="14"/>
  <c r="C27" i="14"/>
  <c r="C28" i="14"/>
  <c r="C29" i="14"/>
  <c r="C30" i="14"/>
  <c r="C31" i="14"/>
  <c r="C33" i="14"/>
  <c r="C35" i="14"/>
  <c r="C36" i="14"/>
  <c r="D24" i="15" s="1"/>
  <c r="C37" i="14"/>
  <c r="C40" i="14"/>
  <c r="C42" i="14"/>
  <c r="C45" i="14"/>
  <c r="C47" i="14"/>
  <c r="C48" i="14"/>
  <c r="C49" i="14"/>
  <c r="C50" i="14"/>
  <c r="C51" i="14"/>
  <c r="C52" i="14"/>
  <c r="C53" i="14"/>
  <c r="C54" i="14"/>
  <c r="C55" i="14"/>
  <c r="C56" i="14"/>
  <c r="C57" i="14"/>
  <c r="C59" i="14"/>
  <c r="C60" i="14"/>
  <c r="C61" i="14"/>
  <c r="C64" i="14"/>
  <c r="C65" i="14"/>
  <c r="C67" i="14"/>
  <c r="C68" i="14"/>
  <c r="C69" i="14"/>
  <c r="C70" i="14"/>
  <c r="C71" i="14"/>
  <c r="C72" i="14"/>
  <c r="C73" i="14"/>
  <c r="C74" i="14"/>
  <c r="H16" i="14"/>
  <c r="I16" i="14"/>
  <c r="J16" i="14"/>
  <c r="H17" i="14"/>
  <c r="I17" i="14"/>
  <c r="J17" i="14"/>
  <c r="H18" i="14"/>
  <c r="I18" i="14"/>
  <c r="J18" i="14"/>
  <c r="H19" i="14"/>
  <c r="I19" i="14"/>
  <c r="J19" i="14"/>
  <c r="H20" i="14"/>
  <c r="I20" i="14"/>
  <c r="J20" i="14"/>
  <c r="G21" i="14"/>
  <c r="H21" i="14"/>
  <c r="I21" i="14"/>
  <c r="J21" i="14"/>
  <c r="G22" i="14"/>
  <c r="H22" i="14"/>
  <c r="I22" i="14"/>
  <c r="J22" i="14"/>
  <c r="G23" i="14"/>
  <c r="H23" i="14"/>
  <c r="I23" i="14"/>
  <c r="J23" i="14"/>
  <c r="G24" i="14"/>
  <c r="H24" i="14"/>
  <c r="I24" i="14"/>
  <c r="J24" i="14"/>
  <c r="G25" i="14"/>
  <c r="H25" i="14"/>
  <c r="I25" i="14"/>
  <c r="J25" i="14"/>
  <c r="H26" i="14"/>
  <c r="I26" i="14"/>
  <c r="J26" i="14"/>
  <c r="G27" i="14"/>
  <c r="H27" i="14"/>
  <c r="I27" i="14"/>
  <c r="J27" i="14"/>
  <c r="G28" i="14"/>
  <c r="H28" i="14"/>
  <c r="I28" i="14"/>
  <c r="J28" i="14"/>
  <c r="I29" i="14"/>
  <c r="J29" i="14"/>
  <c r="G30" i="14"/>
  <c r="H30" i="14"/>
  <c r="I30" i="14"/>
  <c r="J30" i="14"/>
  <c r="G31" i="14"/>
  <c r="H31" i="14"/>
  <c r="I31" i="14"/>
  <c r="J31" i="14"/>
  <c r="I32" i="14"/>
  <c r="J32" i="14"/>
  <c r="G33" i="14"/>
  <c r="H33" i="14"/>
  <c r="I33" i="14"/>
  <c r="J33" i="14"/>
  <c r="G34" i="14"/>
  <c r="H34" i="14"/>
  <c r="I34" i="14"/>
  <c r="J34" i="14"/>
  <c r="G35" i="14"/>
  <c r="H35" i="14"/>
  <c r="I35" i="14"/>
  <c r="J35" i="14"/>
  <c r="H36" i="14"/>
  <c r="G37" i="14"/>
  <c r="H37" i="14"/>
  <c r="I37" i="14"/>
  <c r="I38" i="14"/>
  <c r="J38" i="14"/>
  <c r="G39" i="14"/>
  <c r="H39" i="14"/>
  <c r="J39" i="14"/>
  <c r="G40" i="14"/>
  <c r="H40" i="14"/>
  <c r="J40" i="14"/>
  <c r="G41" i="14"/>
  <c r="H41" i="14"/>
  <c r="I41" i="14"/>
  <c r="G42" i="14"/>
  <c r="H42" i="14"/>
  <c r="I42" i="14"/>
  <c r="J42" i="14"/>
  <c r="G43" i="14"/>
  <c r="H43" i="14"/>
  <c r="I43" i="14"/>
  <c r="J43" i="14"/>
  <c r="G44" i="14"/>
  <c r="H44" i="14"/>
  <c r="J44" i="14"/>
  <c r="G45" i="14"/>
  <c r="H45" i="14"/>
  <c r="I45" i="14"/>
  <c r="J45" i="14"/>
  <c r="H46" i="14"/>
  <c r="I46" i="14"/>
  <c r="G47" i="14"/>
  <c r="H47" i="14"/>
  <c r="I47" i="14"/>
  <c r="J47" i="14"/>
  <c r="G48" i="14"/>
  <c r="H48" i="14"/>
  <c r="J48" i="14"/>
  <c r="G49" i="14"/>
  <c r="H49" i="14"/>
  <c r="I49" i="14"/>
  <c r="J49" i="14"/>
  <c r="G50" i="14"/>
  <c r="H50" i="14"/>
  <c r="I50" i="14"/>
  <c r="J50" i="14"/>
  <c r="G51" i="14"/>
  <c r="H51" i="14"/>
  <c r="I51" i="14"/>
  <c r="J51" i="14"/>
  <c r="G52" i="14"/>
  <c r="H52" i="14"/>
  <c r="I52" i="14"/>
  <c r="J52" i="14"/>
  <c r="I53" i="14"/>
  <c r="J53" i="14"/>
  <c r="G54" i="14"/>
  <c r="H54" i="14"/>
  <c r="I54" i="14"/>
  <c r="J54" i="14"/>
  <c r="J55" i="14"/>
  <c r="G56" i="14"/>
  <c r="H56" i="14"/>
  <c r="I56" i="14"/>
  <c r="J56" i="14"/>
  <c r="G57" i="14"/>
  <c r="J57" i="14"/>
  <c r="G58" i="14"/>
  <c r="J58" i="14"/>
  <c r="G59" i="14"/>
  <c r="H59" i="14"/>
  <c r="I59" i="14"/>
  <c r="J59" i="14"/>
  <c r="G60" i="14"/>
  <c r="H60" i="14"/>
  <c r="I60" i="14"/>
  <c r="J60" i="14"/>
  <c r="G61" i="14"/>
  <c r="H61" i="14"/>
  <c r="I61" i="14"/>
  <c r="J61" i="14"/>
  <c r="G62" i="14"/>
  <c r="H62" i="14"/>
  <c r="I62" i="14"/>
  <c r="G63" i="14"/>
  <c r="H63" i="14"/>
  <c r="I63" i="14"/>
  <c r="J63" i="14"/>
  <c r="G64" i="14"/>
  <c r="H64" i="14"/>
  <c r="I64" i="14"/>
  <c r="J64" i="14"/>
  <c r="G65" i="14"/>
  <c r="H65" i="14"/>
  <c r="I65" i="14"/>
  <c r="J65" i="14"/>
  <c r="G66" i="14"/>
  <c r="H66" i="14"/>
  <c r="I66" i="14"/>
  <c r="J66" i="14"/>
  <c r="G67" i="14"/>
  <c r="H67" i="14"/>
  <c r="I67" i="14"/>
  <c r="J67" i="14"/>
  <c r="G68" i="14"/>
  <c r="H68" i="14"/>
  <c r="I68" i="14"/>
  <c r="J68" i="14"/>
  <c r="G69" i="14"/>
  <c r="H69" i="14"/>
  <c r="I69" i="14"/>
  <c r="J69" i="14"/>
  <c r="G70" i="14"/>
  <c r="H70" i="14"/>
  <c r="J70" i="14"/>
  <c r="G71" i="14"/>
  <c r="H71" i="14"/>
  <c r="I71" i="14"/>
  <c r="J71" i="14"/>
  <c r="G72" i="14"/>
  <c r="H72" i="14"/>
  <c r="I72" i="14"/>
  <c r="J72" i="14"/>
  <c r="G73" i="14"/>
  <c r="H73" i="14"/>
  <c r="I73" i="14"/>
  <c r="J73" i="14"/>
  <c r="G74" i="14"/>
  <c r="J74" i="14"/>
  <c r="H15" i="14"/>
  <c r="I15" i="14"/>
  <c r="J15" i="14"/>
  <c r="G18" i="11"/>
  <c r="E99" i="14" s="1"/>
  <c r="G16" i="11"/>
  <c r="C97" i="14" s="1"/>
  <c r="U64" i="11"/>
  <c r="V64" i="11"/>
  <c r="Z12" i="7"/>
  <c r="Z14" i="7" s="1"/>
  <c r="U5" i="7"/>
  <c r="X9" i="4"/>
  <c r="X11" i="4" s="1"/>
  <c r="G15" i="12"/>
  <c r="C167" i="14" s="1"/>
  <c r="G14" i="12"/>
  <c r="C166" i="14" s="1"/>
  <c r="G9" i="12"/>
  <c r="I9" i="12" s="1"/>
  <c r="E161" i="14" s="1"/>
  <c r="G8" i="12"/>
  <c r="C160" i="14" s="1"/>
  <c r="H4" i="12"/>
  <c r="I12" i="11"/>
  <c r="P12" i="11" s="1"/>
  <c r="G93" i="14" s="1"/>
  <c r="H7" i="11"/>
  <c r="D88" i="14" s="1"/>
  <c r="K82" i="10"/>
  <c r="U82" i="10"/>
  <c r="W52" i="10"/>
  <c r="X43" i="10"/>
  <c r="I48" i="14" s="1"/>
  <c r="X39" i="10"/>
  <c r="X35" i="10"/>
  <c r="I40" i="14" s="1"/>
  <c r="X34" i="10"/>
  <c r="I39" i="14" s="1"/>
  <c r="W33" i="10"/>
  <c r="Y31" i="10"/>
  <c r="J36" i="14" s="1"/>
  <c r="W27" i="10"/>
  <c r="W24" i="10"/>
  <c r="V21" i="10"/>
  <c r="Z16" i="10"/>
  <c r="AA16" i="10" s="1"/>
  <c r="Z33" i="10"/>
  <c r="Z71" i="10"/>
  <c r="AA71" i="10" s="1"/>
  <c r="H35" i="10"/>
  <c r="D40" i="14" s="1"/>
  <c r="V33" i="10"/>
  <c r="J73" i="10"/>
  <c r="J77" i="10"/>
  <c r="W77" i="10" s="1"/>
  <c r="Z76" i="10"/>
  <c r="H43" i="10"/>
  <c r="D48" i="14" s="1"/>
  <c r="F226" i="14" l="1"/>
  <c r="J9" i="12"/>
  <c r="Y70" i="10"/>
  <c r="Y82" i="10" s="1"/>
  <c r="W9" i="4" s="1"/>
  <c r="W11" i="4" s="1"/>
  <c r="J85" i="14"/>
  <c r="M76" i="14"/>
  <c r="M243" i="14"/>
  <c r="M242" i="14"/>
  <c r="M173" i="14"/>
  <c r="H246" i="14"/>
  <c r="V7" i="7" s="1"/>
  <c r="M241" i="14"/>
  <c r="M190" i="14"/>
  <c r="M181" i="14"/>
  <c r="M203" i="14"/>
  <c r="D246" i="14"/>
  <c r="M211" i="14"/>
  <c r="M111" i="14"/>
  <c r="M105" i="14"/>
  <c r="M195" i="14"/>
  <c r="M186" i="14"/>
  <c r="M98" i="14"/>
  <c r="M77" i="14"/>
  <c r="M206" i="14"/>
  <c r="J15" i="12"/>
  <c r="O15" i="12" s="1"/>
  <c r="G167" i="14" s="1"/>
  <c r="M208" i="14"/>
  <c r="M200" i="14"/>
  <c r="M192" i="14"/>
  <c r="M180" i="14"/>
  <c r="M177" i="14"/>
  <c r="M169" i="14"/>
  <c r="J8" i="12"/>
  <c r="M214" i="14"/>
  <c r="M198" i="14"/>
  <c r="M188" i="14"/>
  <c r="M174" i="14"/>
  <c r="M210" i="14"/>
  <c r="M202" i="14"/>
  <c r="M194" i="14"/>
  <c r="M182" i="14"/>
  <c r="M171" i="14"/>
  <c r="M159" i="14"/>
  <c r="M215" i="14"/>
  <c r="M207" i="14"/>
  <c r="M199" i="14"/>
  <c r="M179" i="14"/>
  <c r="M176" i="14"/>
  <c r="M168" i="14"/>
  <c r="M163" i="14"/>
  <c r="I15" i="12"/>
  <c r="E167" i="14" s="1"/>
  <c r="M167" i="14" s="1"/>
  <c r="M205" i="14"/>
  <c r="M187" i="14"/>
  <c r="M209" i="14"/>
  <c r="M201" i="14"/>
  <c r="M193" i="14"/>
  <c r="M170" i="14"/>
  <c r="M213" i="14"/>
  <c r="M197" i="14"/>
  <c r="M212" i="14"/>
  <c r="M204" i="14"/>
  <c r="M196" i="14"/>
  <c r="M184" i="14"/>
  <c r="J14" i="12"/>
  <c r="O14" i="12" s="1"/>
  <c r="G166" i="14" s="1"/>
  <c r="M189" i="14"/>
  <c r="M175" i="14"/>
  <c r="E165" i="14"/>
  <c r="M165" i="14" s="1"/>
  <c r="M172" i="14"/>
  <c r="M144" i="14"/>
  <c r="M128" i="14"/>
  <c r="M136" i="14"/>
  <c r="M106" i="14"/>
  <c r="M119" i="14"/>
  <c r="M146" i="14"/>
  <c r="M108" i="14"/>
  <c r="M138" i="14"/>
  <c r="M130" i="14"/>
  <c r="M122" i="14"/>
  <c r="M133" i="14"/>
  <c r="M110" i="14"/>
  <c r="M140" i="14"/>
  <c r="M124" i="14"/>
  <c r="M112" i="14"/>
  <c r="M141" i="14"/>
  <c r="M125" i="14"/>
  <c r="M113" i="14"/>
  <c r="M135" i="14"/>
  <c r="M115" i="14"/>
  <c r="M145" i="14"/>
  <c r="M137" i="14"/>
  <c r="M129" i="14"/>
  <c r="M121" i="14"/>
  <c r="M109" i="14"/>
  <c r="M103" i="14"/>
  <c r="M142" i="14"/>
  <c r="M134" i="14"/>
  <c r="M126" i="14"/>
  <c r="M117" i="14"/>
  <c r="M116" i="14"/>
  <c r="M104" i="14"/>
  <c r="M143" i="14"/>
  <c r="M127" i="14"/>
  <c r="M118" i="14"/>
  <c r="M132" i="14"/>
  <c r="I16" i="11"/>
  <c r="E97" i="14" s="1"/>
  <c r="M97" i="14" s="1"/>
  <c r="M139" i="14"/>
  <c r="M131" i="14"/>
  <c r="M123" i="14"/>
  <c r="W70" i="10"/>
  <c r="M38" i="14"/>
  <c r="M92" i="14"/>
  <c r="W79" i="10"/>
  <c r="X79" i="10" s="1"/>
  <c r="W78" i="10"/>
  <c r="X78" i="10" s="1"/>
  <c r="D16" i="15"/>
  <c r="X70" i="10"/>
  <c r="D35" i="15"/>
  <c r="F35" i="15" s="1"/>
  <c r="M100" i="14"/>
  <c r="E164" i="14"/>
  <c r="M164" i="14" s="1"/>
  <c r="X77" i="10"/>
  <c r="AA77" i="10" s="1"/>
  <c r="I44" i="14"/>
  <c r="I85" i="14" s="1"/>
  <c r="G26" i="14"/>
  <c r="W76" i="10"/>
  <c r="E93" i="14"/>
  <c r="M93" i="14" s="1"/>
  <c r="C99" i="14"/>
  <c r="M99" i="14" s="1"/>
  <c r="I14" i="12"/>
  <c r="E166" i="14" s="1"/>
  <c r="M166" i="14" s="1"/>
  <c r="M183" i="14"/>
  <c r="C161" i="14"/>
  <c r="M161" i="14" s="1"/>
  <c r="O9" i="12"/>
  <c r="G161" i="14" s="1"/>
  <c r="G226" i="14" s="1"/>
  <c r="I8" i="12"/>
  <c r="E160" i="14" s="1"/>
  <c r="M160" i="14" s="1"/>
  <c r="G246" i="14"/>
  <c r="U7" i="7" s="1"/>
  <c r="I246" i="14"/>
  <c r="W7" i="7" s="1"/>
  <c r="E246" i="14"/>
  <c r="I7" i="7" s="1"/>
  <c r="H41" i="10"/>
  <c r="D46" i="14" s="1"/>
  <c r="D43" i="14"/>
  <c r="M246" i="14" l="1"/>
  <c r="H7" i="7"/>
  <c r="X76" i="10"/>
  <c r="X82" i="10" s="1"/>
  <c r="V9" i="4" s="1"/>
  <c r="W82" i="10"/>
  <c r="U9" i="4" s="1"/>
  <c r="H165" i="14"/>
  <c r="H226" i="14" s="1"/>
  <c r="Q13" i="12"/>
  <c r="D147" i="14"/>
  <c r="H12" i="10"/>
  <c r="D17" i="14" s="1"/>
  <c r="H18" i="10"/>
  <c r="D23" i="14" s="1"/>
  <c r="H17" i="10"/>
  <c r="D22" i="14" s="1"/>
  <c r="H10" i="10"/>
  <c r="D15" i="14" s="1"/>
  <c r="H9" i="10"/>
  <c r="D14" i="14" s="1"/>
  <c r="H19" i="10"/>
  <c r="H57" i="10"/>
  <c r="D62" i="14" s="1"/>
  <c r="G57" i="10"/>
  <c r="C62" i="14" s="1"/>
  <c r="D17" i="15" s="1"/>
  <c r="H58" i="10"/>
  <c r="D63" i="14" s="1"/>
  <c r="H65" i="10"/>
  <c r="D70" i="14" s="1"/>
  <c r="H28" i="10"/>
  <c r="D33" i="14" s="1"/>
  <c r="H25" i="10"/>
  <c r="D30" i="14" s="1"/>
  <c r="H26" i="10"/>
  <c r="D31" i="14" s="1"/>
  <c r="D39" i="14"/>
  <c r="AA76" i="10" l="1"/>
  <c r="I19" i="10"/>
  <c r="Z19" i="10" s="1"/>
  <c r="AA19" i="10" s="1"/>
  <c r="D24" i="14"/>
  <c r="R13" i="12"/>
  <c r="I165" i="14"/>
  <c r="I226" i="14" s="1"/>
  <c r="H13" i="11"/>
  <c r="D94" i="14" s="1"/>
  <c r="H29" i="10"/>
  <c r="D34" i="14" s="1"/>
  <c r="I26" i="10"/>
  <c r="F39" i="12"/>
  <c r="E39" i="12"/>
  <c r="F31" i="12"/>
  <c r="F31" i="11"/>
  <c r="E31" i="11"/>
  <c r="F39" i="11"/>
  <c r="E39" i="11"/>
  <c r="G39" i="12"/>
  <c r="G39" i="11"/>
  <c r="I73" i="10"/>
  <c r="Z73" i="10" s="1"/>
  <c r="AA73" i="10" s="1"/>
  <c r="I72" i="10"/>
  <c r="H75" i="10"/>
  <c r="H26" i="11"/>
  <c r="D107" i="14" s="1"/>
  <c r="H10" i="11"/>
  <c r="D91" i="14" s="1"/>
  <c r="G58" i="10"/>
  <c r="C63" i="14" s="1"/>
  <c r="H56" i="10"/>
  <c r="D61" i="14" s="1"/>
  <c r="E16" i="15" s="1"/>
  <c r="H72" i="10"/>
  <c r="D75" i="14" s="1"/>
  <c r="H20" i="10"/>
  <c r="D25" i="14" s="1"/>
  <c r="E17" i="15" s="1"/>
  <c r="H53" i="10"/>
  <c r="D58" i="14" s="1"/>
  <c r="H22" i="10"/>
  <c r="D27" i="14" s="1"/>
  <c r="D28" i="14"/>
  <c r="J31" i="12" l="1"/>
  <c r="K19" i="10"/>
  <c r="I75" i="10"/>
  <c r="D78" i="14"/>
  <c r="E36" i="15" s="1"/>
  <c r="F36" i="15" s="1"/>
  <c r="E24" i="14"/>
  <c r="M24" i="14" s="1"/>
  <c r="E31" i="14"/>
  <c r="M31" i="14" s="1"/>
  <c r="Z26" i="10"/>
  <c r="AA26" i="10" s="1"/>
  <c r="E75" i="14"/>
  <c r="H75" i="14" s="1"/>
  <c r="Z72" i="10"/>
  <c r="AA72" i="10" s="1"/>
  <c r="H39" i="11"/>
  <c r="C120" i="14"/>
  <c r="I249" i="14"/>
  <c r="H39" i="12"/>
  <c r="C191" i="14"/>
  <c r="C226" i="14" s="1"/>
  <c r="S13" i="12"/>
  <c r="J165" i="14"/>
  <c r="J226" i="14" s="1"/>
  <c r="I20" i="11"/>
  <c r="E101" i="14" s="1"/>
  <c r="M101" i="14" s="1"/>
  <c r="I74" i="10"/>
  <c r="F34" i="15"/>
  <c r="M75" i="14" l="1"/>
  <c r="E78" i="14"/>
  <c r="H78" i="14" s="1"/>
  <c r="H85" i="14" s="1"/>
  <c r="Z75" i="10"/>
  <c r="AA75" i="10" s="1"/>
  <c r="I39" i="11"/>
  <c r="E120" i="14" s="1"/>
  <c r="D120" i="14"/>
  <c r="I39" i="12"/>
  <c r="E191" i="14" s="1"/>
  <c r="D191" i="14"/>
  <c r="D226" i="14" s="1"/>
  <c r="Z74" i="10"/>
  <c r="AA74" i="10" s="1"/>
  <c r="K165" i="14"/>
  <c r="T13" i="12"/>
  <c r="L165" i="14" s="1"/>
  <c r="L226" i="14" s="1"/>
  <c r="F77" i="14"/>
  <c r="A77" i="14"/>
  <c r="T76" i="12"/>
  <c r="K64" i="11"/>
  <c r="K77" i="11" s="1"/>
  <c r="L64" i="11"/>
  <c r="L77" i="11" s="1"/>
  <c r="N64" i="11"/>
  <c r="N77" i="11" s="1"/>
  <c r="O64" i="11"/>
  <c r="O77" i="11" s="1"/>
  <c r="R64" i="11"/>
  <c r="R77" i="11" s="1"/>
  <c r="S64" i="11"/>
  <c r="T64" i="11"/>
  <c r="T77" i="11" s="1"/>
  <c r="Q9" i="5" s="1"/>
  <c r="U77" i="11"/>
  <c r="V77" i="11"/>
  <c r="E64" i="11"/>
  <c r="E77" i="11" s="1"/>
  <c r="S69" i="11"/>
  <c r="H5" i="4"/>
  <c r="H21" i="11"/>
  <c r="I6" i="12"/>
  <c r="E158" i="14" s="1"/>
  <c r="M13" i="11"/>
  <c r="M64" i="11" s="1"/>
  <c r="M77" i="11" s="1"/>
  <c r="I13" i="11"/>
  <c r="E94" i="14" s="1"/>
  <c r="M94" i="14" s="1"/>
  <c r="H4" i="11"/>
  <c r="S38" i="10"/>
  <c r="H6" i="10"/>
  <c r="T40" i="10"/>
  <c r="T70" i="10" s="1"/>
  <c r="I25" i="10"/>
  <c r="F48" i="15"/>
  <c r="B48" i="15"/>
  <c r="A48" i="15"/>
  <c r="B34" i="15"/>
  <c r="F32" i="10"/>
  <c r="F33" i="10"/>
  <c r="I9" i="14"/>
  <c r="I10" i="14"/>
  <c r="H6" i="11"/>
  <c r="D87" i="14" s="1"/>
  <c r="H24" i="10"/>
  <c r="D29" i="14" s="1"/>
  <c r="G41" i="10"/>
  <c r="C46" i="14" s="1"/>
  <c r="E21" i="15"/>
  <c r="G38" i="10"/>
  <c r="C43" i="14" s="1"/>
  <c r="N70" i="10"/>
  <c r="N82" i="10" s="1"/>
  <c r="O70" i="10"/>
  <c r="O82" i="10" s="1"/>
  <c r="P70" i="10"/>
  <c r="P82" i="10" s="1"/>
  <c r="Q70" i="10"/>
  <c r="Q82" i="10" s="1"/>
  <c r="R70" i="10"/>
  <c r="R82" i="10" s="1"/>
  <c r="V11" i="4"/>
  <c r="T72" i="10"/>
  <c r="S72" i="10"/>
  <c r="G53" i="10"/>
  <c r="C58" i="14" s="1"/>
  <c r="L221" i="14"/>
  <c r="G16" i="10"/>
  <c r="E43" i="15"/>
  <c r="E42" i="15"/>
  <c r="E40" i="15"/>
  <c r="F85" i="14" l="1"/>
  <c r="F249" i="14" s="1"/>
  <c r="M120" i="14"/>
  <c r="K16" i="10"/>
  <c r="C21" i="14"/>
  <c r="M21" i="14" s="1"/>
  <c r="T82" i="10"/>
  <c r="E30" i="14"/>
  <c r="M30" i="14" s="1"/>
  <c r="Z25" i="10"/>
  <c r="AA25" i="10" s="1"/>
  <c r="M78" i="14"/>
  <c r="Q11" i="5"/>
  <c r="Y12" i="7"/>
  <c r="Y14" i="7" s="1"/>
  <c r="I21" i="11"/>
  <c r="E102" i="14" s="1"/>
  <c r="D102" i="14"/>
  <c r="L249" i="14"/>
  <c r="M158" i="14"/>
  <c r="M191" i="14"/>
  <c r="S77" i="11"/>
  <c r="P9" i="5" s="1"/>
  <c r="I11" i="14"/>
  <c r="S70" i="10"/>
  <c r="S82" i="10" s="1"/>
  <c r="D232" i="14"/>
  <c r="H5" i="5"/>
  <c r="H15" i="11"/>
  <c r="E19" i="15"/>
  <c r="H11" i="10"/>
  <c r="D16" i="14" s="1"/>
  <c r="U3" i="4"/>
  <c r="P3" i="5"/>
  <c r="Q3" i="6"/>
  <c r="AB4" i="10"/>
  <c r="W2" i="11"/>
  <c r="Y2" i="12"/>
  <c r="N1" i="15"/>
  <c r="N2" i="14"/>
  <c r="Y3" i="12"/>
  <c r="X2" i="14"/>
  <c r="X2" i="15"/>
  <c r="U3" i="7"/>
  <c r="Q3" i="10"/>
  <c r="R2" i="14"/>
  <c r="R2" i="15"/>
  <c r="H69" i="10"/>
  <c r="D74" i="14" s="1"/>
  <c r="H61" i="10"/>
  <c r="D66" i="14" s="1"/>
  <c r="E15" i="15" s="1"/>
  <c r="H15" i="10"/>
  <c r="E70" i="15"/>
  <c r="D11" i="15"/>
  <c r="D19" i="15"/>
  <c r="D13" i="14"/>
  <c r="C13" i="14"/>
  <c r="G10" i="14"/>
  <c r="F10" i="14"/>
  <c r="H9" i="14"/>
  <c r="F9" i="14"/>
  <c r="F6" i="14"/>
  <c r="F5" i="14"/>
  <c r="J222" i="14"/>
  <c r="K222" i="14"/>
  <c r="H146" i="14"/>
  <c r="J146" i="14"/>
  <c r="K146" i="14"/>
  <c r="H145" i="14"/>
  <c r="I145" i="14"/>
  <c r="J145" i="14"/>
  <c r="K145" i="14"/>
  <c r="G14" i="14"/>
  <c r="G13" i="14"/>
  <c r="H10" i="14"/>
  <c r="I26" i="11"/>
  <c r="E107" i="14" s="1"/>
  <c r="M107" i="14" s="1"/>
  <c r="D7" i="15" l="1"/>
  <c r="D20" i="14"/>
  <c r="E14" i="15" s="1"/>
  <c r="I15" i="10"/>
  <c r="V15" i="10" s="1"/>
  <c r="M102" i="14"/>
  <c r="I15" i="11"/>
  <c r="E96" i="14" s="1"/>
  <c r="D96" i="14"/>
  <c r="M96" i="14" s="1"/>
  <c r="F19" i="15"/>
  <c r="F26" i="15"/>
  <c r="E82" i="15"/>
  <c r="E83" i="15"/>
  <c r="E84" i="15"/>
  <c r="E81" i="15"/>
  <c r="D82" i="15"/>
  <c r="D83" i="15"/>
  <c r="D84" i="15"/>
  <c r="D81" i="15"/>
  <c r="B84" i="15"/>
  <c r="B83" i="15"/>
  <c r="E44" i="15"/>
  <c r="E67" i="15"/>
  <c r="E68" i="15"/>
  <c r="E69" i="15"/>
  <c r="D62" i="15"/>
  <c r="D61" i="15"/>
  <c r="E57" i="15"/>
  <c r="F57" i="15" s="1"/>
  <c r="E71" i="15"/>
  <c r="D71" i="15"/>
  <c r="B71" i="15"/>
  <c r="D68" i="15"/>
  <c r="D69" i="15"/>
  <c r="D70" i="15"/>
  <c r="D67" i="15"/>
  <c r="B68" i="15"/>
  <c r="B69" i="15"/>
  <c r="B70" i="15"/>
  <c r="B67" i="15"/>
  <c r="B66" i="15"/>
  <c r="B65" i="15"/>
  <c r="E62" i="15"/>
  <c r="C232" i="14"/>
  <c r="D45" i="15"/>
  <c r="B44" i="15"/>
  <c r="B45" i="15"/>
  <c r="A43" i="15"/>
  <c r="A44" i="15"/>
  <c r="A45" i="15"/>
  <c r="D42" i="15"/>
  <c r="F42" i="15" s="1"/>
  <c r="D43" i="15"/>
  <c r="F43" i="15" s="1"/>
  <c r="D40" i="15"/>
  <c r="B41" i="15"/>
  <c r="B42" i="15"/>
  <c r="B43" i="15"/>
  <c r="B40" i="15"/>
  <c r="A41" i="15"/>
  <c r="A42" i="15"/>
  <c r="A40" i="15"/>
  <c r="E7" i="15"/>
  <c r="D8" i="15"/>
  <c r="E9" i="15"/>
  <c r="E10" i="15"/>
  <c r="E11" i="15"/>
  <c r="E12" i="15"/>
  <c r="E28" i="15"/>
  <c r="D14" i="15"/>
  <c r="D13" i="15"/>
  <c r="E22" i="15"/>
  <c r="E23" i="15"/>
  <c r="E24" i="15"/>
  <c r="E29" i="15"/>
  <c r="E33" i="15"/>
  <c r="D28" i="15"/>
  <c r="D18" i="15"/>
  <c r="D12" i="15"/>
  <c r="G38" i="15"/>
  <c r="D20" i="15"/>
  <c r="D23" i="15"/>
  <c r="F31" i="15"/>
  <c r="F30" i="15"/>
  <c r="I8" i="15"/>
  <c r="I7" i="15"/>
  <c r="F11" i="14"/>
  <c r="H11" i="14"/>
  <c r="T5" i="7"/>
  <c r="T14" i="7" s="1"/>
  <c r="C229" i="14"/>
  <c r="E25" i="15"/>
  <c r="G39" i="10"/>
  <c r="D233" i="14"/>
  <c r="E232" i="14" l="1"/>
  <c r="M232" i="14" s="1"/>
  <c r="D229" i="14"/>
  <c r="E41" i="15" s="1"/>
  <c r="E233" i="14"/>
  <c r="M233" i="14" s="1"/>
  <c r="D239" i="14"/>
  <c r="H6" i="7" s="1"/>
  <c r="Z15" i="10"/>
  <c r="E20" i="14"/>
  <c r="M20" i="14" s="1"/>
  <c r="C44" i="14"/>
  <c r="D33" i="15" s="1"/>
  <c r="F33" i="15" s="1"/>
  <c r="AA15" i="10"/>
  <c r="G20" i="14"/>
  <c r="C239" i="14"/>
  <c r="G6" i="7" s="1"/>
  <c r="J6" i="7" s="1"/>
  <c r="D44" i="15"/>
  <c r="F44" i="15" s="1"/>
  <c r="E86" i="15"/>
  <c r="F40" i="15"/>
  <c r="F23" i="15"/>
  <c r="F84" i="15"/>
  <c r="F82" i="15"/>
  <c r="E45" i="15"/>
  <c r="F45" i="15" s="1"/>
  <c r="D86" i="15"/>
  <c r="F83" i="15"/>
  <c r="F81" i="15"/>
  <c r="F71" i="15"/>
  <c r="F69" i="15"/>
  <c r="F67" i="15"/>
  <c r="F68" i="15"/>
  <c r="F70" i="15"/>
  <c r="F62" i="15"/>
  <c r="D41" i="15"/>
  <c r="F7" i="15"/>
  <c r="F14" i="15"/>
  <c r="F28" i="15"/>
  <c r="F10" i="15"/>
  <c r="F12" i="15"/>
  <c r="F24" i="15"/>
  <c r="F11" i="15"/>
  <c r="E229" i="14" l="1"/>
  <c r="F41" i="15"/>
  <c r="E54" i="15"/>
  <c r="D54" i="15"/>
  <c r="F86" i="15"/>
  <c r="F54" i="15" l="1"/>
  <c r="M229" i="14"/>
  <c r="E239" i="14"/>
  <c r="I6" i="7" s="1"/>
  <c r="D27" i="15"/>
  <c r="I24" i="10"/>
  <c r="I146" i="14"/>
  <c r="F32" i="12"/>
  <c r="H5" i="6"/>
  <c r="I5" i="6"/>
  <c r="I10" i="12"/>
  <c r="E162" i="14" s="1"/>
  <c r="G65" i="12"/>
  <c r="G77" i="12" s="1"/>
  <c r="H65" i="12"/>
  <c r="H77" i="12" s="1"/>
  <c r="I26" i="12"/>
  <c r="E178" i="14" s="1"/>
  <c r="M178" i="14" s="1"/>
  <c r="Q65" i="12"/>
  <c r="Q77" i="12" s="1"/>
  <c r="P65" i="12"/>
  <c r="P77" i="12" s="1"/>
  <c r="O65" i="12"/>
  <c r="O77" i="12" s="1"/>
  <c r="M65" i="12"/>
  <c r="M77" i="12" s="1"/>
  <c r="L65" i="12"/>
  <c r="L77" i="12" s="1"/>
  <c r="K65" i="12"/>
  <c r="K77" i="12" s="1"/>
  <c r="E32" i="15"/>
  <c r="T10" i="7"/>
  <c r="G8" i="11"/>
  <c r="C89" i="14" s="1"/>
  <c r="G9" i="11"/>
  <c r="G10" i="11"/>
  <c r="E65" i="12"/>
  <c r="J11" i="12"/>
  <c r="J16" i="12"/>
  <c r="J17" i="12"/>
  <c r="J18" i="12"/>
  <c r="J19" i="12"/>
  <c r="J20" i="12"/>
  <c r="J21" i="12"/>
  <c r="J22" i="12"/>
  <c r="J23" i="12"/>
  <c r="J24" i="12"/>
  <c r="J25" i="12"/>
  <c r="J27" i="12"/>
  <c r="J28" i="12"/>
  <c r="J29" i="12"/>
  <c r="J30" i="12"/>
  <c r="J34" i="12"/>
  <c r="J35" i="12"/>
  <c r="J36" i="12"/>
  <c r="J37" i="12"/>
  <c r="J38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E77" i="15"/>
  <c r="F77" i="15" s="1"/>
  <c r="I33" i="12"/>
  <c r="E185" i="14" s="1"/>
  <c r="M185" i="14" s="1"/>
  <c r="I33" i="11"/>
  <c r="E114" i="14" s="1"/>
  <c r="M114" i="14" s="1"/>
  <c r="F32" i="11"/>
  <c r="J21" i="11"/>
  <c r="J22" i="11"/>
  <c r="J23" i="11"/>
  <c r="J24" i="11"/>
  <c r="J25" i="11"/>
  <c r="J27" i="11"/>
  <c r="J30" i="11"/>
  <c r="J31" i="11"/>
  <c r="J34" i="11"/>
  <c r="J35" i="11"/>
  <c r="J36" i="11"/>
  <c r="J37" i="11"/>
  <c r="J38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16" i="11"/>
  <c r="J17" i="11"/>
  <c r="J18" i="11"/>
  <c r="J19" i="11"/>
  <c r="J6" i="11"/>
  <c r="I6" i="10"/>
  <c r="T6" i="10" s="1"/>
  <c r="G29" i="10"/>
  <c r="J32" i="12" l="1"/>
  <c r="F65" i="12"/>
  <c r="F77" i="12" s="1"/>
  <c r="E226" i="14"/>
  <c r="C34" i="14"/>
  <c r="D32" i="15" s="1"/>
  <c r="E29" i="14"/>
  <c r="M29" i="14" s="1"/>
  <c r="I10" i="11"/>
  <c r="E91" i="14" s="1"/>
  <c r="C91" i="14"/>
  <c r="H9" i="11"/>
  <c r="D90" i="14" s="1"/>
  <c r="C90" i="14"/>
  <c r="M162" i="14"/>
  <c r="M226" i="14" s="1"/>
  <c r="O9" i="6"/>
  <c r="N9" i="6"/>
  <c r="N11" i="6" s="1"/>
  <c r="M9" i="6"/>
  <c r="O11" i="6"/>
  <c r="J32" i="11"/>
  <c r="F64" i="11"/>
  <c r="H8" i="11"/>
  <c r="G9" i="6"/>
  <c r="H9" i="6"/>
  <c r="K24" i="10"/>
  <c r="D63" i="15"/>
  <c r="D64" i="15"/>
  <c r="J148" i="14"/>
  <c r="I148" i="14"/>
  <c r="J10" i="11"/>
  <c r="D66" i="15"/>
  <c r="J147" i="14"/>
  <c r="G147" i="14"/>
  <c r="H148" i="14"/>
  <c r="H7" i="6"/>
  <c r="I65" i="12"/>
  <c r="I77" i="12" s="1"/>
  <c r="D9" i="15"/>
  <c r="F17" i="15"/>
  <c r="E18" i="15"/>
  <c r="F18" i="15" s="1"/>
  <c r="E20" i="15"/>
  <c r="F20" i="15" s="1"/>
  <c r="U11" i="4"/>
  <c r="J65" i="12"/>
  <c r="J77" i="12" s="1"/>
  <c r="J69" i="10"/>
  <c r="J43" i="10"/>
  <c r="J50" i="10"/>
  <c r="D25" i="15"/>
  <c r="F25" i="15" s="1"/>
  <c r="M91" i="14" l="1"/>
  <c r="F32" i="15"/>
  <c r="I8" i="11"/>
  <c r="D89" i="14"/>
  <c r="I9" i="6"/>
  <c r="J9" i="6"/>
  <c r="J11" i="6" s="1"/>
  <c r="F9" i="6"/>
  <c r="N65" i="12"/>
  <c r="N77" i="12" s="1"/>
  <c r="I29" i="10"/>
  <c r="I30" i="10"/>
  <c r="I31" i="10"/>
  <c r="I32" i="10"/>
  <c r="I35" i="10"/>
  <c r="I37" i="10"/>
  <c r="I38" i="10"/>
  <c r="I40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2" i="10"/>
  <c r="I63" i="10"/>
  <c r="I64" i="10"/>
  <c r="I65" i="10"/>
  <c r="I66" i="10"/>
  <c r="I67" i="10"/>
  <c r="I68" i="10"/>
  <c r="I10" i="10"/>
  <c r="I11" i="10"/>
  <c r="I13" i="10"/>
  <c r="I21" i="10"/>
  <c r="I28" i="10"/>
  <c r="I8" i="10"/>
  <c r="Z8" i="10" s="1"/>
  <c r="J42" i="10"/>
  <c r="J44" i="10"/>
  <c r="J45" i="10"/>
  <c r="J46" i="10"/>
  <c r="J47" i="10"/>
  <c r="J51" i="10"/>
  <c r="K10" i="7"/>
  <c r="L10" i="7"/>
  <c r="M10" i="7"/>
  <c r="K5" i="7"/>
  <c r="L5" i="7"/>
  <c r="M5" i="7"/>
  <c r="M14" i="7" s="1"/>
  <c r="N5" i="7"/>
  <c r="N14" i="7" s="1"/>
  <c r="O5" i="7"/>
  <c r="O14" i="7" s="1"/>
  <c r="P5" i="7"/>
  <c r="P14" i="7" s="1"/>
  <c r="R5" i="7"/>
  <c r="R14" i="7" s="1"/>
  <c r="L14" i="7" l="1"/>
  <c r="E71" i="14"/>
  <c r="M71" i="14" s="1"/>
  <c r="E70" i="14"/>
  <c r="M70" i="14" s="1"/>
  <c r="Z65" i="10"/>
  <c r="AA65" i="10" s="1"/>
  <c r="Z47" i="10"/>
  <c r="AA47" i="10" s="1"/>
  <c r="E52" i="14"/>
  <c r="M52" i="14" s="1"/>
  <c r="Z37" i="10"/>
  <c r="AA37" i="10" s="1"/>
  <c r="E42" i="14"/>
  <c r="Z28" i="10"/>
  <c r="AA28" i="10" s="1"/>
  <c r="E33" i="14"/>
  <c r="M33" i="14" s="1"/>
  <c r="Z40" i="10"/>
  <c r="AA40" i="10" s="1"/>
  <c r="E45" i="14"/>
  <c r="Z38" i="10"/>
  <c r="AA38" i="10" s="1"/>
  <c r="E43" i="14"/>
  <c r="E69" i="14"/>
  <c r="M69" i="14" s="1"/>
  <c r="Z13" i="10"/>
  <c r="E18" i="14"/>
  <c r="E59" i="14"/>
  <c r="M59" i="14" s="1"/>
  <c r="Z32" i="10"/>
  <c r="E37" i="14"/>
  <c r="M37" i="14" s="1"/>
  <c r="E65" i="14"/>
  <c r="M65" i="14" s="1"/>
  <c r="Z44" i="10"/>
  <c r="AA44" i="10" s="1"/>
  <c r="E49" i="14"/>
  <c r="M49" i="14" s="1"/>
  <c r="Z31" i="10"/>
  <c r="AA31" i="10" s="1"/>
  <c r="E36" i="14"/>
  <c r="M36" i="14" s="1"/>
  <c r="E62" i="14"/>
  <c r="M62" i="14" s="1"/>
  <c r="Z56" i="10"/>
  <c r="AA56" i="10" s="1"/>
  <c r="E61" i="14"/>
  <c r="M61" i="14" s="1"/>
  <c r="E60" i="14"/>
  <c r="M60" i="14" s="1"/>
  <c r="E68" i="14"/>
  <c r="M68" i="14" s="1"/>
  <c r="Z46" i="10"/>
  <c r="AA46" i="10" s="1"/>
  <c r="E51" i="14"/>
  <c r="M51" i="14" s="1"/>
  <c r="Z11" i="10"/>
  <c r="E16" i="14"/>
  <c r="Z45" i="10"/>
  <c r="AA45" i="10" s="1"/>
  <c r="E50" i="14"/>
  <c r="M50" i="14" s="1"/>
  <c r="E64" i="14"/>
  <c r="M64" i="14" s="1"/>
  <c r="E35" i="14"/>
  <c r="M35" i="14" s="1"/>
  <c r="E54" i="14"/>
  <c r="M54" i="14" s="1"/>
  <c r="Z48" i="10"/>
  <c r="AA48" i="10" s="1"/>
  <c r="E53" i="14"/>
  <c r="M53" i="14" s="1"/>
  <c r="Z21" i="10"/>
  <c r="AA21" i="10" s="1"/>
  <c r="E26" i="14"/>
  <c r="M26" i="14" s="1"/>
  <c r="Z35" i="10"/>
  <c r="AA35" i="10" s="1"/>
  <c r="E40" i="14"/>
  <c r="E67" i="14"/>
  <c r="M67" i="14" s="1"/>
  <c r="E58" i="14"/>
  <c r="M58" i="14" s="1"/>
  <c r="Z10" i="10"/>
  <c r="E15" i="14"/>
  <c r="Z52" i="10"/>
  <c r="AA52" i="10" s="1"/>
  <c r="E57" i="14"/>
  <c r="M57" i="14" s="1"/>
  <c r="E73" i="14"/>
  <c r="M73" i="14" s="1"/>
  <c r="Z51" i="10"/>
  <c r="AA51" i="10" s="1"/>
  <c r="E56" i="14"/>
  <c r="M56" i="14" s="1"/>
  <c r="Z43" i="10"/>
  <c r="AA43" i="10" s="1"/>
  <c r="E48" i="14"/>
  <c r="M48" i="14" s="1"/>
  <c r="E72" i="14"/>
  <c r="M72" i="14" s="1"/>
  <c r="E63" i="14"/>
  <c r="M63" i="14" s="1"/>
  <c r="Z58" i="10"/>
  <c r="AA58" i="10" s="1"/>
  <c r="E55" i="14"/>
  <c r="M55" i="14" s="1"/>
  <c r="Z50" i="10"/>
  <c r="AA50" i="10" s="1"/>
  <c r="E47" i="14"/>
  <c r="M47" i="14" s="1"/>
  <c r="Z42" i="10"/>
  <c r="AA42" i="10" s="1"/>
  <c r="Z29" i="10"/>
  <c r="AA29" i="10" s="1"/>
  <c r="E34" i="14"/>
  <c r="M34" i="14" s="1"/>
  <c r="P8" i="11"/>
  <c r="E89" i="14"/>
  <c r="M89" i="14" s="1"/>
  <c r="V10" i="10"/>
  <c r="G15" i="14" s="1"/>
  <c r="K10" i="10"/>
  <c r="K13" i="10"/>
  <c r="V13" i="10"/>
  <c r="G18" i="14" s="1"/>
  <c r="V11" i="10"/>
  <c r="G16" i="14" s="1"/>
  <c r="K11" i="10"/>
  <c r="K21" i="10"/>
  <c r="E13" i="14"/>
  <c r="K57" i="10"/>
  <c r="K46" i="10"/>
  <c r="K38" i="10"/>
  <c r="K58" i="10"/>
  <c r="K40" i="10"/>
  <c r="K29" i="10"/>
  <c r="K67" i="10"/>
  <c r="K25" i="10"/>
  <c r="K49" i="10"/>
  <c r="K65" i="10"/>
  <c r="K63" i="10"/>
  <c r="K42" i="10"/>
  <c r="K66" i="10"/>
  <c r="I22" i="10"/>
  <c r="K47" i="10"/>
  <c r="K54" i="10"/>
  <c r="K53" i="10"/>
  <c r="K45" i="10"/>
  <c r="K32" i="10"/>
  <c r="K50" i="10"/>
  <c r="K56" i="10"/>
  <c r="K48" i="10"/>
  <c r="K64" i="10"/>
  <c r="K37" i="10"/>
  <c r="K62" i="10"/>
  <c r="K60" i="10"/>
  <c r="K31" i="10"/>
  <c r="K26" i="10"/>
  <c r="K55" i="10"/>
  <c r="K35" i="10"/>
  <c r="K52" i="10"/>
  <c r="K44" i="10"/>
  <c r="K28" i="10"/>
  <c r="K68" i="10"/>
  <c r="K59" i="10"/>
  <c r="K51" i="10"/>
  <c r="K43" i="10"/>
  <c r="K30" i="10"/>
  <c r="I23" i="10"/>
  <c r="G61" i="10"/>
  <c r="G36" i="10"/>
  <c r="G27" i="10"/>
  <c r="C32" i="14" s="1"/>
  <c r="E27" i="15"/>
  <c r="F27" i="15" s="1"/>
  <c r="H14" i="10"/>
  <c r="D19" i="14" s="1"/>
  <c r="D85" i="14" s="1"/>
  <c r="AA11" i="10" l="1"/>
  <c r="M13" i="14"/>
  <c r="N16" i="14"/>
  <c r="M16" i="14"/>
  <c r="Z23" i="10"/>
  <c r="AA23" i="10" s="1"/>
  <c r="E28" i="14"/>
  <c r="M28" i="14" s="1"/>
  <c r="N15" i="14"/>
  <c r="M15" i="14"/>
  <c r="N45" i="14"/>
  <c r="M45" i="14"/>
  <c r="N40" i="14"/>
  <c r="M40" i="14"/>
  <c r="AA10" i="10"/>
  <c r="N42" i="14"/>
  <c r="M42" i="14"/>
  <c r="Z22" i="10"/>
  <c r="AA22" i="10" s="1"/>
  <c r="E27" i="14"/>
  <c r="M27" i="14" s="1"/>
  <c r="N18" i="14"/>
  <c r="M18" i="14"/>
  <c r="C66" i="14"/>
  <c r="D15" i="15" s="1"/>
  <c r="M43" i="14"/>
  <c r="C41" i="14"/>
  <c r="D22" i="15" s="1"/>
  <c r="F22" i="15" s="1"/>
  <c r="AA13" i="10"/>
  <c r="Q8" i="11"/>
  <c r="G89" i="14"/>
  <c r="E13" i="15"/>
  <c r="F13" i="15" s="1"/>
  <c r="F16" i="15"/>
  <c r="G70" i="10"/>
  <c r="G82" i="10" s="1"/>
  <c r="H70" i="10"/>
  <c r="H82" i="10" s="1"/>
  <c r="D29" i="15"/>
  <c r="K22" i="10"/>
  <c r="K23" i="10"/>
  <c r="I12" i="10"/>
  <c r="I14" i="10"/>
  <c r="I34" i="10"/>
  <c r="I20" i="10"/>
  <c r="I39" i="10"/>
  <c r="I41" i="10"/>
  <c r="I61" i="10"/>
  <c r="J27" i="10"/>
  <c r="I27" i="10"/>
  <c r="I17" i="10"/>
  <c r="I36" i="10"/>
  <c r="I18" i="10"/>
  <c r="I9" i="10"/>
  <c r="I69" i="10"/>
  <c r="C85" i="14" l="1"/>
  <c r="K17" i="10"/>
  <c r="E22" i="14"/>
  <c r="M22" i="14" s="1"/>
  <c r="Z17" i="10"/>
  <c r="AA17" i="10" s="1"/>
  <c r="D21" i="15"/>
  <c r="F21" i="15" s="1"/>
  <c r="Z36" i="10"/>
  <c r="E41" i="14"/>
  <c r="N41" i="14" s="1"/>
  <c r="Z27" i="10"/>
  <c r="E32" i="14"/>
  <c r="M32" i="14" s="1"/>
  <c r="Z61" i="10"/>
  <c r="AA61" i="10" s="1"/>
  <c r="E66" i="14"/>
  <c r="M66" i="14" s="1"/>
  <c r="V14" i="10"/>
  <c r="G19" i="14" s="1"/>
  <c r="Z14" i="10"/>
  <c r="E19" i="14"/>
  <c r="Z69" i="10"/>
  <c r="AA69" i="10" s="1"/>
  <c r="E74" i="14"/>
  <c r="M74" i="14" s="1"/>
  <c r="Z12" i="10"/>
  <c r="E17" i="14"/>
  <c r="F15" i="15"/>
  <c r="E39" i="14"/>
  <c r="M39" i="14" s="1"/>
  <c r="Z34" i="10"/>
  <c r="AA34" i="10" s="1"/>
  <c r="Z41" i="10"/>
  <c r="AA41" i="10" s="1"/>
  <c r="E46" i="14"/>
  <c r="M46" i="14" s="1"/>
  <c r="E14" i="14"/>
  <c r="Z9" i="10"/>
  <c r="AA9" i="10" s="1"/>
  <c r="Z39" i="10"/>
  <c r="AA39" i="10" s="1"/>
  <c r="E44" i="14"/>
  <c r="K18" i="10"/>
  <c r="Z18" i="10"/>
  <c r="AA18" i="10" s="1"/>
  <c r="E23" i="14"/>
  <c r="M23" i="14" s="1"/>
  <c r="Z20" i="10"/>
  <c r="AA20" i="10" s="1"/>
  <c r="E25" i="14"/>
  <c r="M25" i="14" s="1"/>
  <c r="H89" i="14"/>
  <c r="V12" i="10"/>
  <c r="K12" i="10"/>
  <c r="K14" i="10"/>
  <c r="E8" i="15"/>
  <c r="E38" i="15" s="1"/>
  <c r="F29" i="15"/>
  <c r="I70" i="10"/>
  <c r="I82" i="10" s="1"/>
  <c r="K27" i="10"/>
  <c r="K34" i="10"/>
  <c r="K61" i="10"/>
  <c r="K9" i="10"/>
  <c r="K69" i="10"/>
  <c r="K36" i="10"/>
  <c r="K39" i="10"/>
  <c r="K41" i="10"/>
  <c r="K12" i="7"/>
  <c r="K14" i="7" s="1"/>
  <c r="L12" i="7"/>
  <c r="M12" i="7"/>
  <c r="P12" i="7"/>
  <c r="G4" i="12"/>
  <c r="G7" i="6" s="1"/>
  <c r="G10" i="7" s="1"/>
  <c r="I7" i="11"/>
  <c r="F24" i="10"/>
  <c r="G14" i="11"/>
  <c r="G5" i="5"/>
  <c r="E85" i="14" l="1"/>
  <c r="M41" i="14"/>
  <c r="AA14" i="10"/>
  <c r="D38" i="15"/>
  <c r="F38" i="15" s="1"/>
  <c r="M17" i="14"/>
  <c r="AA12" i="10"/>
  <c r="N44" i="14"/>
  <c r="M44" i="14"/>
  <c r="N19" i="14"/>
  <c r="M19" i="14"/>
  <c r="V70" i="10"/>
  <c r="V82" i="10" s="1"/>
  <c r="T9" i="4" s="1"/>
  <c r="T11" i="4" s="1"/>
  <c r="G17" i="14"/>
  <c r="G85" i="14" s="1"/>
  <c r="M14" i="14"/>
  <c r="P7" i="11"/>
  <c r="G88" i="14" s="1"/>
  <c r="E88" i="14"/>
  <c r="M88" i="14" s="1"/>
  <c r="G64" i="11"/>
  <c r="C95" i="14"/>
  <c r="I9" i="4"/>
  <c r="F8" i="15"/>
  <c r="H14" i="11"/>
  <c r="D95" i="14" s="1"/>
  <c r="D249" i="14" s="1"/>
  <c r="E61" i="15"/>
  <c r="E66" i="15"/>
  <c r="F66" i="15" s="1"/>
  <c r="J8" i="11"/>
  <c r="J9" i="11"/>
  <c r="J24" i="10"/>
  <c r="I4" i="12"/>
  <c r="I7" i="6" s="1"/>
  <c r="E63" i="15"/>
  <c r="M85" i="14" l="1"/>
  <c r="G77" i="11"/>
  <c r="G9" i="5" s="1"/>
  <c r="Z24" i="10"/>
  <c r="N17" i="14"/>
  <c r="C249" i="14"/>
  <c r="I14" i="11"/>
  <c r="E95" i="14" s="1"/>
  <c r="M95" i="14" s="1"/>
  <c r="H64" i="11"/>
  <c r="H77" i="11" s="1"/>
  <c r="J64" i="11"/>
  <c r="J77" i="11" s="1"/>
  <c r="F63" i="15"/>
  <c r="E65" i="15"/>
  <c r="F61" i="15"/>
  <c r="I9" i="11"/>
  <c r="E64" i="15"/>
  <c r="F64" i="15" s="1"/>
  <c r="D65" i="15"/>
  <c r="D74" i="15" s="1"/>
  <c r="D89" i="15" s="1"/>
  <c r="P9" i="11" l="1"/>
  <c r="E90" i="14"/>
  <c r="M90" i="14" s="1"/>
  <c r="H9" i="5"/>
  <c r="E74" i="15"/>
  <c r="P11" i="5"/>
  <c r="F65" i="15"/>
  <c r="O9" i="5"/>
  <c r="G90" i="14" l="1"/>
  <c r="Q9" i="11"/>
  <c r="O11" i="5"/>
  <c r="F74" i="15"/>
  <c r="E89" i="15"/>
  <c r="F89" i="15" s="1"/>
  <c r="X65" i="12"/>
  <c r="W65" i="12"/>
  <c r="V65" i="12"/>
  <c r="U65" i="12"/>
  <c r="T65" i="12"/>
  <c r="T77" i="12" s="1"/>
  <c r="S55" i="12"/>
  <c r="K207" i="14" s="1"/>
  <c r="S54" i="12"/>
  <c r="K206" i="14" s="1"/>
  <c r="S53" i="12"/>
  <c r="K205" i="14" s="1"/>
  <c r="S52" i="12"/>
  <c r="K204" i="14" s="1"/>
  <c r="S51" i="12"/>
  <c r="K203" i="14" s="1"/>
  <c r="S50" i="12"/>
  <c r="K202" i="14" s="1"/>
  <c r="S49" i="12"/>
  <c r="K201" i="14" s="1"/>
  <c r="S48" i="12"/>
  <c r="K200" i="14" s="1"/>
  <c r="S47" i="12"/>
  <c r="K199" i="14" s="1"/>
  <c r="S46" i="12"/>
  <c r="K198" i="14" s="1"/>
  <c r="S45" i="12"/>
  <c r="K197" i="14" s="1"/>
  <c r="S44" i="12"/>
  <c r="K196" i="14" s="1"/>
  <c r="S43" i="12"/>
  <c r="K195" i="14" s="1"/>
  <c r="S42" i="12"/>
  <c r="K194" i="14" s="1"/>
  <c r="S41" i="12"/>
  <c r="K193" i="14" s="1"/>
  <c r="S40" i="12"/>
  <c r="K192" i="14" s="1"/>
  <c r="S38" i="12"/>
  <c r="K190" i="14" s="1"/>
  <c r="S37" i="12"/>
  <c r="K189" i="14" s="1"/>
  <c r="S36" i="12"/>
  <c r="K188" i="14" s="1"/>
  <c r="S35" i="12"/>
  <c r="K187" i="14" s="1"/>
  <c r="S34" i="12"/>
  <c r="K186" i="14" s="1"/>
  <c r="S32" i="12"/>
  <c r="K184" i="14" s="1"/>
  <c r="S31" i="12"/>
  <c r="K183" i="14" s="1"/>
  <c r="S30" i="12"/>
  <c r="K182" i="14" s="1"/>
  <c r="S29" i="12"/>
  <c r="K181" i="14" s="1"/>
  <c r="S28" i="12"/>
  <c r="K180" i="14" s="1"/>
  <c r="S27" i="12"/>
  <c r="K179" i="14" s="1"/>
  <c r="S25" i="12"/>
  <c r="K177" i="14" s="1"/>
  <c r="S24" i="12"/>
  <c r="K176" i="14" s="1"/>
  <c r="S23" i="12"/>
  <c r="K175" i="14" s="1"/>
  <c r="S22" i="12"/>
  <c r="K174" i="14" s="1"/>
  <c r="S21" i="12"/>
  <c r="K173" i="14" s="1"/>
  <c r="S20" i="12"/>
  <c r="K172" i="14" s="1"/>
  <c r="S19" i="12"/>
  <c r="K171" i="14" s="1"/>
  <c r="S18" i="12"/>
  <c r="K170" i="14" s="1"/>
  <c r="S17" i="12"/>
  <c r="K169" i="14" s="1"/>
  <c r="S16" i="12"/>
  <c r="K168" i="14" s="1"/>
  <c r="S12" i="12"/>
  <c r="K164" i="14" s="1"/>
  <c r="S9" i="12"/>
  <c r="K161" i="14" s="1"/>
  <c r="S8" i="12"/>
  <c r="K160" i="14" s="1"/>
  <c r="I4" i="11"/>
  <c r="M4" i="11" s="1"/>
  <c r="G9" i="14" s="1"/>
  <c r="K226" i="14" l="1"/>
  <c r="H90" i="14"/>
  <c r="H249" i="14" s="1"/>
  <c r="Q64" i="11"/>
  <c r="Q77" i="11" s="1"/>
  <c r="N9" i="5" s="1"/>
  <c r="G11" i="14"/>
  <c r="S65" i="12"/>
  <c r="M11" i="6"/>
  <c r="R65" i="12"/>
  <c r="R77" i="12" l="1"/>
  <c r="P9" i="6" s="1"/>
  <c r="Q9" i="6"/>
  <c r="X12" i="7" s="1"/>
  <c r="X14" i="7" s="1"/>
  <c r="S77" i="12"/>
  <c r="V12" i="7"/>
  <c r="V14" i="7" s="1"/>
  <c r="N11" i="5"/>
  <c r="K249" i="14"/>
  <c r="J57" i="10"/>
  <c r="Z57" i="10" s="1"/>
  <c r="AA57" i="10" s="1"/>
  <c r="Q16" i="7"/>
  <c r="W12" i="7" l="1"/>
  <c r="W14" i="7" s="1"/>
  <c r="P11" i="6"/>
  <c r="Q11" i="6"/>
  <c r="Q5" i="7"/>
  <c r="Q14" i="7" s="1"/>
  <c r="J53" i="10" l="1"/>
  <c r="Z53" i="10" s="1"/>
  <c r="S10" i="7"/>
  <c r="S14" i="7" s="1"/>
  <c r="Q10" i="7"/>
  <c r="F9" i="5"/>
  <c r="H7" i="5"/>
  <c r="I6" i="11"/>
  <c r="I64" i="11" l="1"/>
  <c r="P6" i="11"/>
  <c r="E87" i="14"/>
  <c r="I77" i="11" l="1"/>
  <c r="I9" i="5" s="1"/>
  <c r="I12" i="7" s="1"/>
  <c r="E249" i="14"/>
  <c r="M87" i="14"/>
  <c r="G87" i="14"/>
  <c r="G249" i="14" s="1"/>
  <c r="P64" i="11"/>
  <c r="Q12" i="7"/>
  <c r="J9" i="5"/>
  <c r="P77" i="11" l="1"/>
  <c r="M9" i="5" s="1"/>
  <c r="G145" i="14"/>
  <c r="J11" i="5"/>
  <c r="E48" i="10"/>
  <c r="E41" i="10"/>
  <c r="M11" i="5" l="1"/>
  <c r="U12" i="7"/>
  <c r="U14" i="7" s="1"/>
  <c r="H7" i="4"/>
  <c r="H10" i="7" s="1"/>
  <c r="P7" i="4"/>
  <c r="P10" i="7" s="1"/>
  <c r="N7" i="4"/>
  <c r="N10" i="7" s="1"/>
  <c r="M6" i="10"/>
  <c r="M8" i="10"/>
  <c r="H9" i="4"/>
  <c r="H12" i="7" s="1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5" i="10"/>
  <c r="M26" i="10"/>
  <c r="L27" i="10"/>
  <c r="M27" i="10"/>
  <c r="M28" i="10"/>
  <c r="L29" i="10"/>
  <c r="M29" i="10"/>
  <c r="J30" i="10"/>
  <c r="L30" i="10"/>
  <c r="M30" i="10"/>
  <c r="F31" i="10"/>
  <c r="L31" i="10"/>
  <c r="M31" i="10"/>
  <c r="L34" i="10"/>
  <c r="L35" i="10"/>
  <c r="M35" i="10"/>
  <c r="E36" i="10"/>
  <c r="L36" i="10"/>
  <c r="E38" i="10"/>
  <c r="M38" i="10" s="1"/>
  <c r="L38" i="10"/>
  <c r="L39" i="10"/>
  <c r="L40" i="10"/>
  <c r="M40" i="10"/>
  <c r="F49" i="10"/>
  <c r="J54" i="10"/>
  <c r="Z54" i="10" s="1"/>
  <c r="AA54" i="10" s="1"/>
  <c r="J55" i="10"/>
  <c r="Z55" i="10" s="1"/>
  <c r="AA55" i="10" s="1"/>
  <c r="J59" i="10"/>
  <c r="Z59" i="10" s="1"/>
  <c r="AA59" i="10" s="1"/>
  <c r="J60" i="10"/>
  <c r="Z60" i="10" s="1"/>
  <c r="AA60" i="10" s="1"/>
  <c r="J62" i="10"/>
  <c r="Z62" i="10" s="1"/>
  <c r="AA62" i="10" s="1"/>
  <c r="J63" i="10"/>
  <c r="Z63" i="10" s="1"/>
  <c r="AA63" i="10" s="1"/>
  <c r="J64" i="10"/>
  <c r="Z64" i="10" s="1"/>
  <c r="AA64" i="10" s="1"/>
  <c r="L65" i="10"/>
  <c r="M65" i="10"/>
  <c r="J66" i="10"/>
  <c r="Z66" i="10" s="1"/>
  <c r="AA66" i="10" s="1"/>
  <c r="L66" i="10"/>
  <c r="M66" i="10"/>
  <c r="J67" i="10"/>
  <c r="Z67" i="10" s="1"/>
  <c r="AA67" i="10" s="1"/>
  <c r="L67" i="10"/>
  <c r="M67" i="10"/>
  <c r="J68" i="10"/>
  <c r="Z68" i="10" s="1"/>
  <c r="AA68" i="10" s="1"/>
  <c r="L68" i="10"/>
  <c r="L69" i="10"/>
  <c r="Z30" i="10" l="1"/>
  <c r="AA30" i="10" s="1"/>
  <c r="H14" i="7"/>
  <c r="L70" i="10"/>
  <c r="L82" i="10" s="1"/>
  <c r="E70" i="10"/>
  <c r="E82" i="10" s="1"/>
  <c r="J49" i="10"/>
  <c r="Z49" i="10" s="1"/>
  <c r="AA49" i="10" s="1"/>
  <c r="O7" i="4"/>
  <c r="O10" i="7" s="1"/>
  <c r="F48" i="10"/>
  <c r="F70" i="10" s="1"/>
  <c r="F82" i="10" s="1"/>
  <c r="M34" i="10"/>
  <c r="G9" i="4"/>
  <c r="G12" i="7" s="1"/>
  <c r="M36" i="10"/>
  <c r="J70" i="10" l="1"/>
  <c r="J82" i="10" s="1"/>
  <c r="M70" i="10"/>
  <c r="M82" i="10" s="1"/>
  <c r="R12" i="7"/>
  <c r="N9" i="4"/>
  <c r="N12" i="7" s="1"/>
  <c r="I7" i="5"/>
  <c r="J12" i="7" l="1"/>
  <c r="J14" i="7" s="1"/>
  <c r="Z70" i="10"/>
  <c r="AA70" i="10" s="1"/>
  <c r="S12" i="7"/>
  <c r="L11" i="6" l="1"/>
  <c r="K11" i="6"/>
  <c r="H11" i="6"/>
  <c r="G11" i="6"/>
  <c r="L11" i="5"/>
  <c r="K11" i="5"/>
  <c r="H11" i="5"/>
  <c r="K11" i="4"/>
  <c r="L11" i="4"/>
  <c r="M11" i="4"/>
  <c r="I5" i="4"/>
  <c r="I7" i="4"/>
  <c r="I10" i="7" l="1"/>
  <c r="I14" i="7" s="1"/>
  <c r="R10" i="7"/>
  <c r="I11" i="6"/>
  <c r="R11" i="4" l="1"/>
  <c r="Q11" i="4"/>
  <c r="P11" i="4" l="1"/>
  <c r="G11" i="4" l="1"/>
  <c r="H11" i="4"/>
  <c r="N11" i="4" l="1"/>
  <c r="F9" i="4" l="1"/>
  <c r="F12" i="7" s="1"/>
  <c r="J9" i="4" l="1"/>
  <c r="J11" i="4" s="1"/>
  <c r="I11" i="4"/>
  <c r="O9" i="4"/>
  <c r="O12" i="7" s="1"/>
  <c r="O11" i="4" l="1"/>
  <c r="I11" i="5"/>
  <c r="G5" i="7"/>
  <c r="G14" i="7" s="1"/>
  <c r="G11" i="5"/>
  <c r="T12" i="7"/>
  <c r="J249" i="1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Babu</author>
  </authors>
  <commentList>
    <comment ref="K5" authorId="0" shapeId="0" xr:uid="{82292A48-BA52-487A-AE59-FCA138776915}">
      <text>
        <r>
          <rPr>
            <b/>
            <sz val="9"/>
            <color indexed="81"/>
            <rFont val="Tahoma"/>
            <family val="2"/>
          </rPr>
          <t>Babu:</t>
        </r>
        <r>
          <rPr>
            <sz val="9"/>
            <color indexed="81"/>
            <rFont val="Tahoma"/>
            <family val="2"/>
          </rPr>
          <t xml:space="preserve">
actual Expenses wall be  updated wit on month end
</t>
        </r>
      </text>
    </comment>
    <comment ref="E69" authorId="0" shapeId="0" xr:uid="{047E6D33-ACFF-4FAB-9C93-296C570AAAA3}">
      <text>
        <r>
          <rPr>
            <b/>
            <sz val="9"/>
            <color indexed="81"/>
            <rFont val="Tahoma"/>
            <family val="2"/>
          </rPr>
          <t>Babu:</t>
        </r>
        <r>
          <rPr>
            <sz val="9"/>
            <color indexed="81"/>
            <rFont val="Tahoma"/>
            <family val="2"/>
          </rPr>
          <t xml:space="preserve">
Quantity was  30,824</t>
        </r>
      </text>
    </comment>
    <comment ref="F69" authorId="0" shapeId="0" xr:uid="{235CFD79-59A8-4E47-87B0-F7B9335A0B81}">
      <text>
        <r>
          <rPr>
            <b/>
            <sz val="9"/>
            <color indexed="81"/>
            <rFont val="Tahoma"/>
            <family val="2"/>
          </rPr>
          <t>Babu:</t>
        </r>
        <r>
          <rPr>
            <sz val="9"/>
            <color indexed="81"/>
            <rFont val="Tahoma"/>
            <family val="2"/>
          </rPr>
          <t xml:space="preserve">
Quantities are Around 58000 sft</t>
        </r>
      </text>
    </comment>
  </commentList>
</comments>
</file>

<file path=xl/sharedStrings.xml><?xml version="1.0" encoding="utf-8"?>
<sst xmlns="http://schemas.openxmlformats.org/spreadsheetml/2006/main" count="819" uniqueCount="329">
  <si>
    <t>FACILITY LIGHTNING PROTECTION SYSTEM (OFM)</t>
  </si>
  <si>
    <t>Start Date Planned</t>
  </si>
  <si>
    <t>S.No.</t>
  </si>
  <si>
    <t>Lakecity Roof Gardens - Projected Cash Flow</t>
  </si>
  <si>
    <t>Finishes For Tower 1</t>
  </si>
  <si>
    <t>Total Finishes</t>
  </si>
  <si>
    <t>External Brick Works  (M+L)</t>
  </si>
  <si>
    <t>Internal Brick Works   (M+L)</t>
  </si>
  <si>
    <t>Electrical Conduiting   (M+L)</t>
  </si>
  <si>
    <t>Plumbing  Conduiting   (M+L)</t>
  </si>
  <si>
    <t>PCC   (M+L)</t>
  </si>
  <si>
    <t>External Plaster  (M+L)</t>
  </si>
  <si>
    <t>Internal Plaster   (M+L)</t>
  </si>
  <si>
    <t>Boundary Wall    (M+L)</t>
  </si>
  <si>
    <t>Subcontract Electrical   (L)</t>
  </si>
  <si>
    <t>CABLE CONTAINMENT   (M)</t>
  </si>
  <si>
    <t>Subcontract Firefighting     (L)</t>
  </si>
  <si>
    <t>VOICE &amp; DATA COMMUNICATION  (M+L)</t>
  </si>
  <si>
    <t>BORE WELL WATER SUPPLY SYSTEM   (M+L)</t>
  </si>
  <si>
    <t>Ceiling Work    (M+L)</t>
  </si>
  <si>
    <t>DISTRIBUTION BOARDS   (M)</t>
  </si>
  <si>
    <t>Elevator    (M+L)</t>
  </si>
  <si>
    <t>DIESEL GENERATOR &amp; ALLIED WORKS   (M+L)</t>
  </si>
  <si>
    <t>LPG System  (M+L)</t>
  </si>
  <si>
    <t>DRY TYPE TRANSFORMERS  (M+L)</t>
  </si>
  <si>
    <t>LPG Works      (M)</t>
  </si>
  <si>
    <t>Pipes for Water Supply and fitting    (M)</t>
  </si>
  <si>
    <t xml:space="preserve"> FSS Works (Piping)    (M)</t>
  </si>
  <si>
    <t>BUSWAYS          (M)</t>
  </si>
  <si>
    <t>SUPPLY OF PLUMBING FIXTURES   (M)</t>
  </si>
  <si>
    <t>MEDIUM VOLTAGE CABLES &amp; TERMINATION KITS  (M)</t>
  </si>
  <si>
    <t>SWITCHES &amp; SOCKETS   (M)</t>
  </si>
  <si>
    <t>LIGHTING FIXTURES    (M)</t>
  </si>
  <si>
    <t>FSS Works (FFS equipment)    (M)</t>
  </si>
  <si>
    <t>Water storage heater   (M)</t>
  </si>
  <si>
    <t>PUBLIC ADDRESS SYSTEM   (M)</t>
  </si>
  <si>
    <t>ACCESS CONTROL SYSTEM   (M)</t>
  </si>
  <si>
    <t>Pump Sets   (M)</t>
  </si>
  <si>
    <t>Water meter  (M)</t>
  </si>
  <si>
    <t>Kitchen Hoods  (M)</t>
  </si>
  <si>
    <t>Chute      (M+L)</t>
  </si>
  <si>
    <t>VERTICAL BACKBONE INFRASTRUCTURE (GPON)  (M+L)</t>
  </si>
  <si>
    <t>UPS (UNINTERRUPTIBLE POWER SUPPLY)     (M+L)</t>
  </si>
  <si>
    <t>CCTV SYSTEM (IP BASED)   (M+L)</t>
  </si>
  <si>
    <t>FIRE ALARM SYSTEM      (M+L)</t>
  </si>
  <si>
    <t xml:space="preserve"> FSS Works (Fire Pumps) Basement  (M+L)</t>
  </si>
  <si>
    <t>ACMV Works (Ac units)   (M+L)</t>
  </si>
  <si>
    <t>Copper Pipe + Accessories       (M+L)</t>
  </si>
  <si>
    <t>SOIL, WASTE VENT AND RAIN WATER DRAINAGE SYSTEM  (M)</t>
  </si>
  <si>
    <t>Subcontract HVAC      (M+L)</t>
  </si>
  <si>
    <t xml:space="preserve">Consultant Budget   NADA/SEMS </t>
  </si>
  <si>
    <t>WIRING / WIRING ACCESSORIES  (M)</t>
  </si>
  <si>
    <t>Subcontract Plumbing    (L)</t>
  </si>
  <si>
    <t>Façade Works ( I tower)</t>
  </si>
  <si>
    <t>MAIN / SUB-MAIN CABLES    (M)</t>
  </si>
  <si>
    <t>Budget As per Initial Quotation Received</t>
  </si>
  <si>
    <t>Completed</t>
  </si>
  <si>
    <t>Dropped</t>
  </si>
  <si>
    <t>Remarks</t>
  </si>
  <si>
    <t>A</t>
  </si>
  <si>
    <t>In progress ( 86% completed)  3 sides</t>
  </si>
  <si>
    <t>%age</t>
  </si>
  <si>
    <t>Awarded Value</t>
  </si>
  <si>
    <t>Actual Value On Completion</t>
  </si>
  <si>
    <t>Actual Spending</t>
  </si>
  <si>
    <t>Balance Amount</t>
  </si>
  <si>
    <t>B</t>
  </si>
  <si>
    <t xml:space="preserve">Structure </t>
  </si>
  <si>
    <t>C</t>
  </si>
  <si>
    <t>Total</t>
  </si>
  <si>
    <t>Façade Works (L1 tower)</t>
  </si>
  <si>
    <t xml:space="preserve">Finishes For Tower L1 </t>
  </si>
  <si>
    <t>Combined</t>
  </si>
  <si>
    <t>I- Tower</t>
  </si>
  <si>
    <t xml:space="preserve">L 1 Tower </t>
  </si>
  <si>
    <t>L-2 Tower</t>
  </si>
  <si>
    <t>I-Tower</t>
  </si>
  <si>
    <t>Paint     (M+L)   Internal</t>
  </si>
  <si>
    <t>Paint     (M+L)  External</t>
  </si>
  <si>
    <t>27 a</t>
  </si>
  <si>
    <t>Tile  ( M+L)</t>
  </si>
  <si>
    <t>Marble Work      (M+L)</t>
  </si>
  <si>
    <t xml:space="preserve">28 a </t>
  </si>
  <si>
    <t>Steel Works ( M+L)</t>
  </si>
  <si>
    <t xml:space="preserve">Time line </t>
  </si>
  <si>
    <t>Aluminum Work   (M+L)</t>
  </si>
  <si>
    <t xml:space="preserve">24 a </t>
  </si>
  <si>
    <t>Glass Work   (M+L)</t>
  </si>
  <si>
    <t>24 b</t>
  </si>
  <si>
    <t>Wood Works (M+L)</t>
  </si>
  <si>
    <t xml:space="preserve">30a </t>
  </si>
  <si>
    <t>36a</t>
  </si>
  <si>
    <t>Mirror</t>
  </si>
  <si>
    <t>36b</t>
  </si>
  <si>
    <t>Shower Cabin</t>
  </si>
  <si>
    <t>Façade Works (L2 tower)</t>
  </si>
  <si>
    <t>Finishes For Tower L2</t>
  </si>
  <si>
    <t>S.No</t>
  </si>
  <si>
    <t>Plan Start Month/Duration</t>
  </si>
  <si>
    <t>NADA/SEMs Budget</t>
  </si>
  <si>
    <t>Façade Works ( L 1 tower)</t>
  </si>
  <si>
    <t>Finishes For Tower L 1</t>
  </si>
  <si>
    <t>M-03/  6 Month</t>
  </si>
  <si>
    <t>M-03/  8 Month</t>
  </si>
  <si>
    <t>M-04</t>
  </si>
  <si>
    <t>M-05</t>
  </si>
  <si>
    <t>M-06</t>
  </si>
  <si>
    <t>FSS Works (Piping)    (M)</t>
  </si>
  <si>
    <t>M-07</t>
  </si>
  <si>
    <t>M-08</t>
  </si>
  <si>
    <t>M-09</t>
  </si>
  <si>
    <t>M-10</t>
  </si>
  <si>
    <t>M-11</t>
  </si>
  <si>
    <t>FSS Works (Fire Pumps) Basement  (M+L)</t>
  </si>
  <si>
    <t>M-12</t>
  </si>
  <si>
    <t>L1 Finishes</t>
  </si>
  <si>
    <t>Ventilation/Exhaust system    (M+L)</t>
  </si>
  <si>
    <t xml:space="preserve">In progress </t>
  </si>
  <si>
    <t>Partial -</t>
  </si>
  <si>
    <t xml:space="preserve">Partial  </t>
  </si>
  <si>
    <t>Grand Total</t>
  </si>
  <si>
    <t>Finishes For L1</t>
  </si>
  <si>
    <t xml:space="preserve">Structure ( I , L1 , L2,SOG  ) Three Towers </t>
  </si>
  <si>
    <t>L2 Finishes</t>
  </si>
  <si>
    <t>Façade Works ( L 2 tower)</t>
  </si>
  <si>
    <t>Finishes For Tower L 2</t>
  </si>
  <si>
    <t>Façade Works ( I, L1,L2 tower)</t>
  </si>
  <si>
    <t>Finishes For Tower I , L1 ,L2</t>
  </si>
  <si>
    <t>Actual Balance Amount</t>
  </si>
  <si>
    <t>Pending approval</t>
  </si>
  <si>
    <t>MV+LT PANELS     (M)</t>
  </si>
  <si>
    <t>LIGHTING+ FIXTURES    (M)</t>
  </si>
  <si>
    <t xml:space="preserve">External Paint </t>
  </si>
  <si>
    <t>Internal Paint     (M+L)</t>
  </si>
  <si>
    <t>27 b</t>
  </si>
  <si>
    <t>24 a</t>
  </si>
  <si>
    <t>Marble Works</t>
  </si>
  <si>
    <t>Tile      (M+L)</t>
  </si>
  <si>
    <t>28 b</t>
  </si>
  <si>
    <t>30 a</t>
  </si>
  <si>
    <t>30 b</t>
  </si>
  <si>
    <t>Wood  (M+L)</t>
  </si>
  <si>
    <t>Steel Work (M+L)</t>
  </si>
  <si>
    <t xml:space="preserve">36c </t>
  </si>
  <si>
    <t xml:space="preserve">Mirror </t>
  </si>
  <si>
    <t>Partial</t>
  </si>
  <si>
    <t>Pending Approval</t>
  </si>
  <si>
    <t>Pending Approvals</t>
  </si>
  <si>
    <r>
      <rPr>
        <b/>
        <sz val="20"/>
        <rFont val="Century Gothic"/>
        <family val="2"/>
      </rPr>
      <t>Lakecity Roof Gardens - Projected Cash Flow</t>
    </r>
  </si>
  <si>
    <r>
      <rPr>
        <b/>
        <sz val="20"/>
        <rFont val="Century Gothic"/>
        <family val="2"/>
      </rPr>
      <t>Approved Item Only</t>
    </r>
  </si>
  <si>
    <r>
      <rPr>
        <b/>
        <sz val="16"/>
        <rFont val="Century Gothic"/>
        <family val="2"/>
      </rPr>
      <t>A1</t>
    </r>
  </si>
  <si>
    <r>
      <rPr>
        <b/>
        <sz val="16"/>
        <rFont val="Century Gothic"/>
        <family val="2"/>
      </rPr>
      <t>Structure for I Tower</t>
    </r>
  </si>
  <si>
    <r>
      <rPr>
        <b/>
        <sz val="16"/>
        <rFont val="Century Gothic"/>
        <family val="2"/>
      </rPr>
      <t>A2</t>
    </r>
  </si>
  <si>
    <r>
      <rPr>
        <b/>
        <sz val="16"/>
        <rFont val="Century Gothic"/>
        <family val="2"/>
      </rPr>
      <t>Structure for L1 Tower</t>
    </r>
  </si>
  <si>
    <r>
      <rPr>
        <b/>
        <sz val="16"/>
        <rFont val="Century Gothic"/>
        <family val="2"/>
      </rPr>
      <t>A3</t>
    </r>
  </si>
  <si>
    <r>
      <rPr>
        <b/>
        <sz val="16"/>
        <rFont val="Century Gothic"/>
        <family val="2"/>
      </rPr>
      <t>Structure Works for L2</t>
    </r>
  </si>
  <si>
    <r>
      <rPr>
        <b/>
        <sz val="16"/>
        <rFont val="Century Gothic"/>
        <family val="2"/>
      </rPr>
      <t>A4</t>
    </r>
  </si>
  <si>
    <r>
      <rPr>
        <b/>
        <sz val="16"/>
        <rFont val="Century Gothic"/>
        <family val="2"/>
      </rPr>
      <t>Façade Works ( I tower)</t>
    </r>
  </si>
  <si>
    <r>
      <rPr>
        <b/>
        <sz val="16"/>
        <rFont val="Century Gothic"/>
        <family val="2"/>
      </rPr>
      <t>A5</t>
    </r>
  </si>
  <si>
    <r>
      <rPr>
        <b/>
        <sz val="16"/>
        <rFont val="Century Gothic"/>
        <family val="2"/>
      </rPr>
      <t>Façade Works ( L 1 tower)</t>
    </r>
  </si>
  <si>
    <r>
      <rPr>
        <b/>
        <sz val="16"/>
        <rFont val="Century Gothic"/>
        <family val="2"/>
      </rPr>
      <t>A6</t>
    </r>
  </si>
  <si>
    <r>
      <rPr>
        <b/>
        <sz val="16"/>
        <rFont val="Century Gothic"/>
        <family val="2"/>
      </rPr>
      <t>Façade Works ( L 2 tower)</t>
    </r>
  </si>
  <si>
    <r>
      <rPr>
        <b/>
        <sz val="16"/>
        <rFont val="Century Gothic"/>
        <family val="2"/>
      </rPr>
      <t>Finishes For Tower 1</t>
    </r>
  </si>
  <si>
    <t>Marble</t>
  </si>
  <si>
    <t>Finishes For L2</t>
  </si>
  <si>
    <t>Finishes For  Ground Floor I tower</t>
  </si>
  <si>
    <t>Electrical Work</t>
  </si>
  <si>
    <t>Plumbing work</t>
  </si>
  <si>
    <t>Fire figthing works</t>
  </si>
  <si>
    <t>Copper piping</t>
  </si>
  <si>
    <t>Insulation of pipes</t>
  </si>
  <si>
    <t>Copper Piping</t>
  </si>
  <si>
    <t>Paint Works</t>
  </si>
  <si>
    <t>Cash Flow</t>
  </si>
  <si>
    <t>Jun-25</t>
  </si>
  <si>
    <t>Nov-25</t>
  </si>
  <si>
    <t>Activity</t>
  </si>
  <si>
    <t>Resposible Contractor</t>
  </si>
  <si>
    <t xml:space="preserve">Approved Budget </t>
  </si>
  <si>
    <t>Consumed Budget</t>
  </si>
  <si>
    <t>Consumed Busget %</t>
  </si>
  <si>
    <t>Duration Months</t>
  </si>
  <si>
    <t>Planned Start Date</t>
  </si>
  <si>
    <t>Planned Finish Date</t>
  </si>
  <si>
    <t>Effective Finish Date</t>
  </si>
  <si>
    <t>Actual Finish Date</t>
  </si>
  <si>
    <t>Planned %</t>
  </si>
  <si>
    <t>Current Status  %</t>
  </si>
  <si>
    <t>Structure Work</t>
  </si>
  <si>
    <t>Mumty, Generator Pad, Swimming Pool</t>
  </si>
  <si>
    <t>ICPL/GE</t>
  </si>
  <si>
    <t>Finishes of I-Tower</t>
  </si>
  <si>
    <t>Qatalytic Eng.</t>
  </si>
  <si>
    <t xml:space="preserve">Boundary wall </t>
  </si>
  <si>
    <t>GE</t>
  </si>
  <si>
    <t>Electrical Conduiting</t>
  </si>
  <si>
    <t>Plumbing Conduiting</t>
  </si>
  <si>
    <t>P.C.C</t>
  </si>
  <si>
    <t>External Plaster</t>
  </si>
  <si>
    <t>Ezymix</t>
  </si>
  <si>
    <t>Internal Plaster</t>
  </si>
  <si>
    <t>Electrical work</t>
  </si>
  <si>
    <t>Plumbing Work</t>
  </si>
  <si>
    <t>Fire fighting</t>
  </si>
  <si>
    <t>Captive Aire</t>
  </si>
  <si>
    <t>HVAC Ductng</t>
  </si>
  <si>
    <t>Al Ahamd</t>
  </si>
  <si>
    <t>Rock stone</t>
  </si>
  <si>
    <t>False ceiling</t>
  </si>
  <si>
    <t>Star/Elegance/BuildKo</t>
  </si>
  <si>
    <t>Paint Work(internal)</t>
  </si>
  <si>
    <t>Juton</t>
  </si>
  <si>
    <t>Paint Work(External)</t>
  </si>
  <si>
    <t>Rock shield</t>
  </si>
  <si>
    <t>Aluminium Work</t>
  </si>
  <si>
    <t>Chawala</t>
  </si>
  <si>
    <t>Tile Work</t>
  </si>
  <si>
    <t>Orient/GE/AE</t>
  </si>
  <si>
    <t>Glass Works</t>
  </si>
  <si>
    <t>Ghanii</t>
  </si>
  <si>
    <t>Wood Work</t>
  </si>
  <si>
    <t>Riz Wood</t>
  </si>
  <si>
    <t>LPG</t>
  </si>
  <si>
    <t xml:space="preserve">DATA and Voice </t>
  </si>
  <si>
    <t>EPN</t>
  </si>
  <si>
    <t>Tie Cols</t>
  </si>
  <si>
    <t xml:space="preserve">Foam Concrete </t>
  </si>
  <si>
    <t xml:space="preserve">GE </t>
  </si>
  <si>
    <t xml:space="preserve">Elevator </t>
  </si>
  <si>
    <t>EEE</t>
  </si>
  <si>
    <t>Finishes of Ground Floor-Tower</t>
  </si>
  <si>
    <t>Cybersol</t>
  </si>
  <si>
    <t>External Brick Work</t>
  </si>
  <si>
    <t>Internal Brickwork</t>
  </si>
  <si>
    <t>Façade Work Front side</t>
  </si>
  <si>
    <t>Façade Work Empty Plot side</t>
  </si>
  <si>
    <t xml:space="preserve">Façade Work Internal Side </t>
  </si>
  <si>
    <t>Finishes of L-2Tower</t>
  </si>
  <si>
    <t>Façade Work UMT side</t>
  </si>
  <si>
    <t>External Brick Works</t>
  </si>
  <si>
    <t>Travertine Marble</t>
  </si>
  <si>
    <t>Marble Works/Sill</t>
  </si>
  <si>
    <t>Alhamd</t>
  </si>
  <si>
    <t>Rock Stone</t>
  </si>
  <si>
    <t xml:space="preserve"> Material Delievery Issues</t>
  </si>
  <si>
    <t>L-1 Tower</t>
  </si>
  <si>
    <t xml:space="preserve">Façade </t>
  </si>
  <si>
    <t>Finishes Of L 1</t>
  </si>
  <si>
    <t>Cement Cost to be added</t>
  </si>
  <si>
    <t>Finishes Of L 2</t>
  </si>
  <si>
    <t>Rock Sheild</t>
  </si>
  <si>
    <t xml:space="preserve">A1 </t>
  </si>
  <si>
    <t>CyberSol/TBA</t>
  </si>
  <si>
    <t xml:space="preserve">Lake City Roof Gardens Project Tracking Sheet ( On going )
                                                                                                      </t>
  </si>
  <si>
    <t>(Structural &amp; Finishes Works Jun 2025 to Jan 2026)</t>
  </si>
  <si>
    <t>Lakecity Roof Gardens - Projected Cash Flow                                                                                                                                                                                                                                                                                                                  (Structural &amp; Finishes Works June 2025 to Jan 2026)</t>
  </si>
  <si>
    <t>Gym Equipment</t>
  </si>
  <si>
    <t>Grand Total Finishes</t>
  </si>
  <si>
    <t xml:space="preserve">Total for Finishes </t>
  </si>
  <si>
    <t>Additional Items</t>
  </si>
  <si>
    <t>VRF In corridor ( M+L)</t>
  </si>
  <si>
    <t>Kitchen Hob (M)</t>
  </si>
  <si>
    <t>Meca Tech</t>
  </si>
  <si>
    <t>SK</t>
  </si>
  <si>
    <t>(Structural &amp; Finishes Works Jun 2024 to Jan 2026)</t>
  </si>
  <si>
    <t>External lights</t>
  </si>
  <si>
    <r>
      <rPr>
        <b/>
        <sz val="9"/>
        <rFont val="Century Gothic"/>
        <family val="2"/>
      </rPr>
      <t>Sr.
No.</t>
    </r>
  </si>
  <si>
    <t>Dry Type Transformers     (M)</t>
  </si>
  <si>
    <t>Swimming Pool  ( M+L)</t>
  </si>
  <si>
    <t>AC louvers.</t>
  </si>
  <si>
    <t>A3</t>
  </si>
  <si>
    <t>GYM+Business Center+Game room</t>
  </si>
  <si>
    <t>A4</t>
  </si>
  <si>
    <t>External Development</t>
  </si>
  <si>
    <t>Note : Exclusions are ( Roof top &amp; MEP, Courtyard Finishes,  Bridges Related Finishes, Basement)</t>
  </si>
  <si>
    <t xml:space="preserve">Total Lobby </t>
  </si>
  <si>
    <t>AC</t>
  </si>
  <si>
    <t>Final Touch Ups</t>
  </si>
  <si>
    <t xml:space="preserve">Gym </t>
  </si>
  <si>
    <t>Business Center</t>
  </si>
  <si>
    <t>Game Room</t>
  </si>
  <si>
    <t>MEP Work</t>
  </si>
  <si>
    <t>Ground Floor - I-Tower</t>
  </si>
  <si>
    <t>Aqua Pool</t>
  </si>
  <si>
    <t>Roof Top</t>
  </si>
  <si>
    <t>Basement Civil Works  ( I tower posting )</t>
  </si>
  <si>
    <t>Basement Civil MEP     ( I tower posting )</t>
  </si>
  <si>
    <t>Basement Civil Works  ( L1 tower posting )</t>
  </si>
  <si>
    <t>Basement Civil MEP     (L1 tower posting )</t>
  </si>
  <si>
    <t>Basement Civil Works  (L2  tower posting )</t>
  </si>
  <si>
    <t>Basement Civil MEP     (L2 tower posting )</t>
  </si>
  <si>
    <t>Fountain tile works</t>
  </si>
  <si>
    <t>Plantations+Benches+</t>
  </si>
  <si>
    <t>PCC.+Drain</t>
  </si>
  <si>
    <r>
      <rPr>
        <b/>
        <sz val="9"/>
        <color rgb="FFFF0000"/>
        <rFont val="Century Gothic"/>
        <family val="2"/>
      </rPr>
      <t>If Contract finalize by 20.06.2025</t>
    </r>
  </si>
  <si>
    <r>
      <rPr>
        <b/>
        <sz val="10"/>
        <rFont val="Century Gothic"/>
        <family val="2"/>
      </rPr>
      <t>Court Yard Related</t>
    </r>
  </si>
  <si>
    <t>38000 Sft.Wtaer proofing+Filling</t>
  </si>
  <si>
    <t>Area</t>
  </si>
  <si>
    <t>Sewerage System ( Main holes system)</t>
  </si>
  <si>
    <t>not finalize yet</t>
  </si>
  <si>
    <t>Yet to finalize</t>
  </si>
  <si>
    <t>Boundary Wall</t>
  </si>
  <si>
    <t>Boundary Wall Paint</t>
  </si>
  <si>
    <t>Boundary Wall Louvers</t>
  </si>
  <si>
    <t>Electrical Works ( Main hole System)</t>
  </si>
  <si>
    <t>Road Base Structure</t>
  </si>
  <si>
    <t>Fire Fighting System (Base Network)</t>
  </si>
  <si>
    <t>External Drain channel</t>
  </si>
  <si>
    <t>Re-charge pit</t>
  </si>
  <si>
    <t>Street Poles Lamp foundation</t>
  </si>
  <si>
    <t>Internal Drain Channels</t>
  </si>
  <si>
    <t>Paver system</t>
  </si>
  <si>
    <t>Steps</t>
  </si>
  <si>
    <t>Removed</t>
  </si>
  <si>
    <t>108000 Sft  Pavers</t>
  </si>
  <si>
    <t>Total Lobby</t>
  </si>
  <si>
    <t>Acs</t>
  </si>
  <si>
    <t>Ground floor</t>
  </si>
  <si>
    <t>First Quotation Received</t>
  </si>
  <si>
    <t>Fire fighting works</t>
  </si>
  <si>
    <t>Total Remaining</t>
  </si>
  <si>
    <t>Furniture</t>
  </si>
  <si>
    <t>Balcony Glass  (M+L)</t>
  </si>
  <si>
    <t>Travertine</t>
  </si>
  <si>
    <t>Paddle Tennis Court  ( M+L)</t>
  </si>
  <si>
    <t xml:space="preserve">Pergola </t>
  </si>
  <si>
    <t>Additional wood Work Item.</t>
  </si>
  <si>
    <t>Balcony Glass Railing  (M+L)</t>
  </si>
  <si>
    <t>(Structural &amp; Finishes Works Nov 2024 to Jan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</si>
</sst>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[$-409]mmm/yy;@"/>
    <numFmt numFmtId="166" formatCode="_(* #,##0_);_(* \(#,##0\);_(* &quot;-&quot;??_);_(@_)"/>
    <numFmt numFmtId="167" formatCode="[$-409]mmm\-yy;@"/>
    <numFmt numFmtId="168" formatCode="dd\.mm\.yyyy;@"/>
    <numFmt numFmtId="169" formatCode="d\-mmm\-yy;@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entury Gothic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b/>
      <sz val="16"/>
      <color theme="1"/>
      <name val="Century Gothic"/>
      <family val="2"/>
    </font>
    <font>
      <b/>
      <sz val="11"/>
      <color theme="1"/>
      <name val="Century Gothic"/>
      <family val="2"/>
    </font>
    <font>
      <b/>
      <sz val="20"/>
      <color theme="1"/>
      <name val="Century Gothic"/>
      <family val="2"/>
    </font>
    <font>
      <b/>
      <sz val="16"/>
      <name val="Century Gothic"/>
      <family val="2"/>
    </font>
    <font>
      <sz val="16"/>
      <color theme="1"/>
      <name val="Century Gothic"/>
      <family val="2"/>
    </font>
    <font>
      <sz val="16"/>
      <name val="Century Gothic"/>
      <family val="2"/>
    </font>
    <font>
      <b/>
      <sz val="16"/>
      <color rgb="FFFF0000"/>
      <name val="Century Gothic"/>
      <family val="2"/>
    </font>
    <font>
      <sz val="16"/>
      <color rgb="FFFF0000"/>
      <name val="Century Gothic"/>
      <family val="2"/>
    </font>
    <font>
      <sz val="18"/>
      <color theme="1"/>
      <name val="Century Gothic"/>
      <family val="2"/>
    </font>
    <font>
      <b/>
      <sz val="14"/>
      <name val="Century Gothic"/>
      <family val="2"/>
    </font>
    <font>
      <b/>
      <sz val="22"/>
      <color theme="1"/>
      <name val="Century Gothic"/>
      <family val="2"/>
    </font>
    <font>
      <b/>
      <sz val="12"/>
      <color theme="1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entury Gothic"/>
      <family val="2"/>
    </font>
    <font>
      <sz val="10"/>
      <name val="Century Gothic"/>
      <family val="2"/>
    </font>
    <font>
      <sz val="8"/>
      <name val="Calibri"/>
      <family val="2"/>
      <scheme val="minor"/>
    </font>
    <font>
      <b/>
      <sz val="26"/>
      <color rgb="FF000000"/>
      <name val="Century Gothic"/>
      <family val="2"/>
    </font>
    <font>
      <b/>
      <sz val="12"/>
      <color rgb="FF000000"/>
      <name val="Times New Roman"/>
      <family val="1"/>
    </font>
    <font>
      <b/>
      <sz val="18"/>
      <name val="Century Gothic"/>
      <family val="2"/>
    </font>
    <font>
      <sz val="16"/>
      <color theme="1"/>
      <name val="Artifakt Element"/>
      <family val="2"/>
    </font>
    <font>
      <sz val="12"/>
      <color rgb="FF000000"/>
      <name val="Times New Roman"/>
      <family val="1"/>
    </font>
    <font>
      <sz val="16"/>
      <color rgb="FF000000"/>
      <name val="Times New Roman"/>
      <family val="1"/>
    </font>
    <font>
      <sz val="16"/>
      <color rgb="FF000000"/>
      <name val="Century Gothic"/>
      <family val="2"/>
    </font>
    <font>
      <sz val="10"/>
      <color rgb="FF000000"/>
      <name val="Times New Roman"/>
      <family val="1"/>
    </font>
    <font>
      <b/>
      <sz val="20"/>
      <name val="Century Gothic"/>
      <family val="2"/>
    </font>
    <font>
      <b/>
      <sz val="14"/>
      <color rgb="FF000000"/>
      <name val="Century Gothic"/>
      <family val="2"/>
    </font>
    <font>
      <b/>
      <sz val="16"/>
      <name val="Century Gothic"/>
      <family val="2"/>
    </font>
    <font>
      <b/>
      <sz val="16"/>
      <color rgb="FF000000"/>
      <name val="Century Gothic"/>
      <family val="2"/>
    </font>
    <font>
      <b/>
      <sz val="18"/>
      <name val="Century Gothic"/>
      <family val="2"/>
    </font>
    <font>
      <sz val="10"/>
      <color rgb="FF000000"/>
      <name val="Times New Roman"/>
      <family val="1"/>
    </font>
    <font>
      <b/>
      <sz val="22"/>
      <name val="Century Gothic"/>
      <family val="2"/>
    </font>
    <font>
      <sz val="22"/>
      <color rgb="FF000000"/>
      <name val="Century Gothic"/>
      <family val="2"/>
    </font>
    <font>
      <b/>
      <sz val="18"/>
      <color rgb="FF000000"/>
      <name val="Century Gothic"/>
      <family val="2"/>
    </font>
    <font>
      <b/>
      <sz val="18"/>
      <color rgb="FF000000"/>
      <name val="Times New Roman"/>
      <family val="1"/>
    </font>
    <font>
      <b/>
      <sz val="9"/>
      <name val="Century Gothic"/>
      <family val="2"/>
    </font>
    <font>
      <sz val="9"/>
      <color rgb="FF000000"/>
      <name val="Century Gothic"/>
      <family val="2"/>
    </font>
    <font>
      <b/>
      <sz val="9"/>
      <color rgb="FF000000"/>
      <name val="Century Gothic"/>
      <family val="2"/>
    </font>
    <font>
      <sz val="9"/>
      <color rgb="FFFF0000"/>
      <name val="Century Gothic"/>
      <family val="2"/>
    </font>
    <font>
      <sz val="9"/>
      <name val="Century Gothic"/>
      <family val="2"/>
    </font>
    <font>
      <sz val="9"/>
      <color theme="1"/>
      <name val="Century Gothic"/>
      <family val="2"/>
    </font>
    <font>
      <b/>
      <sz val="10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sz val="7"/>
      <name val="Century Gothic"/>
      <family val="2"/>
    </font>
    <font>
      <sz val="14"/>
      <color rgb="FF000000"/>
      <name val="Century Gothic"/>
      <family val="2"/>
    </font>
    <font>
      <sz val="10"/>
      <color theme="9" tint="0.59999389629810485"/>
      <name val="Times New Roman"/>
      <family val="1"/>
    </font>
    <font>
      <sz val="10"/>
      <color theme="1"/>
      <name val="Century Gothic"/>
      <family val="2"/>
    </font>
    <font>
      <b/>
      <sz val="9"/>
      <color rgb="FFFF0000"/>
      <name val="Century Gothic"/>
      <family val="2"/>
    </font>
    <font>
      <sz val="12"/>
      <name val="Century Gothic"/>
      <family val="2"/>
    </font>
    <font>
      <sz val="16"/>
      <color theme="1"/>
      <name val="Calibri"/>
      <family val="2"/>
      <scheme val="minor"/>
    </font>
    <font>
      <b/>
      <sz val="24"/>
      <name val="Century Gothic"/>
      <family val="2"/>
    </font>
  </fonts>
  <fills count="2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2FDC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1CC"/>
      </patternFill>
    </fill>
    <fill>
      <patternFill patternType="solid">
        <fgColor rgb="FFD9E0F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0CF50"/>
      </patternFill>
    </fill>
    <fill>
      <patternFill patternType="solid">
        <fgColor rgb="FFFFFF00"/>
      </patternFill>
    </fill>
    <fill>
      <patternFill patternType="solid">
        <fgColor rgb="FF91CF5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7030A0"/>
      </left>
      <right style="thin">
        <color rgb="FF00B050"/>
      </right>
      <top style="hair">
        <color rgb="FFFF0000"/>
      </top>
      <bottom style="hair">
        <color rgb="FFFF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20" fillId="0" borderId="0"/>
    <xf numFmtId="0" fontId="22" fillId="0" borderId="0"/>
    <xf numFmtId="164" fontId="22" fillId="0" borderId="0" applyFont="0" applyFill="0" applyBorder="0" applyAlignment="0" applyProtection="0"/>
    <xf numFmtId="0" fontId="33" fillId="0" borderId="0"/>
    <xf numFmtId="0" fontId="39" fillId="0" borderId="0"/>
    <xf numFmtId="43" fontId="20" fillId="0" borderId="0" applyFont="0" applyFill="0" applyBorder="0" applyAlignment="0" applyProtection="0"/>
    <xf numFmtId="9" fontId="39" fillId="0" borderId="0" applyFont="0" applyFill="0" applyBorder="0" applyAlignment="0" applyProtection="0"/>
  </cellStyleXfs>
  <cellXfs count="10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43" fontId="10" fillId="0" borderId="1" xfId="1" applyFont="1" applyBorder="1"/>
    <xf numFmtId="166" fontId="10" fillId="6" borderId="1" xfId="1" applyNumberFormat="1" applyFont="1" applyFill="1" applyBorder="1"/>
    <xf numFmtId="9" fontId="10" fillId="0" borderId="1" xfId="3" applyFont="1" applyBorder="1" applyAlignment="1">
      <alignment horizontal="center" vertical="center"/>
    </xf>
    <xf numFmtId="166" fontId="11" fillId="6" borderId="1" xfId="1" applyNumberFormat="1" applyFont="1" applyFill="1" applyBorder="1" applyProtection="1">
      <protection locked="0"/>
    </xf>
    <xf numFmtId="166" fontId="10" fillId="4" borderId="1" xfId="1" applyNumberFormat="1" applyFont="1" applyFill="1" applyBorder="1"/>
    <xf numFmtId="166" fontId="12" fillId="6" borderId="1" xfId="1" applyNumberFormat="1" applyFont="1" applyFill="1" applyBorder="1"/>
    <xf numFmtId="0" fontId="6" fillId="3" borderId="1" xfId="0" applyFont="1" applyFill="1" applyBorder="1"/>
    <xf numFmtId="165" fontId="11" fillId="2" borderId="1" xfId="2" applyNumberFormat="1" applyFont="1" applyFill="1" applyBorder="1" applyAlignment="1">
      <alignment horizontal="center" vertical="center"/>
    </xf>
    <xf numFmtId="165" fontId="11" fillId="6" borderId="1" xfId="2" applyNumberFormat="1" applyFont="1" applyFill="1" applyBorder="1" applyAlignment="1">
      <alignment horizontal="center" vertical="center"/>
    </xf>
    <xf numFmtId="0" fontId="6" fillId="6" borderId="1" xfId="0" applyFont="1" applyFill="1" applyBorder="1"/>
    <xf numFmtId="0" fontId="10" fillId="6" borderId="1" xfId="0" applyFont="1" applyFill="1" applyBorder="1"/>
    <xf numFmtId="0" fontId="14" fillId="0" borderId="0" xfId="0" applyFont="1" applyAlignment="1">
      <alignment horizontal="center" vertical="center"/>
    </xf>
    <xf numFmtId="9" fontId="3" fillId="0" borderId="0" xfId="3" applyFont="1" applyBorder="1"/>
    <xf numFmtId="43" fontId="10" fillId="6" borderId="1" xfId="1" applyFont="1" applyFill="1" applyBorder="1"/>
    <xf numFmtId="167" fontId="15" fillId="3" borderId="1" xfId="2" applyNumberFormat="1" applyFont="1" applyFill="1" applyBorder="1" applyAlignment="1">
      <alignment horizontal="center" vertical="center" wrapText="1"/>
    </xf>
    <xf numFmtId="166" fontId="6" fillId="7" borderId="1" xfId="1" applyNumberFormat="1" applyFont="1" applyFill="1" applyBorder="1"/>
    <xf numFmtId="0" fontId="3" fillId="0" borderId="1" xfId="0" applyFont="1" applyBorder="1"/>
    <xf numFmtId="166" fontId="6" fillId="6" borderId="1" xfId="1" applyNumberFormat="1" applyFont="1" applyFill="1" applyBorder="1"/>
    <xf numFmtId="165" fontId="11" fillId="8" borderId="1" xfId="2" applyNumberFormat="1" applyFont="1" applyFill="1" applyBorder="1" applyAlignment="1">
      <alignment horizontal="center" vertical="center"/>
    </xf>
    <xf numFmtId="0" fontId="8" fillId="0" borderId="5" xfId="0" applyFont="1" applyBorder="1"/>
    <xf numFmtId="0" fontId="5" fillId="0" borderId="4" xfId="0" applyFont="1" applyBorder="1"/>
    <xf numFmtId="0" fontId="3" fillId="0" borderId="4" xfId="0" applyFont="1" applyBorder="1"/>
    <xf numFmtId="14" fontId="4" fillId="0" borderId="4" xfId="0" applyNumberFormat="1" applyFont="1" applyBorder="1" applyAlignment="1">
      <alignment horizontal="center"/>
    </xf>
    <xf numFmtId="9" fontId="3" fillId="0" borderId="4" xfId="3" applyFont="1" applyBorder="1"/>
    <xf numFmtId="0" fontId="6" fillId="0" borderId="12" xfId="0" applyFont="1" applyBorder="1"/>
    <xf numFmtId="0" fontId="5" fillId="0" borderId="12" xfId="0" applyFont="1" applyBorder="1"/>
    <xf numFmtId="0" fontId="5" fillId="0" borderId="2" xfId="0" applyFont="1" applyBorder="1"/>
    <xf numFmtId="0" fontId="4" fillId="0" borderId="3" xfId="0" applyFont="1" applyBorder="1" applyAlignment="1">
      <alignment vertical="center"/>
    </xf>
    <xf numFmtId="0" fontId="6" fillId="6" borderId="21" xfId="0" applyFont="1" applyFill="1" applyBorder="1" applyAlignment="1">
      <alignment horizontal="center"/>
    </xf>
    <xf numFmtId="166" fontId="6" fillId="6" borderId="22" xfId="1" applyNumberFormat="1" applyFont="1" applyFill="1" applyBorder="1" applyAlignment="1">
      <alignment vertical="center"/>
    </xf>
    <xf numFmtId="167" fontId="15" fillId="3" borderId="21" xfId="2" applyNumberFormat="1" applyFont="1" applyFill="1" applyBorder="1" applyAlignment="1">
      <alignment horizontal="center" vertical="center" wrapText="1"/>
    </xf>
    <xf numFmtId="167" fontId="15" fillId="3" borderId="22" xfId="2" applyNumberFormat="1" applyFont="1" applyFill="1" applyBorder="1" applyAlignment="1">
      <alignment horizontal="center" vertical="center" wrapText="1"/>
    </xf>
    <xf numFmtId="9" fontId="15" fillId="3" borderId="22" xfId="3" applyFont="1" applyFill="1" applyBorder="1" applyAlignment="1">
      <alignment horizontal="center" vertical="center" wrapText="1"/>
    </xf>
    <xf numFmtId="167" fontId="15" fillId="3" borderId="23" xfId="2" applyNumberFormat="1" applyFont="1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26" xfId="0" applyFont="1" applyBorder="1"/>
    <xf numFmtId="167" fontId="15" fillId="3" borderId="29" xfId="2" applyNumberFormat="1" applyFont="1" applyFill="1" applyBorder="1" applyAlignment="1">
      <alignment horizontal="center" vertical="center" wrapText="1"/>
    </xf>
    <xf numFmtId="166" fontId="4" fillId="0" borderId="3" xfId="0" applyNumberFormat="1" applyFont="1" applyBorder="1" applyAlignment="1">
      <alignment vertical="center"/>
    </xf>
    <xf numFmtId="0" fontId="3" fillId="0" borderId="5" xfId="0" applyFont="1" applyBorder="1"/>
    <xf numFmtId="0" fontId="3" fillId="0" borderId="12" xfId="0" applyFont="1" applyBorder="1"/>
    <xf numFmtId="0" fontId="14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10" fillId="6" borderId="29" xfId="1" applyNumberFormat="1" applyFont="1" applyFill="1" applyBorder="1"/>
    <xf numFmtId="0" fontId="3" fillId="0" borderId="6" xfId="0" applyFont="1" applyBorder="1"/>
    <xf numFmtId="0" fontId="3" fillId="0" borderId="3" xfId="0" applyFont="1" applyBorder="1"/>
    <xf numFmtId="9" fontId="3" fillId="0" borderId="3" xfId="3" applyFont="1" applyBorder="1"/>
    <xf numFmtId="43" fontId="3" fillId="0" borderId="3" xfId="0" applyNumberFormat="1" applyFont="1" applyBorder="1"/>
    <xf numFmtId="0" fontId="5" fillId="0" borderId="3" xfId="0" applyFont="1" applyBorder="1"/>
    <xf numFmtId="0" fontId="4" fillId="0" borderId="3" xfId="0" applyFont="1" applyBorder="1"/>
    <xf numFmtId="0" fontId="20" fillId="0" borderId="0" xfId="4" applyAlignment="1">
      <alignment horizontal="left" vertical="top"/>
    </xf>
    <xf numFmtId="0" fontId="22" fillId="0" borderId="1" xfId="4" applyFont="1" applyBorder="1" applyAlignment="1">
      <alignment horizontal="left" vertical="top"/>
    </xf>
    <xf numFmtId="166" fontId="10" fillId="0" borderId="1" xfId="1" applyNumberFormat="1" applyFont="1" applyBorder="1"/>
    <xf numFmtId="166" fontId="10" fillId="6" borderId="9" xfId="1" applyNumberFormat="1" applyFont="1" applyFill="1" applyBorder="1"/>
    <xf numFmtId="167" fontId="15" fillId="3" borderId="32" xfId="2" applyNumberFormat="1" applyFont="1" applyFill="1" applyBorder="1" applyAlignment="1">
      <alignment horizontal="center" vertical="center" wrapText="1"/>
    </xf>
    <xf numFmtId="167" fontId="15" fillId="3" borderId="33" xfId="2" applyNumberFormat="1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left" indent="3"/>
    </xf>
    <xf numFmtId="0" fontId="6" fillId="6" borderId="13" xfId="0" applyFont="1" applyFill="1" applyBorder="1" applyAlignment="1">
      <alignment horizontal="right"/>
    </xf>
    <xf numFmtId="165" fontId="11" fillId="8" borderId="10" xfId="2" applyNumberFormat="1" applyFont="1" applyFill="1" applyBorder="1" applyAlignment="1">
      <alignment horizontal="center" vertical="center"/>
    </xf>
    <xf numFmtId="166" fontId="10" fillId="4" borderId="10" xfId="1" applyNumberFormat="1" applyFont="1" applyFill="1" applyBorder="1"/>
    <xf numFmtId="0" fontId="3" fillId="0" borderId="9" xfId="0" applyFont="1" applyBorder="1"/>
    <xf numFmtId="0" fontId="5" fillId="0" borderId="5" xfId="0" applyFont="1" applyBorder="1"/>
    <xf numFmtId="0" fontId="8" fillId="0" borderId="12" xfId="0" applyFont="1" applyBorder="1"/>
    <xf numFmtId="0" fontId="20" fillId="0" borderId="4" xfId="4" applyBorder="1" applyAlignment="1">
      <alignment horizontal="left" vertical="top"/>
    </xf>
    <xf numFmtId="0" fontId="6" fillId="7" borderId="13" xfId="0" applyFont="1" applyFill="1" applyBorder="1"/>
    <xf numFmtId="17" fontId="24" fillId="0" borderId="1" xfId="4" applyNumberFormat="1" applyFont="1" applyBorder="1" applyAlignment="1">
      <alignment horizontal="center" vertical="top" wrapText="1"/>
    </xf>
    <xf numFmtId="4" fontId="23" fillId="6" borderId="1" xfId="4" applyNumberFormat="1" applyFont="1" applyFill="1" applyBorder="1" applyAlignment="1">
      <alignment horizontal="right" vertical="top" shrinkToFit="1"/>
    </xf>
    <xf numFmtId="0" fontId="24" fillId="0" borderId="1" xfId="4" applyFont="1" applyBorder="1" applyAlignment="1">
      <alignment horizontal="center" vertical="top" wrapText="1"/>
    </xf>
    <xf numFmtId="0" fontId="22" fillId="0" borderId="1" xfId="4" applyFont="1" applyBorder="1" applyAlignment="1">
      <alignment horizontal="left" wrapText="1"/>
    </xf>
    <xf numFmtId="43" fontId="22" fillId="0" borderId="1" xfId="1" applyFont="1" applyBorder="1" applyAlignment="1">
      <alignment horizontal="left" vertical="top"/>
    </xf>
    <xf numFmtId="0" fontId="22" fillId="0" borderId="40" xfId="4" applyFont="1" applyBorder="1" applyAlignment="1">
      <alignment horizontal="left" vertical="top"/>
    </xf>
    <xf numFmtId="0" fontId="21" fillId="0" borderId="7" xfId="4" applyFont="1" applyBorder="1" applyAlignment="1">
      <alignment horizontal="right"/>
    </xf>
    <xf numFmtId="0" fontId="6" fillId="5" borderId="9" xfId="0" applyFont="1" applyFill="1" applyBorder="1" applyAlignment="1">
      <alignment horizontal="left"/>
    </xf>
    <xf numFmtId="0" fontId="6" fillId="5" borderId="29" xfId="0" applyFont="1" applyFill="1" applyBorder="1" applyAlignment="1">
      <alignment horizontal="left"/>
    </xf>
    <xf numFmtId="0" fontId="5" fillId="0" borderId="44" xfId="0" applyFont="1" applyBorder="1"/>
    <xf numFmtId="0" fontId="4" fillId="0" borderId="24" xfId="0" applyFont="1" applyBorder="1" applyAlignment="1">
      <alignment vertical="center"/>
    </xf>
    <xf numFmtId="0" fontId="3" fillId="0" borderId="41" xfId="0" applyFont="1" applyBorder="1"/>
    <xf numFmtId="166" fontId="6" fillId="7" borderId="29" xfId="1" applyNumberFormat="1" applyFont="1" applyFill="1" applyBorder="1" applyAlignment="1">
      <alignment horizontal="center" vertical="center"/>
    </xf>
    <xf numFmtId="166" fontId="6" fillId="6" borderId="29" xfId="1" applyNumberFormat="1" applyFont="1" applyFill="1" applyBorder="1" applyAlignment="1">
      <alignment horizontal="center"/>
    </xf>
    <xf numFmtId="4" fontId="23" fillId="6" borderId="9" xfId="4" applyNumberFormat="1" applyFont="1" applyFill="1" applyBorder="1" applyAlignment="1">
      <alignment horizontal="right" vertical="top" shrinkToFit="1"/>
    </xf>
    <xf numFmtId="0" fontId="22" fillId="0" borderId="9" xfId="4" applyFont="1" applyBorder="1" applyAlignment="1">
      <alignment horizontal="left" vertical="top"/>
    </xf>
    <xf numFmtId="0" fontId="22" fillId="0" borderId="46" xfId="4" applyFont="1" applyBorder="1" applyAlignment="1">
      <alignment horizontal="left" vertical="top"/>
    </xf>
    <xf numFmtId="0" fontId="20" fillId="0" borderId="29" xfId="4" applyBorder="1" applyAlignment="1">
      <alignment horizontal="left" vertical="top"/>
    </xf>
    <xf numFmtId="166" fontId="6" fillId="6" borderId="29" xfId="1" applyNumberFormat="1" applyFont="1" applyFill="1" applyBorder="1" applyAlignment="1">
      <alignment horizontal="center" vertical="center"/>
    </xf>
    <xf numFmtId="166" fontId="10" fillId="6" borderId="49" xfId="1" applyNumberFormat="1" applyFont="1" applyFill="1" applyBorder="1"/>
    <xf numFmtId="0" fontId="9" fillId="6" borderId="21" xfId="2" applyFont="1" applyFill="1" applyBorder="1" applyAlignment="1">
      <alignment horizontal="center" vertical="center" wrapText="1"/>
    </xf>
    <xf numFmtId="167" fontId="15" fillId="6" borderId="22" xfId="2" applyNumberFormat="1" applyFont="1" applyFill="1" applyBorder="1" applyAlignment="1">
      <alignment horizontal="center" vertical="center" wrapText="1"/>
    </xf>
    <xf numFmtId="0" fontId="9" fillId="6" borderId="44" xfId="2" applyFont="1" applyFill="1" applyBorder="1" applyAlignment="1">
      <alignment horizontal="center" vertical="center" wrapText="1"/>
    </xf>
    <xf numFmtId="167" fontId="15" fillId="6" borderId="24" xfId="2" applyNumberFormat="1" applyFont="1" applyFill="1" applyBorder="1" applyAlignment="1">
      <alignment horizontal="center" vertical="center" wrapText="1"/>
    </xf>
    <xf numFmtId="166" fontId="6" fillId="6" borderId="24" xfId="1" applyNumberFormat="1" applyFont="1" applyFill="1" applyBorder="1" applyAlignment="1">
      <alignment vertical="center"/>
    </xf>
    <xf numFmtId="3" fontId="4" fillId="0" borderId="3" xfId="0" applyNumberFormat="1" applyFont="1" applyBorder="1" applyAlignment="1">
      <alignment vertical="center"/>
    </xf>
    <xf numFmtId="0" fontId="9" fillId="6" borderId="22" xfId="2" applyFont="1" applyFill="1" applyBorder="1" applyAlignment="1">
      <alignment horizontal="center" vertical="center" wrapText="1"/>
    </xf>
    <xf numFmtId="0" fontId="22" fillId="0" borderId="28" xfId="4" applyFont="1" applyBorder="1" applyAlignment="1">
      <alignment horizontal="left" vertical="top"/>
    </xf>
    <xf numFmtId="0" fontId="20" fillId="0" borderId="50" xfId="4" applyBorder="1" applyAlignment="1">
      <alignment horizontal="left" vertical="top"/>
    </xf>
    <xf numFmtId="0" fontId="22" fillId="0" borderId="10" xfId="4" applyFont="1" applyBorder="1" applyAlignment="1">
      <alignment horizontal="left" vertical="top"/>
    </xf>
    <xf numFmtId="0" fontId="22" fillId="0" borderId="21" xfId="4" applyFont="1" applyBorder="1" applyAlignment="1">
      <alignment horizontal="left" wrapText="1"/>
    </xf>
    <xf numFmtId="0" fontId="22" fillId="0" borderId="22" xfId="4" applyFont="1" applyBorder="1" applyAlignment="1">
      <alignment horizontal="left" wrapText="1"/>
    </xf>
    <xf numFmtId="166" fontId="10" fillId="0" borderId="22" xfId="1" applyNumberFormat="1" applyFont="1" applyBorder="1"/>
    <xf numFmtId="0" fontId="6" fillId="6" borderId="13" xfId="0" applyFont="1" applyFill="1" applyBorder="1"/>
    <xf numFmtId="0" fontId="3" fillId="0" borderId="24" xfId="0" applyFont="1" applyBorder="1"/>
    <xf numFmtId="0" fontId="5" fillId="0" borderId="45" xfId="0" applyFont="1" applyBorder="1"/>
    <xf numFmtId="0" fontId="4" fillId="0" borderId="14" xfId="0" applyFont="1" applyBorder="1"/>
    <xf numFmtId="43" fontId="10" fillId="0" borderId="22" xfId="1" applyFont="1" applyBorder="1" applyAlignment="1">
      <alignment vertical="center"/>
    </xf>
    <xf numFmtId="43" fontId="6" fillId="0" borderId="22" xfId="1" applyFont="1" applyBorder="1" applyAlignment="1">
      <alignment vertical="center"/>
    </xf>
    <xf numFmtId="0" fontId="6" fillId="6" borderId="22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vertical="center"/>
    </xf>
    <xf numFmtId="166" fontId="6" fillId="5" borderId="22" xfId="1" applyNumberFormat="1" applyFont="1" applyFill="1" applyBorder="1" applyAlignment="1">
      <alignment vertical="center"/>
    </xf>
    <xf numFmtId="0" fontId="6" fillId="6" borderId="22" xfId="0" applyFont="1" applyFill="1" applyBorder="1" applyAlignment="1">
      <alignment horizontal="center"/>
    </xf>
    <xf numFmtId="0" fontId="5" fillId="0" borderId="22" xfId="0" applyFont="1" applyBorder="1"/>
    <xf numFmtId="166" fontId="6" fillId="6" borderId="18" xfId="1" applyNumberFormat="1" applyFont="1" applyFill="1" applyBorder="1" applyAlignment="1">
      <alignment vertical="center"/>
    </xf>
    <xf numFmtId="166" fontId="10" fillId="9" borderId="1" xfId="1" applyNumberFormat="1" applyFont="1" applyFill="1" applyBorder="1"/>
    <xf numFmtId="166" fontId="6" fillId="9" borderId="1" xfId="1" applyNumberFormat="1" applyFont="1" applyFill="1" applyBorder="1"/>
    <xf numFmtId="166" fontId="6" fillId="6" borderId="25" xfId="1" applyNumberFormat="1" applyFont="1" applyFill="1" applyBorder="1" applyAlignment="1">
      <alignment vertical="center"/>
    </xf>
    <xf numFmtId="0" fontId="22" fillId="0" borderId="10" xfId="4" applyFont="1" applyBorder="1" applyAlignment="1">
      <alignment horizontal="left" wrapText="1"/>
    </xf>
    <xf numFmtId="0" fontId="22" fillId="0" borderId="40" xfId="4" applyFont="1" applyBorder="1" applyAlignment="1">
      <alignment horizontal="left" wrapText="1"/>
    </xf>
    <xf numFmtId="0" fontId="9" fillId="6" borderId="12" xfId="2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vertical="center"/>
    </xf>
    <xf numFmtId="166" fontId="10" fillId="8" borderId="1" xfId="1" applyNumberFormat="1" applyFont="1" applyFill="1" applyBorder="1"/>
    <xf numFmtId="166" fontId="10" fillId="9" borderId="1" xfId="1" applyNumberFormat="1" applyFont="1" applyFill="1" applyBorder="1" applyAlignment="1">
      <alignment horizontal="center"/>
    </xf>
    <xf numFmtId="166" fontId="6" fillId="9" borderId="1" xfId="1" applyNumberFormat="1" applyFont="1" applyFill="1" applyBorder="1" applyAlignment="1">
      <alignment horizontal="center"/>
    </xf>
    <xf numFmtId="166" fontId="11" fillId="9" borderId="1" xfId="1" applyNumberFormat="1" applyFont="1" applyFill="1" applyBorder="1" applyProtection="1">
      <protection locked="0"/>
    </xf>
    <xf numFmtId="166" fontId="11" fillId="9" borderId="1" xfId="1" applyNumberFormat="1" applyFont="1" applyFill="1" applyBorder="1" applyAlignment="1" applyProtection="1">
      <alignment horizontal="center"/>
      <protection locked="0"/>
    </xf>
    <xf numFmtId="0" fontId="6" fillId="9" borderId="1" xfId="0" applyFont="1" applyFill="1" applyBorder="1"/>
    <xf numFmtId="165" fontId="11" fillId="9" borderId="1" xfId="2" applyNumberFormat="1" applyFont="1" applyFill="1" applyBorder="1" applyAlignment="1">
      <alignment horizontal="center" vertical="center"/>
    </xf>
    <xf numFmtId="43" fontId="10" fillId="9" borderId="1" xfId="1" applyFont="1" applyFill="1" applyBorder="1"/>
    <xf numFmtId="43" fontId="10" fillId="9" borderId="31" xfId="1" applyFont="1" applyFill="1" applyBorder="1" applyAlignment="1">
      <alignment vertical="center"/>
    </xf>
    <xf numFmtId="165" fontId="13" fillId="9" borderId="1" xfId="2" applyNumberFormat="1" applyFont="1" applyFill="1" applyBorder="1" applyAlignment="1">
      <alignment horizontal="center" vertical="center"/>
    </xf>
    <xf numFmtId="43" fontId="22" fillId="0" borderId="10" xfId="1" applyFont="1" applyBorder="1" applyAlignment="1">
      <alignment horizontal="left" vertical="top"/>
    </xf>
    <xf numFmtId="0" fontId="6" fillId="8" borderId="1" xfId="0" applyFont="1" applyFill="1" applyBorder="1"/>
    <xf numFmtId="43" fontId="10" fillId="8" borderId="1" xfId="1" applyFont="1" applyFill="1" applyBorder="1"/>
    <xf numFmtId="166" fontId="11" fillId="8" borderId="1" xfId="1" applyNumberFormat="1" applyFont="1" applyFill="1" applyBorder="1" applyProtection="1">
      <protection locked="0"/>
    </xf>
    <xf numFmtId="166" fontId="6" fillId="8" borderId="1" xfId="1" applyNumberFormat="1" applyFont="1" applyFill="1" applyBorder="1"/>
    <xf numFmtId="0" fontId="6" fillId="8" borderId="13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right"/>
    </xf>
    <xf numFmtId="0" fontId="6" fillId="8" borderId="37" xfId="0" applyFont="1" applyFill="1" applyBorder="1" applyAlignment="1">
      <alignment horizontal="center"/>
    </xf>
    <xf numFmtId="166" fontId="6" fillId="8" borderId="10" xfId="1" applyNumberFormat="1" applyFont="1" applyFill="1" applyBorder="1" applyAlignment="1">
      <alignment horizontal="left"/>
    </xf>
    <xf numFmtId="166" fontId="11" fillId="8" borderId="10" xfId="1" applyNumberFormat="1" applyFont="1" applyFill="1" applyBorder="1" applyAlignment="1">
      <alignment horizontal="center" vertical="center"/>
    </xf>
    <xf numFmtId="166" fontId="6" fillId="8" borderId="10" xfId="1" applyNumberFormat="1" applyFont="1" applyFill="1" applyBorder="1" applyAlignment="1">
      <alignment vertical="center"/>
    </xf>
    <xf numFmtId="166" fontId="9" fillId="8" borderId="10" xfId="1" applyNumberFormat="1" applyFont="1" applyFill="1" applyBorder="1" applyAlignment="1">
      <alignment horizontal="center" vertical="center"/>
    </xf>
    <xf numFmtId="166" fontId="6" fillId="8" borderId="1" xfId="1" applyNumberFormat="1" applyFont="1" applyFill="1" applyBorder="1" applyAlignment="1">
      <alignment vertical="center"/>
    </xf>
    <xf numFmtId="166" fontId="6" fillId="8" borderId="1" xfId="1" applyNumberFormat="1" applyFont="1" applyFill="1" applyBorder="1" applyAlignment="1">
      <alignment horizontal="left"/>
    </xf>
    <xf numFmtId="166" fontId="11" fillId="8" borderId="1" xfId="1" applyNumberFormat="1" applyFont="1" applyFill="1" applyBorder="1" applyAlignment="1">
      <alignment horizontal="center" vertical="center"/>
    </xf>
    <xf numFmtId="166" fontId="10" fillId="8" borderId="1" xfId="1" applyNumberFormat="1" applyFont="1" applyFill="1" applyBorder="1" applyAlignment="1">
      <alignment vertical="center"/>
    </xf>
    <xf numFmtId="166" fontId="9" fillId="8" borderId="1" xfId="1" applyNumberFormat="1" applyFont="1" applyFill="1" applyBorder="1" applyAlignment="1">
      <alignment horizontal="center" vertical="center"/>
    </xf>
    <xf numFmtId="9" fontId="10" fillId="8" borderId="1" xfId="3" applyFont="1" applyFill="1" applyBorder="1" applyAlignment="1">
      <alignment horizontal="center" vertical="center"/>
    </xf>
    <xf numFmtId="0" fontId="3" fillId="8" borderId="1" xfId="0" applyFont="1" applyFill="1" applyBorder="1"/>
    <xf numFmtId="43" fontId="3" fillId="8" borderId="1" xfId="1" applyFont="1" applyFill="1" applyBorder="1"/>
    <xf numFmtId="3" fontId="3" fillId="8" borderId="1" xfId="0" applyNumberFormat="1" applyFont="1" applyFill="1" applyBorder="1"/>
    <xf numFmtId="43" fontId="3" fillId="8" borderId="1" xfId="0" applyNumberFormat="1" applyFont="1" applyFill="1" applyBorder="1"/>
    <xf numFmtId="0" fontId="3" fillId="8" borderId="9" xfId="0" applyFont="1" applyFill="1" applyBorder="1"/>
    <xf numFmtId="166" fontId="10" fillId="8" borderId="9" xfId="1" applyNumberFormat="1" applyFont="1" applyFill="1" applyBorder="1"/>
    <xf numFmtId="166" fontId="6" fillId="8" borderId="29" xfId="1" applyNumberFormat="1" applyFont="1" applyFill="1" applyBorder="1" applyAlignment="1">
      <alignment horizontal="center"/>
    </xf>
    <xf numFmtId="166" fontId="10" fillId="8" borderId="28" xfId="1" applyNumberFormat="1" applyFont="1" applyFill="1" applyBorder="1"/>
    <xf numFmtId="166" fontId="10" fillId="8" borderId="49" xfId="1" applyNumberFormat="1" applyFont="1" applyFill="1" applyBorder="1"/>
    <xf numFmtId="166" fontId="12" fillId="9" borderId="1" xfId="1" applyNumberFormat="1" applyFont="1" applyFill="1" applyBorder="1"/>
    <xf numFmtId="9" fontId="10" fillId="9" borderId="1" xfId="3" applyFont="1" applyFill="1" applyBorder="1" applyAlignment="1">
      <alignment horizontal="center" vertical="center"/>
    </xf>
    <xf numFmtId="0" fontId="3" fillId="9" borderId="1" xfId="0" applyFont="1" applyFill="1" applyBorder="1"/>
    <xf numFmtId="0" fontId="3" fillId="9" borderId="9" xfId="0" applyFont="1" applyFill="1" applyBorder="1"/>
    <xf numFmtId="166" fontId="6" fillId="9" borderId="29" xfId="1" applyNumberFormat="1" applyFont="1" applyFill="1" applyBorder="1" applyAlignment="1">
      <alignment horizontal="center"/>
    </xf>
    <xf numFmtId="166" fontId="6" fillId="8" borderId="13" xfId="1" applyNumberFormat="1" applyFont="1" applyFill="1" applyBorder="1"/>
    <xf numFmtId="166" fontId="6" fillId="8" borderId="29" xfId="1" applyNumberFormat="1" applyFont="1" applyFill="1" applyBorder="1" applyAlignment="1">
      <alignment horizontal="center" vertical="center"/>
    </xf>
    <xf numFmtId="166" fontId="10" fillId="8" borderId="29" xfId="1" applyNumberFormat="1" applyFont="1" applyFill="1" applyBorder="1"/>
    <xf numFmtId="43" fontId="10" fillId="6" borderId="1" xfId="1" applyFont="1" applyFill="1" applyBorder="1" applyAlignment="1"/>
    <xf numFmtId="166" fontId="10" fillId="9" borderId="9" xfId="1" applyNumberFormat="1" applyFont="1" applyFill="1" applyBorder="1"/>
    <xf numFmtId="166" fontId="10" fillId="8" borderId="10" xfId="1" applyNumberFormat="1" applyFont="1" applyFill="1" applyBorder="1"/>
    <xf numFmtId="9" fontId="10" fillId="8" borderId="10" xfId="3" applyFont="1" applyFill="1" applyBorder="1" applyAlignment="1">
      <alignment horizontal="center" vertical="center"/>
    </xf>
    <xf numFmtId="166" fontId="10" fillId="8" borderId="0" xfId="1" applyNumberFormat="1" applyFont="1" applyFill="1" applyBorder="1"/>
    <xf numFmtId="1" fontId="11" fillId="8" borderId="1" xfId="2" applyNumberFormat="1" applyFont="1" applyFill="1" applyBorder="1" applyAlignment="1">
      <alignment horizontal="center"/>
    </xf>
    <xf numFmtId="1" fontId="11" fillId="6" borderId="1" xfId="2" applyNumberFormat="1" applyFont="1" applyFill="1" applyBorder="1" applyAlignment="1">
      <alignment horizontal="center"/>
    </xf>
    <xf numFmtId="0" fontId="3" fillId="6" borderId="29" xfId="0" applyFont="1" applyFill="1" applyBorder="1"/>
    <xf numFmtId="0" fontId="6" fillId="8" borderId="13" xfId="0" applyFont="1" applyFill="1" applyBorder="1"/>
    <xf numFmtId="17" fontId="24" fillId="8" borderId="1" xfId="4" applyNumberFormat="1" applyFont="1" applyFill="1" applyBorder="1" applyAlignment="1">
      <alignment horizontal="center" vertical="top" wrapText="1"/>
    </xf>
    <xf numFmtId="4" fontId="23" fillId="8" borderId="9" xfId="4" applyNumberFormat="1" applyFont="1" applyFill="1" applyBorder="1" applyAlignment="1">
      <alignment horizontal="right" vertical="top" shrinkToFit="1"/>
    </xf>
    <xf numFmtId="0" fontId="24" fillId="8" borderId="1" xfId="4" applyFont="1" applyFill="1" applyBorder="1" applyAlignment="1">
      <alignment horizontal="center" vertical="top" wrapText="1"/>
    </xf>
    <xf numFmtId="0" fontId="22" fillId="8" borderId="1" xfId="4" applyFont="1" applyFill="1" applyBorder="1" applyAlignment="1">
      <alignment horizontal="left" vertical="top"/>
    </xf>
    <xf numFmtId="0" fontId="22" fillId="8" borderId="9" xfId="4" applyFont="1" applyFill="1" applyBorder="1" applyAlignment="1">
      <alignment horizontal="left" vertical="top"/>
    </xf>
    <xf numFmtId="0" fontId="20" fillId="8" borderId="29" xfId="4" applyFill="1" applyBorder="1" applyAlignment="1">
      <alignment horizontal="left" vertical="top"/>
    </xf>
    <xf numFmtId="0" fontId="6" fillId="9" borderId="13" xfId="0" applyFont="1" applyFill="1" applyBorder="1"/>
    <xf numFmtId="0" fontId="24" fillId="9" borderId="1" xfId="4" applyFont="1" applyFill="1" applyBorder="1" applyAlignment="1">
      <alignment horizontal="center" vertical="top" wrapText="1"/>
    </xf>
    <xf numFmtId="0" fontId="22" fillId="9" borderId="1" xfId="4" applyFont="1" applyFill="1" applyBorder="1" applyAlignment="1">
      <alignment horizontal="left" wrapText="1"/>
    </xf>
    <xf numFmtId="0" fontId="22" fillId="9" borderId="1" xfId="4" applyFont="1" applyFill="1" applyBorder="1" applyAlignment="1">
      <alignment horizontal="left" vertical="top"/>
    </xf>
    <xf numFmtId="0" fontId="22" fillId="9" borderId="9" xfId="4" applyFont="1" applyFill="1" applyBorder="1" applyAlignment="1">
      <alignment horizontal="left" vertical="top"/>
    </xf>
    <xf numFmtId="0" fontId="22" fillId="8" borderId="1" xfId="4" applyFont="1" applyFill="1" applyBorder="1" applyAlignment="1">
      <alignment horizontal="left" wrapText="1"/>
    </xf>
    <xf numFmtId="166" fontId="29" fillId="8" borderId="52" xfId="1" applyNumberFormat="1" applyFont="1" applyFill="1" applyBorder="1" applyAlignment="1"/>
    <xf numFmtId="0" fontId="6" fillId="6" borderId="37" xfId="0" applyFont="1" applyFill="1" applyBorder="1"/>
    <xf numFmtId="166" fontId="10" fillId="0" borderId="10" xfId="1" applyNumberFormat="1" applyFont="1" applyBorder="1"/>
    <xf numFmtId="0" fontId="24" fillId="6" borderId="1" xfId="4" applyFont="1" applyFill="1" applyBorder="1" applyAlignment="1">
      <alignment horizontal="center" vertical="top" wrapText="1"/>
    </xf>
    <xf numFmtId="0" fontId="22" fillId="6" borderId="1" xfId="4" applyFont="1" applyFill="1" applyBorder="1" applyAlignment="1">
      <alignment horizontal="left" wrapText="1"/>
    </xf>
    <xf numFmtId="0" fontId="22" fillId="6" borderId="1" xfId="4" applyFont="1" applyFill="1" applyBorder="1" applyAlignment="1">
      <alignment horizontal="left" vertical="top"/>
    </xf>
    <xf numFmtId="0" fontId="22" fillId="6" borderId="10" xfId="4" applyFont="1" applyFill="1" applyBorder="1" applyAlignment="1">
      <alignment horizontal="left" wrapText="1"/>
    </xf>
    <xf numFmtId="0" fontId="22" fillId="6" borderId="10" xfId="4" applyFont="1" applyFill="1" applyBorder="1" applyAlignment="1">
      <alignment horizontal="left" vertical="top"/>
    </xf>
    <xf numFmtId="166" fontId="30" fillId="4" borderId="1" xfId="4" applyNumberFormat="1" applyFont="1" applyFill="1" applyBorder="1" applyAlignment="1">
      <alignment horizontal="left" wrapText="1"/>
    </xf>
    <xf numFmtId="0" fontId="6" fillId="3" borderId="20" xfId="0" applyFont="1" applyFill="1" applyBorder="1"/>
    <xf numFmtId="166" fontId="6" fillId="6" borderId="49" xfId="1" applyNumberFormat="1" applyFont="1" applyFill="1" applyBorder="1"/>
    <xf numFmtId="166" fontId="6" fillId="8" borderId="31" xfId="1" applyNumberFormat="1" applyFont="1" applyFill="1" applyBorder="1"/>
    <xf numFmtId="165" fontId="11" fillId="8" borderId="31" xfId="2" applyNumberFormat="1" applyFont="1" applyFill="1" applyBorder="1" applyAlignment="1">
      <alignment horizontal="center" vertical="center"/>
    </xf>
    <xf numFmtId="166" fontId="6" fillId="8" borderId="49" xfId="1" applyNumberFormat="1" applyFont="1" applyFill="1" applyBorder="1"/>
    <xf numFmtId="166" fontId="30" fillId="8" borderId="1" xfId="4" applyNumberFormat="1" applyFont="1" applyFill="1" applyBorder="1" applyAlignment="1">
      <alignment horizontal="left" wrapText="1"/>
    </xf>
    <xf numFmtId="43" fontId="22" fillId="8" borderId="1" xfId="1" applyFont="1" applyFill="1" applyBorder="1" applyAlignment="1">
      <alignment horizontal="left" vertical="top"/>
    </xf>
    <xf numFmtId="0" fontId="22" fillId="6" borderId="9" xfId="4" applyFont="1" applyFill="1" applyBorder="1" applyAlignment="1">
      <alignment horizontal="left" vertical="top"/>
    </xf>
    <xf numFmtId="0" fontId="20" fillId="6" borderId="29" xfId="4" applyFill="1" applyBorder="1" applyAlignment="1">
      <alignment horizontal="left" vertical="top"/>
    </xf>
    <xf numFmtId="0" fontId="21" fillId="0" borderId="4" xfId="4" applyFont="1" applyBorder="1" applyAlignment="1">
      <alignment horizontal="right"/>
    </xf>
    <xf numFmtId="166" fontId="32" fillId="8" borderId="1" xfId="4" applyNumberFormat="1" applyFont="1" applyFill="1" applyBorder="1" applyAlignment="1">
      <alignment horizontal="left" vertical="center"/>
    </xf>
    <xf numFmtId="166" fontId="32" fillId="8" borderId="9" xfId="4" applyNumberFormat="1" applyFont="1" applyFill="1" applyBorder="1" applyAlignment="1">
      <alignment horizontal="left" vertical="center"/>
    </xf>
    <xf numFmtId="0" fontId="5" fillId="0" borderId="18" xfId="0" applyFont="1" applyBorder="1"/>
    <xf numFmtId="0" fontId="6" fillId="6" borderId="53" xfId="0" applyFont="1" applyFill="1" applyBorder="1" applyAlignment="1">
      <alignment horizontal="center"/>
    </xf>
    <xf numFmtId="0" fontId="6" fillId="6" borderId="18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vertical="center"/>
    </xf>
    <xf numFmtId="166" fontId="10" fillId="6" borderId="22" xfId="1" applyNumberFormat="1" applyFont="1" applyFill="1" applyBorder="1" applyAlignment="1">
      <alignment vertical="center"/>
    </xf>
    <xf numFmtId="167" fontId="15" fillId="3" borderId="38" xfId="2" applyNumberFormat="1" applyFont="1" applyFill="1" applyBorder="1" applyAlignment="1">
      <alignment horizontal="center" vertical="center" wrapText="1"/>
    </xf>
    <xf numFmtId="166" fontId="30" fillId="4" borderId="10" xfId="4" applyNumberFormat="1" applyFont="1" applyFill="1" applyBorder="1" applyAlignment="1">
      <alignment horizontal="left" wrapText="1"/>
    </xf>
    <xf numFmtId="166" fontId="31" fillId="8" borderId="1" xfId="4" applyNumberFormat="1" applyFont="1" applyFill="1" applyBorder="1" applyAlignment="1">
      <alignment horizontal="left" wrapText="1"/>
    </xf>
    <xf numFmtId="166" fontId="31" fillId="4" borderId="1" xfId="4" applyNumberFormat="1" applyFont="1" applyFill="1" applyBorder="1" applyAlignment="1">
      <alignment horizontal="left" wrapText="1"/>
    </xf>
    <xf numFmtId="166" fontId="6" fillId="8" borderId="22" xfId="1" applyNumberFormat="1" applyFont="1" applyFill="1" applyBorder="1" applyAlignment="1">
      <alignment vertical="center"/>
    </xf>
    <xf numFmtId="166" fontId="32" fillId="8" borderId="1" xfId="4" applyNumberFormat="1" applyFont="1" applyFill="1" applyBorder="1" applyAlignment="1">
      <alignment horizontal="left" wrapText="1"/>
    </xf>
    <xf numFmtId="166" fontId="6" fillId="9" borderId="22" xfId="1" applyNumberFormat="1" applyFont="1" applyFill="1" applyBorder="1" applyAlignment="1">
      <alignment vertical="center"/>
    </xf>
    <xf numFmtId="166" fontId="10" fillId="0" borderId="22" xfId="0" applyNumberFormat="1" applyFont="1" applyBorder="1" applyAlignment="1">
      <alignment vertical="center"/>
    </xf>
    <xf numFmtId="9" fontId="10" fillId="0" borderId="22" xfId="3" applyFont="1" applyBorder="1" applyAlignment="1">
      <alignment horizontal="center" vertical="center"/>
    </xf>
    <xf numFmtId="166" fontId="32" fillId="9" borderId="1" xfId="4" applyNumberFormat="1" applyFont="1" applyFill="1" applyBorder="1" applyAlignment="1">
      <alignment horizontal="right" vertical="center"/>
    </xf>
    <xf numFmtId="0" fontId="22" fillId="9" borderId="1" xfId="4" applyFont="1" applyFill="1" applyBorder="1" applyAlignment="1">
      <alignment horizontal="right" vertical="center"/>
    </xf>
    <xf numFmtId="166" fontId="10" fillId="8" borderId="22" xfId="1" applyNumberFormat="1" applyFont="1" applyFill="1" applyBorder="1" applyAlignment="1">
      <alignment vertical="center"/>
    </xf>
    <xf numFmtId="166" fontId="10" fillId="8" borderId="23" xfId="1" applyNumberFormat="1" applyFont="1" applyFill="1" applyBorder="1" applyAlignment="1">
      <alignment vertical="center"/>
    </xf>
    <xf numFmtId="0" fontId="6" fillId="8" borderId="22" xfId="0" applyFont="1" applyFill="1" applyBorder="1" applyAlignment="1">
      <alignment vertical="center"/>
    </xf>
    <xf numFmtId="0" fontId="6" fillId="8" borderId="24" xfId="0" applyFont="1" applyFill="1" applyBorder="1" applyAlignment="1">
      <alignment vertical="center"/>
    </xf>
    <xf numFmtId="166" fontId="6" fillId="8" borderId="24" xfId="1" applyNumberFormat="1" applyFont="1" applyFill="1" applyBorder="1" applyAlignment="1">
      <alignment vertical="center"/>
    </xf>
    <xf numFmtId="166" fontId="6" fillId="8" borderId="25" xfId="1" applyNumberFormat="1" applyFont="1" applyFill="1" applyBorder="1" applyAlignment="1">
      <alignment vertical="center"/>
    </xf>
    <xf numFmtId="0" fontId="6" fillId="8" borderId="21" xfId="0" applyFont="1" applyFill="1" applyBorder="1" applyAlignment="1">
      <alignment vertical="center"/>
    </xf>
    <xf numFmtId="166" fontId="6" fillId="8" borderId="23" xfId="1" applyNumberFormat="1" applyFont="1" applyFill="1" applyBorder="1" applyAlignment="1">
      <alignment vertical="center"/>
    </xf>
    <xf numFmtId="166" fontId="6" fillId="8" borderId="22" xfId="1" applyNumberFormat="1" applyFont="1" applyFill="1" applyBorder="1"/>
    <xf numFmtId="166" fontId="6" fillId="8" borderId="38" xfId="1" applyNumberFormat="1" applyFont="1" applyFill="1" applyBorder="1"/>
    <xf numFmtId="166" fontId="6" fillId="8" borderId="23" xfId="1" applyNumberFormat="1" applyFont="1" applyFill="1" applyBorder="1"/>
    <xf numFmtId="166" fontId="6" fillId="9" borderId="22" xfId="1" applyNumberFormat="1" applyFont="1" applyFill="1" applyBorder="1"/>
    <xf numFmtId="166" fontId="10" fillId="9" borderId="22" xfId="1" applyNumberFormat="1" applyFont="1" applyFill="1" applyBorder="1"/>
    <xf numFmtId="166" fontId="10" fillId="8" borderId="22" xfId="1" applyNumberFormat="1" applyFont="1" applyFill="1" applyBorder="1"/>
    <xf numFmtId="167" fontId="15" fillId="3" borderId="54" xfId="2" applyNumberFormat="1" applyFont="1" applyFill="1" applyBorder="1" applyAlignment="1">
      <alignment horizontal="center" vertical="center" wrapText="1"/>
    </xf>
    <xf numFmtId="167" fontId="15" fillId="3" borderId="30" xfId="2" applyNumberFormat="1" applyFont="1" applyFill="1" applyBorder="1" applyAlignment="1">
      <alignment horizontal="center" vertical="center" wrapText="1"/>
    </xf>
    <xf numFmtId="9" fontId="15" fillId="3" borderId="30" xfId="3" applyFont="1" applyFill="1" applyBorder="1" applyAlignment="1">
      <alignment horizontal="center" vertical="center" wrapText="1"/>
    </xf>
    <xf numFmtId="0" fontId="33" fillId="0" borderId="55" xfId="7" applyBorder="1" applyAlignment="1">
      <alignment horizontal="left" vertical="center" wrapText="1"/>
    </xf>
    <xf numFmtId="0" fontId="33" fillId="0" borderId="0" xfId="7" applyAlignment="1">
      <alignment horizontal="left" vertical="top"/>
    </xf>
    <xf numFmtId="0" fontId="33" fillId="0" borderId="48" xfId="7" applyBorder="1" applyAlignment="1">
      <alignment horizontal="left" vertical="center" wrapText="1"/>
    </xf>
    <xf numFmtId="3" fontId="37" fillId="0" borderId="48" xfId="7" applyNumberFormat="1" applyFont="1" applyBorder="1" applyAlignment="1">
      <alignment horizontal="right" vertical="top" indent="1" shrinkToFit="1"/>
    </xf>
    <xf numFmtId="0" fontId="6" fillId="9" borderId="13" xfId="0" applyFont="1" applyFill="1" applyBorder="1" applyAlignment="1">
      <alignment horizontal="left" indent="3"/>
    </xf>
    <xf numFmtId="43" fontId="3" fillId="8" borderId="9" xfId="0" applyNumberFormat="1" applyFont="1" applyFill="1" applyBorder="1"/>
    <xf numFmtId="0" fontId="36" fillId="8" borderId="48" xfId="7" applyFont="1" applyFill="1" applyBorder="1" applyAlignment="1">
      <alignment horizontal="left" vertical="center" wrapText="1"/>
    </xf>
    <xf numFmtId="0" fontId="33" fillId="8" borderId="48" xfId="7" applyFill="1" applyBorder="1" applyAlignment="1">
      <alignment horizontal="left" vertical="center" wrapText="1"/>
    </xf>
    <xf numFmtId="0" fontId="36" fillId="8" borderId="48" xfId="7" applyFont="1" applyFill="1" applyBorder="1" applyAlignment="1">
      <alignment horizontal="left" vertical="top" wrapText="1"/>
    </xf>
    <xf numFmtId="3" fontId="37" fillId="8" borderId="48" xfId="7" applyNumberFormat="1" applyFont="1" applyFill="1" applyBorder="1" applyAlignment="1">
      <alignment horizontal="right" vertical="top" indent="1" shrinkToFit="1"/>
    </xf>
    <xf numFmtId="0" fontId="31" fillId="0" borderId="48" xfId="7" applyFont="1" applyBorder="1" applyAlignment="1">
      <alignment horizontal="left" vertical="center" wrapText="1"/>
    </xf>
    <xf numFmtId="0" fontId="9" fillId="0" borderId="48" xfId="7" applyFont="1" applyBorder="1" applyAlignment="1">
      <alignment horizontal="right" vertical="top" wrapText="1" indent="1"/>
    </xf>
    <xf numFmtId="0" fontId="9" fillId="8" borderId="48" xfId="7" applyFont="1" applyFill="1" applyBorder="1" applyAlignment="1">
      <alignment horizontal="left" vertical="top" wrapText="1"/>
    </xf>
    <xf numFmtId="0" fontId="31" fillId="8" borderId="48" xfId="7" applyFont="1" applyFill="1" applyBorder="1" applyAlignment="1">
      <alignment horizontal="left" vertical="center" wrapText="1"/>
    </xf>
    <xf numFmtId="0" fontId="9" fillId="8" borderId="48" xfId="7" applyFont="1" applyFill="1" applyBorder="1" applyAlignment="1">
      <alignment vertical="top" wrapText="1"/>
    </xf>
    <xf numFmtId="0" fontId="31" fillId="0" borderId="64" xfId="7" applyFont="1" applyBorder="1" applyAlignment="1">
      <alignment horizontal="left" vertical="center" wrapText="1"/>
    </xf>
    <xf numFmtId="0" fontId="31" fillId="0" borderId="65" xfId="7" applyFont="1" applyBorder="1" applyAlignment="1">
      <alignment horizontal="left" vertical="center" wrapText="1"/>
    </xf>
    <xf numFmtId="0" fontId="31" fillId="0" borderId="66" xfId="7" applyFont="1" applyBorder="1" applyAlignment="1">
      <alignment horizontal="left" vertical="center" wrapText="1"/>
    </xf>
    <xf numFmtId="0" fontId="33" fillId="0" borderId="61" xfId="7" applyBorder="1" applyAlignment="1">
      <alignment horizontal="left" vertical="center" wrapText="1"/>
    </xf>
    <xf numFmtId="0" fontId="33" fillId="0" borderId="1" xfId="7" applyBorder="1" applyAlignment="1">
      <alignment horizontal="left" vertical="center" wrapText="1"/>
    </xf>
    <xf numFmtId="0" fontId="33" fillId="0" borderId="67" xfId="7" applyBorder="1" applyAlignment="1">
      <alignment horizontal="left" vertical="center" wrapText="1"/>
    </xf>
    <xf numFmtId="0" fontId="36" fillId="8" borderId="70" xfId="7" applyFont="1" applyFill="1" applyBorder="1" applyAlignment="1">
      <alignment horizontal="left" vertical="center" wrapText="1"/>
    </xf>
    <xf numFmtId="0" fontId="36" fillId="8" borderId="70" xfId="7" applyFont="1" applyFill="1" applyBorder="1" applyAlignment="1">
      <alignment horizontal="left" vertical="top" wrapText="1"/>
    </xf>
    <xf numFmtId="0" fontId="33" fillId="8" borderId="70" xfId="7" applyFill="1" applyBorder="1" applyAlignment="1">
      <alignment horizontal="left" vertical="center" wrapText="1"/>
    </xf>
    <xf numFmtId="0" fontId="33" fillId="0" borderId="70" xfId="7" applyBorder="1" applyAlignment="1">
      <alignment horizontal="left" vertical="center" wrapText="1"/>
    </xf>
    <xf numFmtId="0" fontId="31" fillId="0" borderId="70" xfId="7" applyFont="1" applyBorder="1" applyAlignment="1">
      <alignment horizontal="left" vertical="center" wrapText="1"/>
    </xf>
    <xf numFmtId="1" fontId="37" fillId="0" borderId="70" xfId="7" applyNumberFormat="1" applyFont="1" applyBorder="1" applyAlignment="1">
      <alignment horizontal="center" vertical="top" shrinkToFit="1"/>
    </xf>
    <xf numFmtId="0" fontId="33" fillId="0" borderId="76" xfId="7" applyBorder="1" applyAlignment="1">
      <alignment horizontal="left" vertical="top" wrapText="1"/>
    </xf>
    <xf numFmtId="0" fontId="33" fillId="0" borderId="1" xfId="7" applyBorder="1" applyAlignment="1">
      <alignment vertical="center" wrapText="1"/>
    </xf>
    <xf numFmtId="0" fontId="5" fillId="0" borderId="49" xfId="0" applyFont="1" applyBorder="1" applyAlignment="1">
      <alignment horizontal="center" vertical="center"/>
    </xf>
    <xf numFmtId="0" fontId="9" fillId="3" borderId="20" xfId="2" applyFont="1" applyFill="1" applyBorder="1" applyAlignment="1">
      <alignment horizontal="center" vertical="center" wrapText="1"/>
    </xf>
    <xf numFmtId="0" fontId="6" fillId="7" borderId="31" xfId="0" applyFont="1" applyFill="1" applyBorder="1"/>
    <xf numFmtId="0" fontId="9" fillId="3" borderId="31" xfId="2" applyFont="1" applyFill="1" applyBorder="1" applyAlignment="1">
      <alignment horizontal="center" vertical="center" wrapText="1"/>
    </xf>
    <xf numFmtId="43" fontId="10" fillId="0" borderId="31" xfId="1" applyFont="1" applyBorder="1"/>
    <xf numFmtId="166" fontId="10" fillId="8" borderId="31" xfId="1" applyNumberFormat="1" applyFont="1" applyFill="1" applyBorder="1"/>
    <xf numFmtId="166" fontId="10" fillId="6" borderId="31" xfId="1" applyNumberFormat="1" applyFont="1" applyFill="1" applyBorder="1"/>
    <xf numFmtId="166" fontId="10" fillId="0" borderId="31" xfId="0" applyNumberFormat="1" applyFont="1" applyBorder="1"/>
    <xf numFmtId="9" fontId="10" fillId="0" borderId="31" xfId="3" applyFont="1" applyBorder="1" applyAlignment="1">
      <alignment horizontal="center" vertical="center"/>
    </xf>
    <xf numFmtId="166" fontId="10" fillId="7" borderId="31" xfId="1" applyNumberFormat="1" applyFont="1" applyFill="1" applyBorder="1"/>
    <xf numFmtId="166" fontId="6" fillId="8" borderId="36" xfId="1" applyNumberFormat="1" applyFont="1" applyFill="1" applyBorder="1" applyAlignment="1">
      <alignment horizontal="center" vertical="center"/>
    </xf>
    <xf numFmtId="167" fontId="15" fillId="3" borderId="19" xfId="2" applyNumberFormat="1" applyFont="1" applyFill="1" applyBorder="1" applyAlignment="1">
      <alignment horizontal="center" vertical="center" wrapText="1"/>
    </xf>
    <xf numFmtId="166" fontId="31" fillId="0" borderId="48" xfId="7" applyNumberFormat="1" applyFont="1" applyBorder="1" applyAlignment="1">
      <alignment horizontal="left" vertical="center" wrapText="1"/>
    </xf>
    <xf numFmtId="0" fontId="9" fillId="0" borderId="48" xfId="7" applyFont="1" applyBorder="1" applyAlignment="1">
      <alignment horizontal="center" vertical="center" wrapText="1"/>
    </xf>
    <xf numFmtId="166" fontId="10" fillId="9" borderId="1" xfId="1" applyNumberFormat="1" applyFont="1" applyFill="1" applyBorder="1" applyAlignment="1">
      <alignment horizontal="center" vertical="center"/>
    </xf>
    <xf numFmtId="166" fontId="10" fillId="4" borderId="1" xfId="1" applyNumberFormat="1" applyFont="1" applyFill="1" applyBorder="1" applyAlignment="1">
      <alignment horizontal="center" vertical="center"/>
    </xf>
    <xf numFmtId="166" fontId="10" fillId="8" borderId="1" xfId="1" applyNumberFormat="1" applyFont="1" applyFill="1" applyBorder="1" applyAlignment="1">
      <alignment horizontal="center" vertical="center"/>
    </xf>
    <xf numFmtId="0" fontId="31" fillId="6" borderId="48" xfId="7" applyFont="1" applyFill="1" applyBorder="1" applyAlignment="1">
      <alignment horizontal="left" vertical="center" wrapText="1"/>
    </xf>
    <xf numFmtId="43" fontId="27" fillId="0" borderId="71" xfId="1" applyFont="1" applyBorder="1" applyAlignment="1">
      <alignment horizontal="left" vertical="center" wrapText="1"/>
    </xf>
    <xf numFmtId="0" fontId="27" fillId="0" borderId="71" xfId="7" applyFont="1" applyBorder="1" applyAlignment="1">
      <alignment horizontal="left" vertical="center" wrapText="1"/>
    </xf>
    <xf numFmtId="43" fontId="27" fillId="0" borderId="29" xfId="1" applyFont="1" applyBorder="1" applyAlignment="1">
      <alignment vertical="center" wrapText="1"/>
    </xf>
    <xf numFmtId="0" fontId="27" fillId="0" borderId="69" xfId="7" applyFont="1" applyBorder="1" applyAlignment="1">
      <alignment horizontal="left" vertical="center" wrapText="1"/>
    </xf>
    <xf numFmtId="43" fontId="27" fillId="0" borderId="71" xfId="7" applyNumberFormat="1" applyFont="1" applyBorder="1" applyAlignment="1">
      <alignment horizontal="left" vertical="center" wrapText="1"/>
    </xf>
    <xf numFmtId="167" fontId="15" fillId="6" borderId="12" xfId="2" applyNumberFormat="1" applyFont="1" applyFill="1" applyBorder="1" applyAlignment="1">
      <alignment vertical="center" wrapText="1"/>
    </xf>
    <xf numFmtId="166" fontId="6" fillId="8" borderId="16" xfId="1" applyNumberFormat="1" applyFont="1" applyFill="1" applyBorder="1" applyAlignment="1">
      <alignment vertical="center"/>
    </xf>
    <xf numFmtId="167" fontId="15" fillId="6" borderId="17" xfId="2" applyNumberFormat="1" applyFont="1" applyFill="1" applyBorder="1" applyAlignment="1">
      <alignment vertical="center" wrapText="1"/>
    </xf>
    <xf numFmtId="0" fontId="9" fillId="6" borderId="17" xfId="2" applyFont="1" applyFill="1" applyBorder="1" applyAlignment="1">
      <alignment vertical="center" wrapText="1"/>
    </xf>
    <xf numFmtId="0" fontId="9" fillId="6" borderId="12" xfId="2" applyFont="1" applyFill="1" applyBorder="1" applyAlignment="1">
      <alignment vertical="center" wrapText="1"/>
    </xf>
    <xf numFmtId="0" fontId="17" fillId="0" borderId="4" xfId="0" applyFont="1" applyBorder="1"/>
    <xf numFmtId="0" fontId="33" fillId="6" borderId="48" xfId="7" applyFill="1" applyBorder="1" applyAlignment="1">
      <alignment horizontal="left" vertical="center" wrapText="1"/>
    </xf>
    <xf numFmtId="0" fontId="33" fillId="6" borderId="64" xfId="7" applyFill="1" applyBorder="1" applyAlignment="1">
      <alignment horizontal="left" vertical="center" wrapText="1"/>
    </xf>
    <xf numFmtId="0" fontId="36" fillId="6" borderId="48" xfId="7" applyFont="1" applyFill="1" applyBorder="1" applyAlignment="1">
      <alignment horizontal="right" vertical="top" wrapText="1" indent="3"/>
    </xf>
    <xf numFmtId="166" fontId="22" fillId="0" borderId="1" xfId="4" applyNumberFormat="1" applyFont="1" applyBorder="1" applyAlignment="1">
      <alignment horizontal="left" vertical="top"/>
    </xf>
    <xf numFmtId="43" fontId="22" fillId="0" borderId="1" xfId="4" applyNumberFormat="1" applyFont="1" applyBorder="1" applyAlignment="1">
      <alignment horizontal="left" wrapText="1"/>
    </xf>
    <xf numFmtId="43" fontId="15" fillId="6" borderId="4" xfId="1" applyFont="1" applyFill="1" applyBorder="1" applyAlignment="1">
      <alignment vertical="center" wrapText="1"/>
    </xf>
    <xf numFmtId="43" fontId="15" fillId="6" borderId="25" xfId="1" applyFont="1" applyFill="1" applyBorder="1" applyAlignment="1">
      <alignment vertical="center" wrapText="1"/>
    </xf>
    <xf numFmtId="43" fontId="15" fillId="6" borderId="8" xfId="1" applyFont="1" applyFill="1" applyBorder="1" applyAlignment="1">
      <alignment vertical="center" wrapText="1"/>
    </xf>
    <xf numFmtId="43" fontId="15" fillId="6" borderId="51" xfId="1" applyFont="1" applyFill="1" applyBorder="1" applyAlignment="1">
      <alignment vertical="center" wrapText="1"/>
    </xf>
    <xf numFmtId="166" fontId="6" fillId="6" borderId="0" xfId="1" applyNumberFormat="1" applyFont="1" applyFill="1" applyBorder="1" applyAlignment="1">
      <alignment vertical="center"/>
    </xf>
    <xf numFmtId="166" fontId="6" fillId="6" borderId="26" xfId="1" applyNumberFormat="1" applyFont="1" applyFill="1" applyBorder="1" applyAlignment="1">
      <alignment vertical="center"/>
    </xf>
    <xf numFmtId="3" fontId="37" fillId="9" borderId="48" xfId="7" applyNumberFormat="1" applyFont="1" applyFill="1" applyBorder="1" applyAlignment="1">
      <alignment horizontal="right" vertical="top" indent="1" shrinkToFit="1"/>
    </xf>
    <xf numFmtId="43" fontId="27" fillId="0" borderId="72" xfId="1" applyFont="1" applyBorder="1" applyAlignment="1">
      <alignment horizontal="left" vertical="center" wrapText="1"/>
    </xf>
    <xf numFmtId="14" fontId="33" fillId="0" borderId="0" xfId="7" applyNumberFormat="1" applyAlignment="1">
      <alignment horizontal="left" vertical="top"/>
    </xf>
    <xf numFmtId="14" fontId="20" fillId="0" borderId="0" xfId="4" applyNumberFormat="1" applyAlignment="1">
      <alignment horizontal="left" vertical="top"/>
    </xf>
    <xf numFmtId="0" fontId="7" fillId="0" borderId="3" xfId="0" applyFont="1" applyBorder="1"/>
    <xf numFmtId="168" fontId="35" fillId="0" borderId="59" xfId="7" applyNumberFormat="1" applyFont="1" applyBorder="1" applyAlignment="1">
      <alignment vertical="center" shrinkToFit="1"/>
    </xf>
    <xf numFmtId="168" fontId="35" fillId="0" borderId="26" xfId="7" applyNumberFormat="1" applyFont="1" applyBorder="1" applyAlignment="1">
      <alignment vertical="center" shrinkToFit="1"/>
    </xf>
    <xf numFmtId="14" fontId="27" fillId="0" borderId="7" xfId="4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right"/>
    </xf>
    <xf numFmtId="0" fontId="9" fillId="9" borderId="48" xfId="7" applyFont="1" applyFill="1" applyBorder="1" applyAlignment="1">
      <alignment horizontal="left" vertical="top" wrapText="1"/>
    </xf>
    <xf numFmtId="0" fontId="28" fillId="10" borderId="75" xfId="7" applyFont="1" applyFill="1" applyBorder="1" applyAlignment="1">
      <alignment horizontal="left" vertical="center" wrapText="1" indent="1"/>
    </xf>
    <xf numFmtId="0" fontId="28" fillId="10" borderId="88" xfId="7" applyFont="1" applyFill="1" applyBorder="1" applyAlignment="1">
      <alignment horizontal="center" vertical="center" wrapText="1"/>
    </xf>
    <xf numFmtId="166" fontId="10" fillId="9" borderId="31" xfId="1" applyNumberFormat="1" applyFont="1" applyFill="1" applyBorder="1"/>
    <xf numFmtId="0" fontId="14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66" fontId="6" fillId="6" borderId="9" xfId="1" applyNumberFormat="1" applyFont="1" applyFill="1" applyBorder="1"/>
    <xf numFmtId="0" fontId="4" fillId="0" borderId="0" xfId="0" applyFont="1"/>
    <xf numFmtId="0" fontId="17" fillId="0" borderId="0" xfId="0" applyFont="1"/>
    <xf numFmtId="166" fontId="10" fillId="6" borderId="0" xfId="1" applyNumberFormat="1" applyFont="1" applyFill="1" applyBorder="1"/>
    <xf numFmtId="166" fontId="9" fillId="8" borderId="1" xfId="1" applyNumberFormat="1" applyFont="1" applyFill="1" applyBorder="1" applyAlignment="1">
      <alignment vertical="center"/>
    </xf>
    <xf numFmtId="165" fontId="11" fillId="8" borderId="16" xfId="2" applyNumberFormat="1" applyFont="1" applyFill="1" applyBorder="1" applyAlignment="1">
      <alignment horizontal="center" vertical="center"/>
    </xf>
    <xf numFmtId="166" fontId="11" fillId="8" borderId="16" xfId="1" applyNumberFormat="1" applyFont="1" applyFill="1" applyBorder="1" applyAlignment="1">
      <alignment horizontal="center" vertical="center"/>
    </xf>
    <xf numFmtId="166" fontId="10" fillId="8" borderId="16" xfId="1" applyNumberFormat="1" applyFont="1" applyFill="1" applyBorder="1"/>
    <xf numFmtId="9" fontId="10" fillId="8" borderId="16" xfId="3" applyFont="1" applyFill="1" applyBorder="1" applyAlignment="1">
      <alignment horizontal="center" vertical="center"/>
    </xf>
    <xf numFmtId="166" fontId="10" fillId="8" borderId="14" xfId="1" applyNumberFormat="1" applyFont="1" applyFill="1" applyBorder="1"/>
    <xf numFmtId="166" fontId="6" fillId="4" borderId="16" xfId="1" applyNumberFormat="1" applyFont="1" applyFill="1" applyBorder="1" applyAlignment="1">
      <alignment horizontal="left"/>
    </xf>
    <xf numFmtId="0" fontId="6" fillId="9" borderId="21" xfId="0" applyFont="1" applyFill="1" applyBorder="1" applyAlignment="1">
      <alignment horizontal="right"/>
    </xf>
    <xf numFmtId="165" fontId="11" fillId="8" borderId="22" xfId="2" applyNumberFormat="1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right"/>
    </xf>
    <xf numFmtId="3" fontId="37" fillId="0" borderId="48" xfId="7" applyNumberFormat="1" applyFont="1" applyBorder="1" applyAlignment="1">
      <alignment vertical="center" shrinkToFit="1"/>
    </xf>
    <xf numFmtId="3" fontId="37" fillId="0" borderId="88" xfId="7" applyNumberFormat="1" applyFont="1" applyBorder="1" applyAlignment="1">
      <alignment vertical="center" shrinkToFit="1"/>
    </xf>
    <xf numFmtId="166" fontId="6" fillId="8" borderId="16" xfId="1" applyNumberFormat="1" applyFont="1" applyFill="1" applyBorder="1" applyAlignment="1">
      <alignment horizontal="left"/>
    </xf>
    <xf numFmtId="43" fontId="3" fillId="8" borderId="0" xfId="0" applyNumberFormat="1" applyFont="1" applyFill="1"/>
    <xf numFmtId="0" fontId="9" fillId="6" borderId="2" xfId="2" applyFont="1" applyFill="1" applyBorder="1" applyAlignment="1">
      <alignment horizontal="center" vertical="center" wrapText="1"/>
    </xf>
    <xf numFmtId="167" fontId="15" fillId="3" borderId="100" xfId="2" applyNumberFormat="1" applyFont="1" applyFill="1" applyBorder="1" applyAlignment="1">
      <alignment horizontal="center" vertical="center" wrapText="1"/>
    </xf>
    <xf numFmtId="166" fontId="6" fillId="6" borderId="1" xfId="1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horizontal="center"/>
    </xf>
    <xf numFmtId="166" fontId="5" fillId="0" borderId="22" xfId="0" applyNumberFormat="1" applyFont="1" applyBorder="1" applyAlignment="1">
      <alignment vertical="center"/>
    </xf>
    <xf numFmtId="14" fontId="4" fillId="0" borderId="0" xfId="0" applyNumberFormat="1" applyFont="1" applyAlignment="1">
      <alignment horizontal="left"/>
    </xf>
    <xf numFmtId="14" fontId="3" fillId="0" borderId="0" xfId="0" applyNumberFormat="1" applyFont="1"/>
    <xf numFmtId="0" fontId="6" fillId="8" borderId="101" xfId="0" applyFont="1" applyFill="1" applyBorder="1" applyAlignment="1">
      <alignment horizontal="center"/>
    </xf>
    <xf numFmtId="0" fontId="6" fillId="8" borderId="15" xfId="0" applyFont="1" applyFill="1" applyBorder="1" applyAlignment="1">
      <alignment horizontal="center"/>
    </xf>
    <xf numFmtId="166" fontId="6" fillId="6" borderId="1" xfId="1" applyNumberFormat="1" applyFont="1" applyFill="1" applyBorder="1" applyAlignment="1">
      <alignment horizontal="left"/>
    </xf>
    <xf numFmtId="166" fontId="11" fillId="6" borderId="1" xfId="1" applyNumberFormat="1" applyFont="1" applyFill="1" applyBorder="1" applyAlignment="1">
      <alignment horizontal="center" vertical="center"/>
    </xf>
    <xf numFmtId="166" fontId="9" fillId="6" borderId="1" xfId="1" applyNumberFormat="1" applyFont="1" applyFill="1" applyBorder="1" applyAlignment="1">
      <alignment horizontal="center" vertical="center"/>
    </xf>
    <xf numFmtId="9" fontId="10" fillId="6" borderId="1" xfId="3" applyFont="1" applyFill="1" applyBorder="1" applyAlignment="1">
      <alignment horizontal="center" vertical="center"/>
    </xf>
    <xf numFmtId="43" fontId="3" fillId="6" borderId="1" xfId="0" applyNumberFormat="1" applyFont="1" applyFill="1" applyBorder="1"/>
    <xf numFmtId="0" fontId="6" fillId="6" borderId="37" xfId="0" applyFont="1" applyFill="1" applyBorder="1" applyAlignment="1">
      <alignment horizontal="center"/>
    </xf>
    <xf numFmtId="43" fontId="3" fillId="6" borderId="14" xfId="0" applyNumberFormat="1" applyFont="1" applyFill="1" applyBorder="1"/>
    <xf numFmtId="166" fontId="10" fillId="6" borderId="16" xfId="1" applyNumberFormat="1" applyFont="1" applyFill="1" applyBorder="1"/>
    <xf numFmtId="166" fontId="10" fillId="6" borderId="14" xfId="1" applyNumberFormat="1" applyFont="1" applyFill="1" applyBorder="1"/>
    <xf numFmtId="43" fontId="3" fillId="6" borderId="0" xfId="0" applyNumberFormat="1" applyFont="1" applyFill="1"/>
    <xf numFmtId="0" fontId="6" fillId="6" borderId="10" xfId="0" applyFont="1" applyFill="1" applyBorder="1" applyAlignment="1">
      <alignment horizontal="right"/>
    </xf>
    <xf numFmtId="0" fontId="6" fillId="4" borderId="10" xfId="0" applyFont="1" applyFill="1" applyBorder="1" applyAlignment="1">
      <alignment horizontal="right"/>
    </xf>
    <xf numFmtId="166" fontId="6" fillId="6" borderId="10" xfId="1" applyNumberFormat="1" applyFont="1" applyFill="1" applyBorder="1" applyAlignment="1">
      <alignment vertical="center"/>
    </xf>
    <xf numFmtId="0" fontId="6" fillId="6" borderId="0" xfId="0" applyFont="1" applyFill="1" applyAlignment="1">
      <alignment horizontal="center"/>
    </xf>
    <xf numFmtId="0" fontId="20" fillId="0" borderId="1" xfId="4" applyBorder="1" applyAlignment="1">
      <alignment horizontal="left" vertical="top"/>
    </xf>
    <xf numFmtId="0" fontId="20" fillId="0" borderId="21" xfId="4" applyBorder="1" applyAlignment="1">
      <alignment horizontal="left" vertical="top"/>
    </xf>
    <xf numFmtId="0" fontId="20" fillId="0" borderId="22" xfId="4" applyBorder="1" applyAlignment="1">
      <alignment horizontal="left" vertical="top"/>
    </xf>
    <xf numFmtId="166" fontId="10" fillId="6" borderId="9" xfId="1" applyNumberFormat="1" applyFont="1" applyFill="1" applyBorder="1" applyAlignment="1">
      <alignment vertical="center"/>
    </xf>
    <xf numFmtId="166" fontId="6" fillId="8" borderId="10" xfId="1" applyNumberFormat="1" applyFont="1" applyFill="1" applyBorder="1" applyAlignment="1"/>
    <xf numFmtId="166" fontId="6" fillId="6" borderId="10" xfId="1" applyNumberFormat="1" applyFont="1" applyFill="1" applyBorder="1" applyAlignment="1"/>
    <xf numFmtId="0" fontId="31" fillId="0" borderId="75" xfId="7" applyFont="1" applyBorder="1" applyAlignment="1">
      <alignment horizontal="left" vertical="center" wrapText="1"/>
    </xf>
    <xf numFmtId="0" fontId="6" fillId="9" borderId="10" xfId="0" applyFont="1" applyFill="1" applyBorder="1" applyAlignment="1">
      <alignment horizontal="center"/>
    </xf>
    <xf numFmtId="0" fontId="6" fillId="9" borderId="10" xfId="0" applyFont="1" applyFill="1" applyBorder="1" applyAlignment="1">
      <alignment horizontal="left"/>
    </xf>
    <xf numFmtId="166" fontId="6" fillId="9" borderId="10" xfId="1" applyNumberFormat="1" applyFont="1" applyFill="1" applyBorder="1" applyAlignment="1">
      <alignment horizontal="center"/>
    </xf>
    <xf numFmtId="1" fontId="37" fillId="0" borderId="73" xfId="7" applyNumberFormat="1" applyFont="1" applyBorder="1" applyAlignment="1">
      <alignment horizontal="center" vertical="top" shrinkToFit="1"/>
    </xf>
    <xf numFmtId="166" fontId="10" fillId="6" borderId="28" xfId="1" applyNumberFormat="1" applyFont="1" applyFill="1" applyBorder="1"/>
    <xf numFmtId="0" fontId="31" fillId="0" borderId="55" xfId="7" applyFont="1" applyBorder="1" applyAlignment="1">
      <alignment horizontal="left" vertical="center" wrapText="1"/>
    </xf>
    <xf numFmtId="3" fontId="37" fillId="6" borderId="88" xfId="7" applyNumberFormat="1" applyFont="1" applyFill="1" applyBorder="1" applyAlignment="1">
      <alignment horizontal="right" vertical="top" indent="1" shrinkToFit="1"/>
    </xf>
    <xf numFmtId="1" fontId="37" fillId="0" borderId="1" xfId="7" applyNumberFormat="1" applyFont="1" applyBorder="1" applyAlignment="1">
      <alignment horizontal="center" vertical="top" shrinkToFit="1"/>
    </xf>
    <xf numFmtId="0" fontId="9" fillId="0" borderId="88" xfId="7" applyFont="1" applyBorder="1" applyAlignment="1">
      <alignment horizontal="center" vertical="center" wrapText="1"/>
    </xf>
    <xf numFmtId="3" fontId="37" fillId="6" borderId="88" xfId="7" applyNumberFormat="1" applyFont="1" applyFill="1" applyBorder="1" applyAlignment="1">
      <alignment horizontal="center" vertical="center" shrinkToFit="1"/>
    </xf>
    <xf numFmtId="3" fontId="37" fillId="8" borderId="48" xfId="7" applyNumberFormat="1" applyFont="1" applyFill="1" applyBorder="1" applyAlignment="1">
      <alignment horizontal="right" vertical="center" shrinkToFit="1"/>
    </xf>
    <xf numFmtId="14" fontId="45" fillId="0" borderId="7" xfId="8" applyNumberFormat="1" applyFont="1" applyBorder="1" applyAlignment="1">
      <alignment wrapText="1"/>
    </xf>
    <xf numFmtId="0" fontId="23" fillId="0" borderId="0" xfId="8" applyFont="1" applyAlignment="1">
      <alignment horizontal="left" vertical="top"/>
    </xf>
    <xf numFmtId="14" fontId="23" fillId="0" borderId="0" xfId="8" applyNumberFormat="1" applyFont="1" applyAlignment="1">
      <alignment horizontal="left" vertical="top"/>
    </xf>
    <xf numFmtId="1" fontId="46" fillId="0" borderId="76" xfId="8" applyNumberFormat="1" applyFont="1" applyBorder="1" applyAlignment="1">
      <alignment horizontal="center" vertical="center" shrinkToFit="1"/>
    </xf>
    <xf numFmtId="0" fontId="44" fillId="0" borderId="86" xfId="8" applyFont="1" applyBorder="1" applyAlignment="1">
      <alignment horizontal="left" vertical="center" wrapText="1"/>
    </xf>
    <xf numFmtId="0" fontId="44" fillId="0" borderId="86" xfId="8" applyFont="1" applyBorder="1" applyAlignment="1">
      <alignment horizontal="center" vertical="center" wrapText="1"/>
    </xf>
    <xf numFmtId="1" fontId="46" fillId="0" borderId="86" xfId="8" applyNumberFormat="1" applyFont="1" applyBorder="1" applyAlignment="1">
      <alignment horizontal="center" vertical="center" shrinkToFit="1"/>
    </xf>
    <xf numFmtId="169" fontId="45" fillId="0" borderId="86" xfId="8" applyNumberFormat="1" applyFont="1" applyBorder="1" applyAlignment="1">
      <alignment horizontal="center" vertical="center" shrinkToFit="1"/>
    </xf>
    <xf numFmtId="0" fontId="45" fillId="0" borderId="86" xfId="8" applyFont="1" applyBorder="1" applyAlignment="1">
      <alignment horizontal="left" vertical="center" wrapText="1"/>
    </xf>
    <xf numFmtId="9" fontId="46" fillId="0" borderId="86" xfId="8" applyNumberFormat="1" applyFont="1" applyBorder="1" applyAlignment="1">
      <alignment horizontal="center" vertical="center" shrinkToFit="1"/>
    </xf>
    <xf numFmtId="9" fontId="46" fillId="13" borderId="86" xfId="8" applyNumberFormat="1" applyFont="1" applyFill="1" applyBorder="1" applyAlignment="1">
      <alignment horizontal="center" vertical="center" shrinkToFit="1"/>
    </xf>
    <xf numFmtId="0" fontId="47" fillId="0" borderId="71" xfId="8" applyFont="1" applyBorder="1" applyAlignment="1">
      <alignment horizontal="center" vertical="center" wrapText="1"/>
    </xf>
    <xf numFmtId="1" fontId="46" fillId="0" borderId="74" xfId="8" applyNumberFormat="1" applyFont="1" applyBorder="1" applyAlignment="1">
      <alignment horizontal="center" vertical="top" shrinkToFit="1"/>
    </xf>
    <xf numFmtId="0" fontId="44" fillId="0" borderId="87" xfId="8" applyFont="1" applyBorder="1" applyAlignment="1">
      <alignment horizontal="left" vertical="center" wrapText="1"/>
    </xf>
    <xf numFmtId="43" fontId="46" fillId="0" borderId="1" xfId="9" applyFont="1" applyBorder="1" applyAlignment="1">
      <alignment horizontal="center" vertical="center" shrinkToFit="1"/>
    </xf>
    <xf numFmtId="9" fontId="46" fillId="0" borderId="16" xfId="10" applyFont="1" applyBorder="1" applyAlignment="1">
      <alignment horizontal="center" vertical="center" shrinkToFit="1"/>
    </xf>
    <xf numFmtId="1" fontId="46" fillId="0" borderId="60" xfId="8" applyNumberFormat="1" applyFont="1" applyBorder="1" applyAlignment="1">
      <alignment horizontal="center" vertical="center" shrinkToFit="1"/>
    </xf>
    <xf numFmtId="169" fontId="45" fillId="0" borderId="87" xfId="8" applyNumberFormat="1" applyFont="1" applyBorder="1" applyAlignment="1">
      <alignment horizontal="center" vertical="center" shrinkToFit="1"/>
    </xf>
    <xf numFmtId="0" fontId="45" fillId="0" borderId="59" xfId="8" applyFont="1" applyBorder="1" applyAlignment="1">
      <alignment horizontal="center" vertical="center" wrapText="1"/>
    </xf>
    <xf numFmtId="9" fontId="23" fillId="0" borderId="1" xfId="0" applyNumberFormat="1" applyFont="1" applyBorder="1" applyAlignment="1">
      <alignment horizontal="center" vertical="center" wrapText="1" readingOrder="1"/>
    </xf>
    <xf numFmtId="0" fontId="48" fillId="0" borderId="26" xfId="8" applyFont="1" applyBorder="1" applyAlignment="1">
      <alignment horizontal="center" vertical="center" wrapText="1"/>
    </xf>
    <xf numFmtId="1" fontId="46" fillId="0" borderId="13" xfId="8" applyNumberFormat="1" applyFont="1" applyBorder="1" applyAlignment="1">
      <alignment horizontal="center" vertical="top" shrinkToFit="1"/>
    </xf>
    <xf numFmtId="0" fontId="44" fillId="0" borderId="1" xfId="8" applyFont="1" applyBorder="1" applyAlignment="1">
      <alignment horizontal="left" vertical="center" wrapText="1"/>
    </xf>
    <xf numFmtId="0" fontId="44" fillId="0" borderId="1" xfId="8" applyFont="1" applyBorder="1" applyAlignment="1">
      <alignment horizontal="center" vertical="center" wrapText="1"/>
    </xf>
    <xf numFmtId="9" fontId="46" fillId="0" borderId="1" xfId="10" applyFont="1" applyBorder="1" applyAlignment="1">
      <alignment horizontal="center" vertical="center" shrinkToFit="1"/>
    </xf>
    <xf numFmtId="1" fontId="46" fillId="0" borderId="1" xfId="8" applyNumberFormat="1" applyFont="1" applyBorder="1" applyAlignment="1">
      <alignment horizontal="center" vertical="center" shrinkToFit="1"/>
    </xf>
    <xf numFmtId="169" fontId="45" fillId="0" borderId="1" xfId="8" applyNumberFormat="1" applyFont="1" applyBorder="1" applyAlignment="1">
      <alignment horizontal="center" vertical="center" shrinkToFit="1"/>
    </xf>
    <xf numFmtId="0" fontId="45" fillId="0" borderId="9" xfId="8" applyFont="1" applyBorder="1" applyAlignment="1">
      <alignment horizontal="center" vertical="center" wrapText="1"/>
    </xf>
    <xf numFmtId="0" fontId="48" fillId="0" borderId="98" xfId="8" applyFont="1" applyBorder="1" applyAlignment="1">
      <alignment horizontal="center" vertical="center" wrapText="1"/>
    </xf>
    <xf numFmtId="43" fontId="44" fillId="0" borderId="1" xfId="9" applyFont="1" applyBorder="1" applyAlignment="1">
      <alignment horizontal="center" vertical="center" wrapText="1"/>
    </xf>
    <xf numFmtId="9" fontId="46" fillId="0" borderId="31" xfId="10" applyFont="1" applyBorder="1" applyAlignment="1">
      <alignment horizontal="center" vertical="center" shrinkToFit="1"/>
    </xf>
    <xf numFmtId="9" fontId="46" fillId="0" borderId="49" xfId="10" applyFont="1" applyBorder="1" applyAlignment="1">
      <alignment horizontal="center" vertical="center" shrinkToFit="1"/>
    </xf>
    <xf numFmtId="9" fontId="46" fillId="0" borderId="99" xfId="10" applyFont="1" applyBorder="1" applyAlignment="1">
      <alignment horizontal="center" vertical="center" shrinkToFit="1"/>
    </xf>
    <xf numFmtId="1" fontId="46" fillId="0" borderId="75" xfId="8" applyNumberFormat="1" applyFont="1" applyBorder="1" applyAlignment="1">
      <alignment horizontal="center" vertical="top" shrinkToFit="1"/>
    </xf>
    <xf numFmtId="0" fontId="44" fillId="0" borderId="88" xfId="8" applyFont="1" applyBorder="1" applyAlignment="1">
      <alignment horizontal="left" vertical="center" wrapText="1"/>
    </xf>
    <xf numFmtId="0" fontId="44" fillId="0" borderId="88" xfId="8" applyFont="1" applyBorder="1" applyAlignment="1">
      <alignment horizontal="center" vertical="center" wrapText="1"/>
    </xf>
    <xf numFmtId="43" fontId="46" fillId="0" borderId="88" xfId="9" applyFont="1" applyBorder="1" applyAlignment="1">
      <alignment horizontal="center" vertical="center" shrinkToFit="1"/>
    </xf>
    <xf numFmtId="1" fontId="46" fillId="0" borderId="62" xfId="8" applyNumberFormat="1" applyFont="1" applyBorder="1" applyAlignment="1">
      <alignment horizontal="center" vertical="center" shrinkToFit="1"/>
    </xf>
    <xf numFmtId="169" fontId="45" fillId="0" borderId="88" xfId="8" applyNumberFormat="1" applyFont="1" applyBorder="1" applyAlignment="1">
      <alignment horizontal="center" vertical="center" shrinkToFit="1"/>
    </xf>
    <xf numFmtId="0" fontId="45" fillId="0" borderId="61" xfId="8" applyFont="1" applyBorder="1" applyAlignment="1">
      <alignment horizontal="center" vertical="center" wrapText="1"/>
    </xf>
    <xf numFmtId="0" fontId="47" fillId="0" borderId="69" xfId="8" applyFont="1" applyBorder="1" applyAlignment="1">
      <alignment horizontal="center" vertical="center" wrapText="1"/>
    </xf>
    <xf numFmtId="1" fontId="46" fillId="0" borderId="70" xfId="8" applyNumberFormat="1" applyFont="1" applyBorder="1" applyAlignment="1">
      <alignment horizontal="center" vertical="top" shrinkToFit="1"/>
    </xf>
    <xf numFmtId="0" fontId="44" fillId="0" borderId="48" xfId="8" applyFont="1" applyBorder="1" applyAlignment="1">
      <alignment horizontal="left" vertical="center" wrapText="1"/>
    </xf>
    <xf numFmtId="0" fontId="44" fillId="0" borderId="48" xfId="8" applyFont="1" applyBorder="1" applyAlignment="1">
      <alignment horizontal="center" vertical="center" wrapText="1"/>
    </xf>
    <xf numFmtId="43" fontId="46" fillId="0" borderId="48" xfId="9" applyFont="1" applyBorder="1" applyAlignment="1">
      <alignment horizontal="center" vertical="center" shrinkToFit="1"/>
    </xf>
    <xf numFmtId="1" fontId="46" fillId="0" borderId="66" xfId="8" applyNumberFormat="1" applyFont="1" applyBorder="1" applyAlignment="1">
      <alignment horizontal="center" vertical="center" shrinkToFit="1"/>
    </xf>
    <xf numFmtId="169" fontId="45" fillId="0" borderId="48" xfId="8" applyNumberFormat="1" applyFont="1" applyBorder="1" applyAlignment="1">
      <alignment horizontal="center" vertical="center" shrinkToFit="1"/>
    </xf>
    <xf numFmtId="0" fontId="45" fillId="0" borderId="64" xfId="8" applyFont="1" applyBorder="1" applyAlignment="1">
      <alignment horizontal="center" vertical="center" wrapText="1"/>
    </xf>
    <xf numFmtId="0" fontId="47" fillId="0" borderId="89" xfId="8" applyFont="1" applyBorder="1" applyAlignment="1">
      <alignment horizontal="center" vertical="center" wrapText="1"/>
    </xf>
    <xf numFmtId="0" fontId="48" fillId="0" borderId="89" xfId="8" applyFont="1" applyBorder="1" applyAlignment="1">
      <alignment horizontal="center" vertical="center" wrapText="1"/>
    </xf>
    <xf numFmtId="43" fontId="44" fillId="0" borderId="64" xfId="9" applyFont="1" applyBorder="1" applyAlignment="1">
      <alignment horizontal="center" vertical="center" wrapText="1"/>
    </xf>
    <xf numFmtId="43" fontId="44" fillId="0" borderId="48" xfId="9" applyFont="1" applyBorder="1" applyAlignment="1">
      <alignment horizontal="center" vertical="center" wrapText="1"/>
    </xf>
    <xf numFmtId="0" fontId="49" fillId="0" borderId="89" xfId="8" applyFont="1" applyBorder="1" applyAlignment="1">
      <alignment horizontal="center" vertical="center" wrapText="1"/>
    </xf>
    <xf numFmtId="43" fontId="44" fillId="6" borderId="48" xfId="9" applyFont="1" applyFill="1" applyBorder="1" applyAlignment="1">
      <alignment horizontal="center" vertical="center" wrapText="1"/>
    </xf>
    <xf numFmtId="0" fontId="45" fillId="0" borderId="48" xfId="8" applyFont="1" applyBorder="1" applyAlignment="1">
      <alignment horizontal="center" vertical="center" wrapText="1"/>
    </xf>
    <xf numFmtId="9" fontId="23" fillId="0" borderId="10" xfId="0" applyNumberFormat="1" applyFont="1" applyBorder="1" applyAlignment="1">
      <alignment horizontal="center" vertical="center" wrapText="1" readingOrder="1"/>
    </xf>
    <xf numFmtId="43" fontId="44" fillId="6" borderId="56" xfId="9" applyFont="1" applyFill="1" applyBorder="1" applyAlignment="1">
      <alignment horizontal="center" vertical="center" wrapText="1"/>
    </xf>
    <xf numFmtId="1" fontId="46" fillId="0" borderId="58" xfId="8" applyNumberFormat="1" applyFont="1" applyBorder="1" applyAlignment="1">
      <alignment horizontal="center" vertical="center" shrinkToFit="1"/>
    </xf>
    <xf numFmtId="0" fontId="45" fillId="0" borderId="55" xfId="8" applyFont="1" applyBorder="1" applyAlignment="1">
      <alignment horizontal="left" vertical="center" wrapText="1"/>
    </xf>
    <xf numFmtId="0" fontId="45" fillId="0" borderId="56" xfId="8" applyFont="1" applyBorder="1" applyAlignment="1">
      <alignment horizontal="left" vertical="center" wrapText="1"/>
    </xf>
    <xf numFmtId="0" fontId="45" fillId="0" borderId="90" xfId="8" applyFont="1" applyBorder="1" applyAlignment="1">
      <alignment horizontal="left" vertical="center" wrapText="1"/>
    </xf>
    <xf numFmtId="0" fontId="44" fillId="0" borderId="55" xfId="8" applyFont="1" applyBorder="1" applyAlignment="1">
      <alignment horizontal="left" vertical="center" wrapText="1"/>
    </xf>
    <xf numFmtId="0" fontId="44" fillId="0" borderId="55" xfId="8" applyFont="1" applyBorder="1" applyAlignment="1">
      <alignment horizontal="center" vertical="center" wrapText="1"/>
    </xf>
    <xf numFmtId="1" fontId="46" fillId="0" borderId="91" xfId="8" applyNumberFormat="1" applyFont="1" applyBorder="1" applyAlignment="1">
      <alignment horizontal="center" vertical="center" shrinkToFit="1"/>
    </xf>
    <xf numFmtId="169" fontId="45" fillId="0" borderId="10" xfId="8" applyNumberFormat="1" applyFont="1" applyBorder="1" applyAlignment="1">
      <alignment horizontal="center" vertical="center" shrinkToFit="1"/>
    </xf>
    <xf numFmtId="0" fontId="45" fillId="0" borderId="28" xfId="8" applyFont="1" applyBorder="1" applyAlignment="1">
      <alignment horizontal="left" vertical="center" wrapText="1"/>
    </xf>
    <xf numFmtId="0" fontId="45" fillId="0" borderId="51" xfId="8" applyFont="1" applyBorder="1" applyAlignment="1">
      <alignment horizontal="left" vertical="center" wrapText="1"/>
    </xf>
    <xf numFmtId="0" fontId="44" fillId="0" borderId="10" xfId="8" applyFont="1" applyBorder="1" applyAlignment="1">
      <alignment horizontal="center" vertical="center" wrapText="1"/>
    </xf>
    <xf numFmtId="9" fontId="46" fillId="0" borderId="10" xfId="10" applyFont="1" applyBorder="1" applyAlignment="1">
      <alignment horizontal="center" vertical="center" shrinkToFit="1"/>
    </xf>
    <xf numFmtId="0" fontId="45" fillId="0" borderId="10" xfId="8" applyFont="1" applyBorder="1" applyAlignment="1">
      <alignment horizontal="left" vertical="center" wrapText="1"/>
    </xf>
    <xf numFmtId="0" fontId="44" fillId="0" borderId="10" xfId="8" applyFont="1" applyBorder="1" applyAlignment="1">
      <alignment horizontal="left" vertical="center" wrapText="1"/>
    </xf>
    <xf numFmtId="43" fontId="44" fillId="6" borderId="10" xfId="9" applyFont="1" applyFill="1" applyBorder="1" applyAlignment="1">
      <alignment horizontal="center" vertical="center" wrapText="1"/>
    </xf>
    <xf numFmtId="1" fontId="46" fillId="0" borderId="10" xfId="8" applyNumberFormat="1" applyFont="1" applyBorder="1" applyAlignment="1">
      <alignment horizontal="center" vertical="center" shrinkToFit="1"/>
    </xf>
    <xf numFmtId="0" fontId="45" fillId="0" borderId="17" xfId="8" applyFont="1" applyBorder="1" applyAlignment="1">
      <alignment horizontal="left" wrapText="1"/>
    </xf>
    <xf numFmtId="0" fontId="45" fillId="0" borderId="18" xfId="8" applyFont="1" applyBorder="1" applyAlignment="1">
      <alignment horizontal="left" wrapText="1"/>
    </xf>
    <xf numFmtId="166" fontId="44" fillId="4" borderId="25" xfId="9" applyNumberFormat="1" applyFont="1" applyFill="1" applyBorder="1" applyAlignment="1">
      <alignment horizontal="center" vertical="center" wrapText="1"/>
    </xf>
    <xf numFmtId="9" fontId="46" fillId="0" borderId="22" xfId="10" applyFont="1" applyBorder="1" applyAlignment="1">
      <alignment horizontal="center" vertical="center" shrinkToFit="1"/>
    </xf>
    <xf numFmtId="166" fontId="44" fillId="4" borderId="19" xfId="9" applyNumberFormat="1" applyFont="1" applyFill="1" applyBorder="1" applyAlignment="1">
      <alignment horizontal="center" vertical="center" wrapText="1"/>
    </xf>
    <xf numFmtId="0" fontId="45" fillId="0" borderId="22" xfId="8" applyFont="1" applyBorder="1" applyAlignment="1">
      <alignment horizontal="left" wrapText="1"/>
    </xf>
    <xf numFmtId="9" fontId="46" fillId="4" borderId="23" xfId="10" applyFont="1" applyFill="1" applyBorder="1" applyAlignment="1">
      <alignment horizontal="center" vertical="center" shrinkToFit="1"/>
    </xf>
    <xf numFmtId="0" fontId="50" fillId="4" borderId="19" xfId="8" applyFont="1" applyFill="1" applyBorder="1" applyAlignment="1">
      <alignment horizontal="center" vertical="center" wrapText="1"/>
    </xf>
    <xf numFmtId="1" fontId="44" fillId="6" borderId="20" xfId="8" applyNumberFormat="1" applyFont="1" applyFill="1" applyBorder="1" applyAlignment="1">
      <alignment horizontal="center" vertical="center" wrapText="1"/>
    </xf>
    <xf numFmtId="1" fontId="44" fillId="6" borderId="31" xfId="8" applyNumberFormat="1" applyFont="1" applyFill="1" applyBorder="1" applyAlignment="1">
      <alignment horizontal="left" vertical="center" wrapText="1"/>
    </xf>
    <xf numFmtId="0" fontId="44" fillId="6" borderId="31" xfId="8" applyFont="1" applyFill="1" applyBorder="1" applyAlignment="1">
      <alignment horizontal="center" vertical="center" wrapText="1"/>
    </xf>
    <xf numFmtId="3" fontId="44" fillId="6" borderId="31" xfId="8" applyNumberFormat="1" applyFont="1" applyFill="1" applyBorder="1" applyAlignment="1">
      <alignment horizontal="center" vertical="center" wrapText="1"/>
    </xf>
    <xf numFmtId="9" fontId="44" fillId="16" borderId="31" xfId="8" applyNumberFormat="1" applyFont="1" applyFill="1" applyBorder="1" applyAlignment="1">
      <alignment horizontal="center" vertical="center" wrapText="1"/>
    </xf>
    <xf numFmtId="0" fontId="44" fillId="6" borderId="36" xfId="8" applyFont="1" applyFill="1" applyBorder="1" applyAlignment="1">
      <alignment horizontal="center" vertical="center" wrapText="1"/>
    </xf>
    <xf numFmtId="1" fontId="44" fillId="6" borderId="13" xfId="8" applyNumberFormat="1" applyFont="1" applyFill="1" applyBorder="1" applyAlignment="1">
      <alignment horizontal="center" vertical="center" wrapText="1"/>
    </xf>
    <xf numFmtId="1" fontId="44" fillId="6" borderId="1" xfId="8" applyNumberFormat="1" applyFont="1" applyFill="1" applyBorder="1" applyAlignment="1">
      <alignment horizontal="left" vertical="center" wrapText="1"/>
    </xf>
    <xf numFmtId="0" fontId="44" fillId="6" borderId="1" xfId="8" applyFont="1" applyFill="1" applyBorder="1" applyAlignment="1">
      <alignment horizontal="center" vertical="center" wrapText="1"/>
    </xf>
    <xf numFmtId="3" fontId="44" fillId="6" borderId="1" xfId="8" applyNumberFormat="1" applyFont="1" applyFill="1" applyBorder="1" applyAlignment="1">
      <alignment horizontal="center" vertical="center" wrapText="1"/>
    </xf>
    <xf numFmtId="9" fontId="44" fillId="16" borderId="1" xfId="8" applyNumberFormat="1" applyFont="1" applyFill="1" applyBorder="1" applyAlignment="1">
      <alignment horizontal="center" vertical="center" wrapText="1"/>
    </xf>
    <xf numFmtId="0" fontId="44" fillId="6" borderId="29" xfId="8" applyFont="1" applyFill="1" applyBorder="1" applyAlignment="1">
      <alignment horizontal="center" vertical="center" wrapText="1"/>
    </xf>
    <xf numFmtId="9" fontId="44" fillId="16" borderId="1" xfId="3" applyFont="1" applyFill="1" applyBorder="1" applyAlignment="1">
      <alignment horizontal="center" vertical="center" wrapText="1"/>
    </xf>
    <xf numFmtId="1" fontId="44" fillId="6" borderId="37" xfId="8" applyNumberFormat="1" applyFont="1" applyFill="1" applyBorder="1" applyAlignment="1">
      <alignment horizontal="center" vertical="center" wrapText="1"/>
    </xf>
    <xf numFmtId="1" fontId="44" fillId="6" borderId="10" xfId="8" applyNumberFormat="1" applyFont="1" applyFill="1" applyBorder="1" applyAlignment="1">
      <alignment horizontal="left" vertical="center" wrapText="1"/>
    </xf>
    <xf numFmtId="0" fontId="44" fillId="6" borderId="10" xfId="8" applyFont="1" applyFill="1" applyBorder="1" applyAlignment="1">
      <alignment horizontal="center" vertical="center" wrapText="1"/>
    </xf>
    <xf numFmtId="3" fontId="44" fillId="6" borderId="10" xfId="8" applyNumberFormat="1" applyFont="1" applyFill="1" applyBorder="1" applyAlignment="1">
      <alignment horizontal="center" vertical="center" wrapText="1"/>
    </xf>
    <xf numFmtId="9" fontId="44" fillId="4" borderId="10" xfId="8" applyNumberFormat="1" applyFont="1" applyFill="1" applyBorder="1" applyAlignment="1">
      <alignment horizontal="center" vertical="center" wrapText="1"/>
    </xf>
    <xf numFmtId="0" fontId="44" fillId="6" borderId="35" xfId="8" applyFont="1" applyFill="1" applyBorder="1" applyAlignment="1">
      <alignment horizontal="center" vertical="center" wrapText="1"/>
    </xf>
    <xf numFmtId="1" fontId="44" fillId="6" borderId="1" xfId="8" applyNumberFormat="1" applyFont="1" applyFill="1" applyBorder="1" applyAlignment="1">
      <alignment horizontal="center" vertical="center" wrapText="1"/>
    </xf>
    <xf numFmtId="0" fontId="44" fillId="0" borderId="15" xfId="8" applyFont="1" applyBorder="1" applyAlignment="1">
      <alignment horizontal="left" vertical="center" wrapText="1"/>
    </xf>
    <xf numFmtId="0" fontId="44" fillId="0" borderId="16" xfId="8" applyFont="1" applyBorder="1" applyAlignment="1">
      <alignment horizontal="left" vertical="center" wrapText="1"/>
    </xf>
    <xf numFmtId="43" fontId="46" fillId="6" borderId="88" xfId="9" applyFont="1" applyFill="1" applyBorder="1" applyAlignment="1">
      <alignment horizontal="center" vertical="center" shrinkToFit="1"/>
    </xf>
    <xf numFmtId="1" fontId="46" fillId="0" borderId="16" xfId="8" applyNumberFormat="1" applyFont="1" applyBorder="1" applyAlignment="1">
      <alignment horizontal="center" vertical="center" shrinkToFit="1"/>
    </xf>
    <xf numFmtId="169" fontId="45" fillId="0" borderId="16" xfId="8" applyNumberFormat="1" applyFont="1" applyBorder="1" applyAlignment="1">
      <alignment horizontal="center" vertical="center" shrinkToFit="1"/>
    </xf>
    <xf numFmtId="0" fontId="45" fillId="0" borderId="16" xfId="8" applyFont="1" applyBorder="1" applyAlignment="1">
      <alignment horizontal="left" vertical="center" wrapText="1"/>
    </xf>
    <xf numFmtId="9" fontId="46" fillId="4" borderId="16" xfId="10" applyFont="1" applyFill="1" applyBorder="1" applyAlignment="1">
      <alignment horizontal="center" vertical="center" shrinkToFit="1"/>
    </xf>
    <xf numFmtId="0" fontId="45" fillId="0" borderId="26" xfId="8" applyFont="1" applyBorder="1" applyAlignment="1">
      <alignment horizontal="left" wrapText="1"/>
    </xf>
    <xf numFmtId="1" fontId="46" fillId="0" borderId="20" xfId="8" applyNumberFormat="1" applyFont="1" applyBorder="1" applyAlignment="1">
      <alignment horizontal="center" vertical="top" shrinkToFit="1"/>
    </xf>
    <xf numFmtId="0" fontId="44" fillId="0" borderId="31" xfId="8" applyFont="1" applyBorder="1" applyAlignment="1">
      <alignment horizontal="left" vertical="center" wrapText="1"/>
    </xf>
    <xf numFmtId="0" fontId="48" fillId="0" borderId="31" xfId="8" applyFont="1" applyBorder="1" applyAlignment="1">
      <alignment horizontal="center" vertical="center" wrapText="1"/>
    </xf>
    <xf numFmtId="43" fontId="44" fillId="0" borderId="31" xfId="9" applyFont="1" applyBorder="1" applyAlignment="1">
      <alignment horizontal="center" vertical="center" wrapText="1"/>
    </xf>
    <xf numFmtId="1" fontId="46" fillId="0" borderId="31" xfId="8" applyNumberFormat="1" applyFont="1" applyBorder="1" applyAlignment="1">
      <alignment horizontal="center" vertical="center" shrinkToFit="1"/>
    </xf>
    <xf numFmtId="169" fontId="45" fillId="0" borderId="31" xfId="8" applyNumberFormat="1" applyFont="1" applyBorder="1" applyAlignment="1">
      <alignment horizontal="center" vertical="center" shrinkToFit="1"/>
    </xf>
    <xf numFmtId="0" fontId="45" fillId="0" borderId="31" xfId="8" applyFont="1" applyBorder="1" applyAlignment="1">
      <alignment horizontal="left" vertical="center" wrapText="1"/>
    </xf>
    <xf numFmtId="9" fontId="46" fillId="0" borderId="31" xfId="8" applyNumberFormat="1" applyFont="1" applyBorder="1" applyAlignment="1">
      <alignment horizontal="center" vertical="center" shrinkToFit="1"/>
    </xf>
    <xf numFmtId="9" fontId="46" fillId="14" borderId="31" xfId="8" applyNumberFormat="1" applyFont="1" applyFill="1" applyBorder="1" applyAlignment="1">
      <alignment horizontal="center" vertical="center" shrinkToFit="1"/>
    </xf>
    <xf numFmtId="0" fontId="48" fillId="0" borderId="36" xfId="8" applyFont="1" applyBorder="1" applyAlignment="1">
      <alignment horizontal="center" vertical="center" wrapText="1"/>
    </xf>
    <xf numFmtId="0" fontId="48" fillId="0" borderId="1" xfId="8" applyFont="1" applyBorder="1" applyAlignment="1">
      <alignment horizontal="center" vertical="center" wrapText="1"/>
    </xf>
    <xf numFmtId="0" fontId="45" fillId="0" borderId="1" xfId="8" applyFont="1" applyBorder="1" applyAlignment="1">
      <alignment horizontal="left" vertical="center" wrapText="1"/>
    </xf>
    <xf numFmtId="9" fontId="46" fillId="0" borderId="1" xfId="8" applyNumberFormat="1" applyFont="1" applyBorder="1" applyAlignment="1">
      <alignment horizontal="center" vertical="center" shrinkToFit="1"/>
    </xf>
    <xf numFmtId="9" fontId="46" fillId="13" borderId="1" xfId="8" applyNumberFormat="1" applyFont="1" applyFill="1" applyBorder="1" applyAlignment="1">
      <alignment horizontal="center" vertical="center" shrinkToFit="1"/>
    </xf>
    <xf numFmtId="0" fontId="48" fillId="0" borderId="29" xfId="8" applyFont="1" applyBorder="1" applyAlignment="1">
      <alignment horizontal="center" vertical="center" wrapText="1"/>
    </xf>
    <xf numFmtId="9" fontId="46" fillId="15" borderId="1" xfId="8" applyNumberFormat="1" applyFont="1" applyFill="1" applyBorder="1" applyAlignment="1">
      <alignment horizontal="center" vertical="center" shrinkToFit="1"/>
    </xf>
    <xf numFmtId="1" fontId="46" fillId="0" borderId="32" xfId="8" applyNumberFormat="1" applyFont="1" applyBorder="1" applyAlignment="1">
      <alignment horizontal="center" vertical="center" shrinkToFit="1"/>
    </xf>
    <xf numFmtId="0" fontId="44" fillId="0" borderId="33" xfId="8" applyFont="1" applyBorder="1" applyAlignment="1">
      <alignment horizontal="left" vertical="center" wrapText="1"/>
    </xf>
    <xf numFmtId="0" fontId="44" fillId="0" borderId="33" xfId="8" applyFont="1" applyBorder="1" applyAlignment="1">
      <alignment horizontal="center" vertical="center" wrapText="1"/>
    </xf>
    <xf numFmtId="43" fontId="44" fillId="0" borderId="33" xfId="1" applyFont="1" applyBorder="1" applyAlignment="1">
      <alignment horizontal="center" vertical="center" wrapText="1"/>
    </xf>
    <xf numFmtId="43" fontId="48" fillId="0" borderId="33" xfId="9" applyFont="1" applyBorder="1" applyAlignment="1">
      <alignment horizontal="center" vertical="center" wrapText="1"/>
    </xf>
    <xf numFmtId="9" fontId="46" fillId="0" borderId="33" xfId="10" applyFont="1" applyBorder="1" applyAlignment="1">
      <alignment horizontal="center" vertical="center" shrinkToFit="1"/>
    </xf>
    <xf numFmtId="1" fontId="46" fillId="0" borderId="33" xfId="8" applyNumberFormat="1" applyFont="1" applyBorder="1" applyAlignment="1">
      <alignment horizontal="center" vertical="center" shrinkToFit="1"/>
    </xf>
    <xf numFmtId="169" fontId="45" fillId="0" borderId="33" xfId="8" applyNumberFormat="1" applyFont="1" applyBorder="1" applyAlignment="1">
      <alignment horizontal="center" vertical="center" shrinkToFit="1"/>
    </xf>
    <xf numFmtId="0" fontId="45" fillId="0" borderId="33" xfId="8" applyFont="1" applyBorder="1" applyAlignment="1">
      <alignment horizontal="left" vertical="center" wrapText="1"/>
    </xf>
    <xf numFmtId="9" fontId="46" fillId="0" borderId="33" xfId="8" applyNumberFormat="1" applyFont="1" applyBorder="1" applyAlignment="1">
      <alignment horizontal="center" vertical="center" shrinkToFit="1"/>
    </xf>
    <xf numFmtId="9" fontId="46" fillId="13" borderId="33" xfId="8" applyNumberFormat="1" applyFont="1" applyFill="1" applyBorder="1" applyAlignment="1">
      <alignment horizontal="center" vertical="center" shrinkToFit="1"/>
    </xf>
    <xf numFmtId="0" fontId="48" fillId="0" borderId="34" xfId="8" applyFont="1" applyBorder="1" applyAlignment="1">
      <alignment horizontal="center" vertical="center" wrapText="1"/>
    </xf>
    <xf numFmtId="1" fontId="46" fillId="0" borderId="13" xfId="8" applyNumberFormat="1" applyFont="1" applyBorder="1" applyAlignment="1">
      <alignment horizontal="center" vertical="center" shrinkToFit="1"/>
    </xf>
    <xf numFmtId="43" fontId="48" fillId="0" borderId="1" xfId="9" applyFont="1" applyBorder="1" applyAlignment="1">
      <alignment horizontal="center" vertical="center" wrapText="1"/>
    </xf>
    <xf numFmtId="9" fontId="46" fillId="14" borderId="1" xfId="8" applyNumberFormat="1" applyFont="1" applyFill="1" applyBorder="1" applyAlignment="1">
      <alignment horizontal="center" vertical="center" shrinkToFit="1"/>
    </xf>
    <xf numFmtId="3" fontId="44" fillId="0" borderId="1" xfId="8" applyNumberFormat="1" applyFont="1" applyBorder="1" applyAlignment="1">
      <alignment horizontal="left" vertical="center" wrapText="1"/>
    </xf>
    <xf numFmtId="43" fontId="48" fillId="6" borderId="1" xfId="9" applyFont="1" applyFill="1" applyBorder="1" applyAlignment="1">
      <alignment horizontal="center" vertical="center" wrapText="1"/>
    </xf>
    <xf numFmtId="9" fontId="46" fillId="16" borderId="1" xfId="8" applyNumberFormat="1" applyFont="1" applyFill="1" applyBorder="1" applyAlignment="1">
      <alignment horizontal="center" vertical="center" shrinkToFit="1"/>
    </xf>
    <xf numFmtId="43" fontId="48" fillId="6" borderId="1" xfId="1" applyFont="1" applyFill="1" applyBorder="1" applyAlignment="1">
      <alignment horizontal="center" vertical="center" wrapText="1"/>
    </xf>
    <xf numFmtId="43" fontId="44" fillId="6" borderId="1" xfId="1" applyFont="1" applyFill="1" applyBorder="1" applyAlignment="1">
      <alignment horizontal="center" vertical="center" wrapText="1"/>
    </xf>
    <xf numFmtId="9" fontId="46" fillId="6" borderId="1" xfId="8" applyNumberFormat="1" applyFont="1" applyFill="1" applyBorder="1" applyAlignment="1">
      <alignment horizontal="center" vertical="center" shrinkToFit="1"/>
    </xf>
    <xf numFmtId="1" fontId="46" fillId="0" borderId="37" xfId="8" applyNumberFormat="1" applyFont="1" applyBorder="1" applyAlignment="1">
      <alignment horizontal="center" vertical="center" shrinkToFit="1"/>
    </xf>
    <xf numFmtId="43" fontId="44" fillId="6" borderId="10" xfId="1" applyFont="1" applyFill="1" applyBorder="1" applyAlignment="1">
      <alignment horizontal="center" vertical="center" wrapText="1"/>
    </xf>
    <xf numFmtId="43" fontId="48" fillId="6" borderId="10" xfId="9" applyFont="1" applyFill="1" applyBorder="1" applyAlignment="1">
      <alignment horizontal="center" vertical="center" wrapText="1"/>
    </xf>
    <xf numFmtId="43" fontId="44" fillId="4" borderId="10" xfId="9" applyFont="1" applyFill="1" applyBorder="1" applyAlignment="1">
      <alignment horizontal="center" vertical="center" wrapText="1"/>
    </xf>
    <xf numFmtId="9" fontId="44" fillId="16" borderId="10" xfId="9" applyNumberFormat="1" applyFont="1" applyFill="1" applyBorder="1" applyAlignment="1">
      <alignment horizontal="center" vertical="center" wrapText="1"/>
    </xf>
    <xf numFmtId="0" fontId="44" fillId="0" borderId="35" xfId="8" applyFont="1" applyBorder="1" applyAlignment="1">
      <alignment horizontal="left" vertical="center" wrapText="1"/>
    </xf>
    <xf numFmtId="43" fontId="44" fillId="4" borderId="1" xfId="9" applyFont="1" applyFill="1" applyBorder="1" applyAlignment="1">
      <alignment horizontal="center" vertical="center" wrapText="1"/>
    </xf>
    <xf numFmtId="43" fontId="44" fillId="6" borderId="1" xfId="9" applyFont="1" applyFill="1" applyBorder="1" applyAlignment="1">
      <alignment horizontal="center" vertical="center" wrapText="1"/>
    </xf>
    <xf numFmtId="9" fontId="44" fillId="16" borderId="1" xfId="9" applyNumberFormat="1" applyFont="1" applyFill="1" applyBorder="1" applyAlignment="1">
      <alignment horizontal="center" vertical="center" wrapText="1"/>
    </xf>
    <xf numFmtId="1" fontId="46" fillId="0" borderId="17" xfId="8" applyNumberFormat="1" applyFont="1" applyBorder="1" applyAlignment="1">
      <alignment horizontal="center" vertical="top" shrinkToFit="1"/>
    </xf>
    <xf numFmtId="166" fontId="44" fillId="4" borderId="93" xfId="9" applyNumberFormat="1" applyFont="1" applyFill="1" applyBorder="1" applyAlignment="1">
      <alignment horizontal="center" vertical="center" wrapText="1"/>
    </xf>
    <xf numFmtId="9" fontId="46" fillId="4" borderId="94" xfId="10" applyFont="1" applyFill="1" applyBorder="1" applyAlignment="1">
      <alignment horizontal="center" vertical="center" shrinkToFit="1"/>
    </xf>
    <xf numFmtId="1" fontId="45" fillId="0" borderId="22" xfId="8" applyNumberFormat="1" applyFont="1" applyBorder="1" applyAlignment="1">
      <alignment horizontal="left" vertical="top" indent="2" shrinkToFit="1"/>
    </xf>
    <xf numFmtId="169" fontId="45" fillId="0" borderId="22" xfId="8" applyNumberFormat="1" applyFont="1" applyBorder="1" applyAlignment="1">
      <alignment horizontal="center" vertical="top" shrinkToFit="1"/>
    </xf>
    <xf numFmtId="169" fontId="45" fillId="0" borderId="22" xfId="8" applyNumberFormat="1" applyFont="1" applyBorder="1" applyAlignment="1">
      <alignment horizontal="left" vertical="top" indent="1" shrinkToFit="1"/>
    </xf>
    <xf numFmtId="0" fontId="45" fillId="0" borderId="22" xfId="8" applyFont="1" applyBorder="1" applyAlignment="1">
      <alignment horizontal="left" vertical="center" wrapText="1"/>
    </xf>
    <xf numFmtId="9" fontId="45" fillId="0" borderId="22" xfId="8" applyNumberFormat="1" applyFont="1" applyBorder="1" applyAlignment="1">
      <alignment horizontal="center" vertical="top" shrinkToFit="1"/>
    </xf>
    <xf numFmtId="0" fontId="45" fillId="0" borderId="23" xfId="8" applyFont="1" applyBorder="1" applyAlignment="1">
      <alignment horizontal="left" vertical="center" wrapText="1"/>
    </xf>
    <xf numFmtId="1" fontId="46" fillId="0" borderId="20" xfId="8" applyNumberFormat="1" applyFont="1" applyBorder="1" applyAlignment="1">
      <alignment horizontal="center" vertical="center" shrinkToFit="1"/>
    </xf>
    <xf numFmtId="0" fontId="48" fillId="0" borderId="59" xfId="8" applyFont="1" applyBorder="1" applyAlignment="1">
      <alignment horizontal="center" vertical="center" wrapText="1"/>
    </xf>
    <xf numFmtId="9" fontId="46" fillId="0" borderId="31" xfId="8" applyNumberFormat="1" applyFont="1" applyBorder="1" applyAlignment="1">
      <alignment horizontal="center" vertical="top" shrinkToFit="1"/>
    </xf>
    <xf numFmtId="9" fontId="46" fillId="16" borderId="31" xfId="8" applyNumberFormat="1" applyFont="1" applyFill="1" applyBorder="1" applyAlignment="1">
      <alignment horizontal="center" vertical="top" shrinkToFit="1"/>
    </xf>
    <xf numFmtId="0" fontId="48" fillId="0" borderId="69" xfId="8" applyFont="1" applyBorder="1" applyAlignment="1">
      <alignment horizontal="center" vertical="center" wrapText="1"/>
    </xf>
    <xf numFmtId="0" fontId="48" fillId="0" borderId="56" xfId="8" applyFont="1" applyBorder="1" applyAlignment="1">
      <alignment horizontal="center" vertical="center" wrapText="1"/>
    </xf>
    <xf numFmtId="9" fontId="46" fillId="0" borderId="1" xfId="8" applyNumberFormat="1" applyFont="1" applyBorder="1" applyAlignment="1">
      <alignment horizontal="center" vertical="top" shrinkToFit="1"/>
    </xf>
    <xf numFmtId="9" fontId="46" fillId="16" borderId="1" xfId="8" applyNumberFormat="1" applyFont="1" applyFill="1" applyBorder="1" applyAlignment="1">
      <alignment horizontal="center" vertical="top" shrinkToFit="1"/>
    </xf>
    <xf numFmtId="9" fontId="46" fillId="0" borderId="10" xfId="8" applyNumberFormat="1" applyFont="1" applyBorder="1" applyAlignment="1">
      <alignment horizontal="center" vertical="top" shrinkToFit="1"/>
    </xf>
    <xf numFmtId="9" fontId="46" fillId="16" borderId="10" xfId="8" applyNumberFormat="1" applyFont="1" applyFill="1" applyBorder="1" applyAlignment="1">
      <alignment horizontal="center" vertical="top" shrinkToFit="1"/>
    </xf>
    <xf numFmtId="9" fontId="48" fillId="0" borderId="31" xfId="3" applyFont="1" applyBorder="1" applyAlignment="1">
      <alignment horizontal="center" vertical="center" wrapText="1"/>
    </xf>
    <xf numFmtId="169" fontId="45" fillId="0" borderId="31" xfId="8" applyNumberFormat="1" applyFont="1" applyBorder="1" applyAlignment="1">
      <alignment horizontal="center" vertical="top" shrinkToFit="1"/>
    </xf>
    <xf numFmtId="169" fontId="45" fillId="0" borderId="1" xfId="8" applyNumberFormat="1" applyFont="1" applyBorder="1" applyAlignment="1">
      <alignment horizontal="center" vertical="top" shrinkToFit="1"/>
    </xf>
    <xf numFmtId="0" fontId="45" fillId="0" borderId="29" xfId="8" applyFont="1" applyBorder="1" applyAlignment="1">
      <alignment horizontal="left" vertical="center" wrapText="1"/>
    </xf>
    <xf numFmtId="1" fontId="46" fillId="0" borderId="15" xfId="8" applyNumberFormat="1" applyFont="1" applyBorder="1" applyAlignment="1">
      <alignment horizontal="center" vertical="center" shrinkToFit="1"/>
    </xf>
    <xf numFmtId="0" fontId="44" fillId="0" borderId="14" xfId="8" applyFont="1" applyBorder="1" applyAlignment="1">
      <alignment vertical="center" wrapText="1"/>
    </xf>
    <xf numFmtId="0" fontId="44" fillId="0" borderId="0" xfId="8" applyFont="1" applyAlignment="1">
      <alignment vertical="center" wrapText="1"/>
    </xf>
    <xf numFmtId="43" fontId="44" fillId="0" borderId="0" xfId="1" applyFont="1" applyAlignment="1">
      <alignment vertical="center" wrapText="1"/>
    </xf>
    <xf numFmtId="0" fontId="44" fillId="0" borderId="1" xfId="8" applyFont="1" applyBorder="1" applyAlignment="1">
      <alignment vertical="center" wrapText="1"/>
    </xf>
    <xf numFmtId="0" fontId="44" fillId="0" borderId="81" xfId="8" applyFont="1" applyBorder="1" applyAlignment="1">
      <alignment vertical="center" wrapText="1"/>
    </xf>
    <xf numFmtId="0" fontId="45" fillId="0" borderId="35" xfId="8" applyFont="1" applyBorder="1" applyAlignment="1">
      <alignment horizontal="left" vertical="center" wrapText="1"/>
    </xf>
    <xf numFmtId="1" fontId="46" fillId="0" borderId="21" xfId="8" applyNumberFormat="1" applyFont="1" applyBorder="1" applyAlignment="1">
      <alignment horizontal="center" vertical="center" shrinkToFit="1"/>
    </xf>
    <xf numFmtId="0" fontId="44" fillId="0" borderId="22" xfId="8" applyFont="1" applyBorder="1" applyAlignment="1">
      <alignment horizontal="left" vertical="center" wrapText="1"/>
    </xf>
    <xf numFmtId="0" fontId="48" fillId="0" borderId="22" xfId="8" applyFont="1" applyBorder="1" applyAlignment="1">
      <alignment horizontal="center" vertical="top" wrapText="1"/>
    </xf>
    <xf numFmtId="43" fontId="46" fillId="6" borderId="93" xfId="9" applyFont="1" applyFill="1" applyBorder="1" applyAlignment="1">
      <alignment horizontal="center" vertical="center" shrinkToFit="1"/>
    </xf>
    <xf numFmtId="9" fontId="44" fillId="6" borderId="24" xfId="3" applyFont="1" applyFill="1" applyBorder="1" applyAlignment="1">
      <alignment horizontal="center" vertical="center" wrapText="1"/>
    </xf>
    <xf numFmtId="1" fontId="46" fillId="6" borderId="24" xfId="8" applyNumberFormat="1" applyFont="1" applyFill="1" applyBorder="1" applyAlignment="1">
      <alignment horizontal="left" vertical="top" indent="2" shrinkToFit="1"/>
    </xf>
    <xf numFmtId="169" fontId="45" fillId="6" borderId="24" xfId="8" applyNumberFormat="1" applyFont="1" applyFill="1" applyBorder="1" applyAlignment="1">
      <alignment horizontal="center" vertical="top" shrinkToFit="1"/>
    </xf>
    <xf numFmtId="169" fontId="45" fillId="6" borderId="22" xfId="8" applyNumberFormat="1" applyFont="1" applyFill="1" applyBorder="1" applyAlignment="1">
      <alignment horizontal="left" vertical="top" indent="1" shrinkToFit="1"/>
    </xf>
    <xf numFmtId="169" fontId="45" fillId="6" borderId="22" xfId="8" applyNumberFormat="1" applyFont="1" applyFill="1" applyBorder="1" applyAlignment="1">
      <alignment horizontal="center" vertical="top" shrinkToFit="1"/>
    </xf>
    <xf numFmtId="0" fontId="45" fillId="6" borderId="22" xfId="8" applyFont="1" applyFill="1" applyBorder="1" applyAlignment="1">
      <alignment horizontal="left" vertical="center" wrapText="1"/>
    </xf>
    <xf numFmtId="9" fontId="46" fillId="6" borderId="22" xfId="8" applyNumberFormat="1" applyFont="1" applyFill="1" applyBorder="1" applyAlignment="1">
      <alignment horizontal="center" vertical="center" shrinkToFit="1"/>
    </xf>
    <xf numFmtId="1" fontId="46" fillId="0" borderId="12" xfId="8" applyNumberFormat="1" applyFont="1" applyBorder="1" applyAlignment="1">
      <alignment horizontal="center" vertical="center" shrinkToFit="1"/>
    </xf>
    <xf numFmtId="0" fontId="44" fillId="0" borderId="0" xfId="8" applyFont="1" applyAlignment="1">
      <alignment horizontal="left" vertical="center" wrapText="1"/>
    </xf>
    <xf numFmtId="0" fontId="44" fillId="0" borderId="2" xfId="8" applyFont="1" applyBorder="1" applyAlignment="1">
      <alignment horizontal="left" vertical="center" wrapText="1"/>
    </xf>
    <xf numFmtId="0" fontId="44" fillId="0" borderId="3" xfId="8" applyFont="1" applyBorder="1" applyAlignment="1">
      <alignment horizontal="left" vertical="center" wrapText="1"/>
    </xf>
    <xf numFmtId="0" fontId="23" fillId="0" borderId="17" xfId="8" applyFont="1" applyBorder="1" applyAlignment="1">
      <alignment vertical="top" wrapText="1"/>
    </xf>
    <xf numFmtId="166" fontId="52" fillId="4" borderId="93" xfId="9" applyNumberFormat="1" applyFont="1" applyFill="1" applyBorder="1" applyAlignment="1">
      <alignment horizontal="center" vertical="center" wrapText="1"/>
    </xf>
    <xf numFmtId="0" fontId="23" fillId="0" borderId="18" xfId="8" applyFont="1" applyBorder="1" applyAlignment="1">
      <alignment vertical="top" wrapText="1"/>
    </xf>
    <xf numFmtId="166" fontId="51" fillId="4" borderId="93" xfId="9" applyNumberFormat="1" applyFont="1" applyFill="1" applyBorder="1" applyAlignment="1">
      <alignment horizontal="center" vertical="center" wrapText="1"/>
    </xf>
    <xf numFmtId="166" fontId="51" fillId="4" borderId="94" xfId="9" applyNumberFormat="1" applyFont="1" applyFill="1" applyBorder="1" applyAlignment="1">
      <alignment horizontal="center" vertical="center" wrapText="1"/>
    </xf>
    <xf numFmtId="9" fontId="53" fillId="0" borderId="21" xfId="10" applyFont="1" applyBorder="1" applyAlignment="1">
      <alignment horizontal="center" vertical="center" wrapText="1"/>
    </xf>
    <xf numFmtId="0" fontId="23" fillId="0" borderId="19" xfId="8" applyFont="1" applyBorder="1" applyAlignment="1">
      <alignment vertical="top" wrapText="1"/>
    </xf>
    <xf numFmtId="0" fontId="54" fillId="0" borderId="0" xfId="8" applyFont="1" applyAlignment="1">
      <alignment horizontal="left" vertical="top"/>
    </xf>
    <xf numFmtId="166" fontId="10" fillId="17" borderId="1" xfId="1" applyNumberFormat="1" applyFont="1" applyFill="1" applyBorder="1"/>
    <xf numFmtId="0" fontId="55" fillId="0" borderId="29" xfId="4" applyFont="1" applyBorder="1" applyAlignment="1">
      <alignment horizontal="left" vertical="top"/>
    </xf>
    <xf numFmtId="0" fontId="6" fillId="8" borderId="37" xfId="0" applyFont="1" applyFill="1" applyBorder="1"/>
    <xf numFmtId="0" fontId="6" fillId="8" borderId="10" xfId="0" applyFont="1" applyFill="1" applyBorder="1"/>
    <xf numFmtId="0" fontId="22" fillId="8" borderId="10" xfId="4" applyFont="1" applyFill="1" applyBorder="1" applyAlignment="1">
      <alignment horizontal="left" wrapText="1"/>
    </xf>
    <xf numFmtId="166" fontId="30" fillId="8" borderId="10" xfId="4" applyNumberFormat="1" applyFont="1" applyFill="1" applyBorder="1" applyAlignment="1">
      <alignment horizontal="left" wrapText="1"/>
    </xf>
    <xf numFmtId="0" fontId="22" fillId="8" borderId="10" xfId="4" applyFont="1" applyFill="1" applyBorder="1" applyAlignment="1">
      <alignment horizontal="left" vertical="top"/>
    </xf>
    <xf numFmtId="43" fontId="22" fillId="8" borderId="10" xfId="1" applyFont="1" applyFill="1" applyBorder="1" applyAlignment="1">
      <alignment horizontal="left" vertical="top"/>
    </xf>
    <xf numFmtId="0" fontId="22" fillId="8" borderId="28" xfId="4" applyFont="1" applyFill="1" applyBorder="1" applyAlignment="1">
      <alignment horizontal="left" vertical="top"/>
    </xf>
    <xf numFmtId="0" fontId="56" fillId="8" borderId="1" xfId="4" applyFont="1" applyFill="1" applyBorder="1" applyAlignment="1">
      <alignment horizontal="center" vertical="top" wrapText="1"/>
    </xf>
    <xf numFmtId="0" fontId="55" fillId="8" borderId="1" xfId="4" applyFont="1" applyFill="1" applyBorder="1" applyAlignment="1">
      <alignment horizontal="left" vertical="top"/>
    </xf>
    <xf numFmtId="166" fontId="55" fillId="8" borderId="9" xfId="4" applyNumberFormat="1" applyFont="1" applyFill="1" applyBorder="1" applyAlignment="1">
      <alignment horizontal="left" vertical="top"/>
    </xf>
    <xf numFmtId="0" fontId="55" fillId="8" borderId="9" xfId="4" applyFont="1" applyFill="1" applyBorder="1" applyAlignment="1">
      <alignment horizontal="left" vertical="top"/>
    </xf>
    <xf numFmtId="0" fontId="20" fillId="0" borderId="9" xfId="4" applyBorder="1" applyAlignment="1">
      <alignment horizontal="left" vertical="top"/>
    </xf>
    <xf numFmtId="1" fontId="11" fillId="6" borderId="16" xfId="2" applyNumberFormat="1" applyFont="1" applyFill="1" applyBorder="1" applyAlignment="1">
      <alignment horizontal="center"/>
    </xf>
    <xf numFmtId="166" fontId="11" fillId="6" borderId="16" xfId="1" applyNumberFormat="1" applyFont="1" applyFill="1" applyBorder="1" applyAlignment="1">
      <alignment horizontal="center" vertical="center"/>
    </xf>
    <xf numFmtId="166" fontId="6" fillId="6" borderId="16" xfId="1" applyNumberFormat="1" applyFont="1" applyFill="1" applyBorder="1" applyAlignment="1">
      <alignment vertical="center"/>
    </xf>
    <xf numFmtId="166" fontId="9" fillId="6" borderId="16" xfId="1" applyNumberFormat="1" applyFont="1" applyFill="1" applyBorder="1" applyAlignment="1">
      <alignment horizontal="center" vertical="center"/>
    </xf>
    <xf numFmtId="165" fontId="11" fillId="6" borderId="16" xfId="2" applyNumberFormat="1" applyFont="1" applyFill="1" applyBorder="1" applyAlignment="1">
      <alignment horizontal="center" vertical="center"/>
    </xf>
    <xf numFmtId="9" fontId="10" fillId="6" borderId="16" xfId="3" applyFont="1" applyFill="1" applyBorder="1" applyAlignment="1">
      <alignment horizontal="center" vertical="center"/>
    </xf>
    <xf numFmtId="166" fontId="6" fillId="6" borderId="16" xfId="1" applyNumberFormat="1" applyFont="1" applyFill="1" applyBorder="1" applyAlignment="1">
      <alignment horizontal="left"/>
    </xf>
    <xf numFmtId="166" fontId="6" fillId="6" borderId="10" xfId="1" applyNumberFormat="1" applyFont="1" applyFill="1" applyBorder="1" applyAlignment="1">
      <alignment horizontal="left"/>
    </xf>
    <xf numFmtId="0" fontId="6" fillId="6" borderId="15" xfId="0" applyFont="1" applyFill="1" applyBorder="1" applyAlignment="1">
      <alignment horizontal="center"/>
    </xf>
    <xf numFmtId="166" fontId="6" fillId="6" borderId="35" xfId="1" applyNumberFormat="1" applyFont="1" applyFill="1" applyBorder="1" applyAlignment="1">
      <alignment horizontal="center" vertical="center"/>
    </xf>
    <xf numFmtId="166" fontId="6" fillId="6" borderId="27" xfId="1" applyNumberFormat="1" applyFont="1" applyFill="1" applyBorder="1" applyAlignment="1">
      <alignment horizontal="center" vertical="center"/>
    </xf>
    <xf numFmtId="166" fontId="6" fillId="6" borderId="1" xfId="1" applyNumberFormat="1" applyFont="1" applyFill="1" applyBorder="1" applyAlignment="1">
      <alignment horizontal="center" vertical="center"/>
    </xf>
    <xf numFmtId="0" fontId="6" fillId="18" borderId="13" xfId="0" applyFont="1" applyFill="1" applyBorder="1" applyAlignment="1">
      <alignment horizontal="center"/>
    </xf>
    <xf numFmtId="0" fontId="6" fillId="18" borderId="1" xfId="0" applyFont="1" applyFill="1" applyBorder="1"/>
    <xf numFmtId="165" fontId="11" fillId="18" borderId="1" xfId="2" applyNumberFormat="1" applyFont="1" applyFill="1" applyBorder="1" applyAlignment="1">
      <alignment horizontal="center" vertical="center"/>
    </xf>
    <xf numFmtId="166" fontId="11" fillId="18" borderId="1" xfId="1" applyNumberFormat="1" applyFont="1" applyFill="1" applyBorder="1" applyProtection="1">
      <protection locked="0"/>
    </xf>
    <xf numFmtId="166" fontId="10" fillId="18" borderId="1" xfId="1" applyNumberFormat="1" applyFont="1" applyFill="1" applyBorder="1"/>
    <xf numFmtId="166" fontId="6" fillId="18" borderId="1" xfId="1" applyNumberFormat="1" applyFont="1" applyFill="1" applyBorder="1"/>
    <xf numFmtId="9" fontId="10" fillId="18" borderId="1" xfId="3" applyFont="1" applyFill="1" applyBorder="1" applyAlignment="1">
      <alignment horizontal="center" vertical="center"/>
    </xf>
    <xf numFmtId="43" fontId="3" fillId="18" borderId="9" xfId="0" applyNumberFormat="1" applyFont="1" applyFill="1" applyBorder="1"/>
    <xf numFmtId="43" fontId="10" fillId="9" borderId="10" xfId="1" applyFont="1" applyFill="1" applyBorder="1" applyAlignment="1">
      <alignment horizontal="right"/>
    </xf>
    <xf numFmtId="166" fontId="3" fillId="8" borderId="9" xfId="0" applyNumberFormat="1" applyFont="1" applyFill="1" applyBorder="1"/>
    <xf numFmtId="43" fontId="10" fillId="18" borderId="1" xfId="1" applyFont="1" applyFill="1" applyBorder="1"/>
    <xf numFmtId="0" fontId="3" fillId="18" borderId="1" xfId="0" applyFont="1" applyFill="1" applyBorder="1"/>
    <xf numFmtId="0" fontId="3" fillId="18" borderId="9" xfId="0" applyFont="1" applyFill="1" applyBorder="1"/>
    <xf numFmtId="166" fontId="6" fillId="18" borderId="29" xfId="1" applyNumberFormat="1" applyFont="1" applyFill="1" applyBorder="1" applyAlignment="1">
      <alignment horizontal="center"/>
    </xf>
    <xf numFmtId="43" fontId="10" fillId="8" borderId="1" xfId="1" applyFont="1" applyFill="1" applyBorder="1" applyAlignment="1">
      <alignment horizontal="left" indent="4"/>
    </xf>
    <xf numFmtId="0" fontId="8" fillId="0" borderId="18" xfId="0" applyFont="1" applyBorder="1"/>
    <xf numFmtId="0" fontId="8" fillId="0" borderId="19" xfId="0" applyFont="1" applyBorder="1"/>
    <xf numFmtId="166" fontId="9" fillId="9" borderId="22" xfId="1" applyNumberFormat="1" applyFont="1" applyFill="1" applyBorder="1" applyAlignment="1" applyProtection="1">
      <alignment horizontal="left"/>
      <protection locked="0"/>
    </xf>
    <xf numFmtId="166" fontId="9" fillId="8" borderId="22" xfId="1" applyNumberFormat="1" applyFont="1" applyFill="1" applyBorder="1" applyAlignment="1" applyProtection="1">
      <alignment horizontal="left"/>
      <protection locked="0"/>
    </xf>
    <xf numFmtId="166" fontId="9" fillId="9" borderId="23" xfId="1" applyNumberFormat="1" applyFont="1" applyFill="1" applyBorder="1" applyAlignment="1" applyProtection="1">
      <alignment horizontal="left"/>
      <protection locked="0"/>
    </xf>
    <xf numFmtId="166" fontId="6" fillId="9" borderId="13" xfId="1" applyNumberFormat="1" applyFont="1" applyFill="1" applyBorder="1"/>
    <xf numFmtId="166" fontId="30" fillId="9" borderId="1" xfId="4" applyNumberFormat="1" applyFont="1" applyFill="1" applyBorder="1" applyAlignment="1">
      <alignment horizontal="left" wrapText="1"/>
    </xf>
    <xf numFmtId="0" fontId="6" fillId="4" borderId="16" xfId="0" applyFont="1" applyFill="1" applyBorder="1"/>
    <xf numFmtId="0" fontId="20" fillId="0" borderId="31" xfId="4" applyBorder="1" applyAlignment="1">
      <alignment horizontal="left" vertical="top"/>
    </xf>
    <xf numFmtId="166" fontId="6" fillId="8" borderId="47" xfId="1" applyNumberFormat="1" applyFont="1" applyFill="1" applyBorder="1" applyAlignment="1">
      <alignment vertical="center"/>
    </xf>
    <xf numFmtId="0" fontId="5" fillId="0" borderId="19" xfId="0" applyFont="1" applyBorder="1"/>
    <xf numFmtId="0" fontId="5" fillId="0" borderId="17" xfId="0" applyFont="1" applyBorder="1"/>
    <xf numFmtId="43" fontId="15" fillId="6" borderId="0" xfId="1" applyFont="1" applyFill="1" applyBorder="1" applyAlignment="1">
      <alignment vertical="center" wrapText="1"/>
    </xf>
    <xf numFmtId="167" fontId="15" fillId="3" borderId="25" xfId="2" applyNumberFormat="1" applyFont="1" applyFill="1" applyBorder="1" applyAlignment="1">
      <alignment horizontal="center" vertical="center" wrapText="1"/>
    </xf>
    <xf numFmtId="0" fontId="6" fillId="19" borderId="13" xfId="0" applyFont="1" applyFill="1" applyBorder="1" applyAlignment="1">
      <alignment horizontal="center"/>
    </xf>
    <xf numFmtId="166" fontId="6" fillId="19" borderId="1" xfId="1" applyNumberFormat="1" applyFont="1" applyFill="1" applyBorder="1"/>
    <xf numFmtId="166" fontId="10" fillId="19" borderId="9" xfId="1" applyNumberFormat="1" applyFont="1" applyFill="1" applyBorder="1"/>
    <xf numFmtId="0" fontId="31" fillId="0" borderId="83" xfId="7" applyFont="1" applyBorder="1" applyAlignment="1">
      <alignment horizontal="left" vertical="center" wrapText="1"/>
    </xf>
    <xf numFmtId="0" fontId="9" fillId="0" borderId="106" xfId="7" applyFont="1" applyBorder="1" applyAlignment="1">
      <alignment horizontal="center" wrapText="1"/>
    </xf>
    <xf numFmtId="3" fontId="37" fillId="0" borderId="106" xfId="7" applyNumberFormat="1" applyFont="1" applyBorder="1" applyAlignment="1">
      <alignment horizontal="right" shrinkToFit="1"/>
    </xf>
    <xf numFmtId="0" fontId="6" fillId="9" borderId="1" xfId="0" applyFont="1" applyFill="1" applyBorder="1" applyAlignment="1">
      <alignment horizontal="center"/>
    </xf>
    <xf numFmtId="0" fontId="6" fillId="6" borderId="91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166" fontId="6" fillId="6" borderId="10" xfId="1" applyNumberFormat="1" applyFont="1" applyFill="1" applyBorder="1" applyAlignment="1">
      <alignment horizontal="center"/>
    </xf>
    <xf numFmtId="0" fontId="31" fillId="0" borderId="74" xfId="7" applyFont="1" applyBorder="1" applyAlignment="1">
      <alignment horizontal="left" vertical="center" wrapText="1"/>
    </xf>
    <xf numFmtId="0" fontId="9" fillId="8" borderId="88" xfId="7" applyFont="1" applyFill="1" applyBorder="1" applyAlignment="1">
      <alignment horizontal="left" vertical="top" wrapText="1"/>
    </xf>
    <xf numFmtId="0" fontId="31" fillId="0" borderId="1" xfId="7" applyFont="1" applyBorder="1" applyAlignment="1">
      <alignment horizontal="left" vertical="center" wrapText="1"/>
    </xf>
    <xf numFmtId="0" fontId="9" fillId="11" borderId="1" xfId="7" applyFont="1" applyFill="1" applyBorder="1" applyAlignment="1">
      <alignment horizontal="left" vertical="top" wrapText="1"/>
    </xf>
    <xf numFmtId="166" fontId="9" fillId="11" borderId="1" xfId="1" applyNumberFormat="1" applyFont="1" applyFill="1" applyBorder="1" applyAlignment="1">
      <alignment horizontal="left" vertical="top" wrapText="1"/>
    </xf>
    <xf numFmtId="0" fontId="6" fillId="9" borderId="10" xfId="0" applyFont="1" applyFill="1" applyBorder="1" applyAlignment="1">
      <alignment horizontal="right"/>
    </xf>
    <xf numFmtId="166" fontId="6" fillId="9" borderId="10" xfId="1" applyNumberFormat="1" applyFont="1" applyFill="1" applyBorder="1" applyAlignment="1">
      <alignment horizontal="left"/>
    </xf>
    <xf numFmtId="166" fontId="6" fillId="20" borderId="10" xfId="1" applyNumberFormat="1" applyFont="1" applyFill="1" applyBorder="1" applyAlignment="1">
      <alignment horizontal="left"/>
    </xf>
    <xf numFmtId="0" fontId="6" fillId="20" borderId="10" xfId="0" applyFont="1" applyFill="1" applyBorder="1" applyAlignment="1">
      <alignment horizontal="left"/>
    </xf>
    <xf numFmtId="0" fontId="9" fillId="0" borderId="88" xfId="7" applyFont="1" applyBorder="1" applyAlignment="1">
      <alignment horizontal="right" wrapText="1" indent="1"/>
    </xf>
    <xf numFmtId="3" fontId="37" fillId="6" borderId="88" xfId="7" applyNumberFormat="1" applyFont="1" applyFill="1" applyBorder="1" applyAlignment="1">
      <alignment horizontal="right" indent="1" shrinkToFit="1"/>
    </xf>
    <xf numFmtId="0" fontId="37" fillId="0" borderId="102" xfId="7" applyFont="1" applyBorder="1" applyAlignment="1">
      <alignment horizontal="left" vertical="center" wrapText="1"/>
    </xf>
    <xf numFmtId="0" fontId="37" fillId="9" borderId="102" xfId="7" applyFont="1" applyFill="1" applyBorder="1" applyAlignment="1">
      <alignment horizontal="left" vertical="center" wrapText="1"/>
    </xf>
    <xf numFmtId="0" fontId="37" fillId="6" borderId="102" xfId="7" applyFont="1" applyFill="1" applyBorder="1" applyAlignment="1">
      <alignment horizontal="left" vertical="center" wrapText="1"/>
    </xf>
    <xf numFmtId="0" fontId="31" fillId="6" borderId="88" xfId="7" applyFont="1" applyFill="1" applyBorder="1" applyAlignment="1">
      <alignment horizontal="left" vertical="center" wrapText="1"/>
    </xf>
    <xf numFmtId="166" fontId="10" fillId="9" borderId="30" xfId="1" applyNumberFormat="1" applyFont="1" applyFill="1" applyBorder="1"/>
    <xf numFmtId="166" fontId="10" fillId="9" borderId="100" xfId="1" applyNumberFormat="1" applyFont="1" applyFill="1" applyBorder="1"/>
    <xf numFmtId="0" fontId="20" fillId="0" borderId="51" xfId="4" applyBorder="1" applyAlignment="1">
      <alignment horizontal="left" vertical="top"/>
    </xf>
    <xf numFmtId="166" fontId="30" fillId="6" borderId="1" xfId="4" applyNumberFormat="1" applyFont="1" applyFill="1" applyBorder="1" applyAlignment="1">
      <alignment horizontal="left" wrapText="1"/>
    </xf>
    <xf numFmtId="166" fontId="31" fillId="6" borderId="1" xfId="4" applyNumberFormat="1" applyFont="1" applyFill="1" applyBorder="1" applyAlignment="1">
      <alignment horizontal="left" wrapText="1"/>
    </xf>
    <xf numFmtId="166" fontId="30" fillId="6" borderId="10" xfId="4" applyNumberFormat="1" applyFont="1" applyFill="1" applyBorder="1" applyAlignment="1">
      <alignment horizontal="left" wrapText="1"/>
    </xf>
    <xf numFmtId="0" fontId="6" fillId="19" borderId="13" xfId="0" applyFont="1" applyFill="1" applyBorder="1" applyAlignment="1">
      <alignment horizontal="left"/>
    </xf>
    <xf numFmtId="166" fontId="6" fillId="6" borderId="10" xfId="1" applyNumberFormat="1" applyFont="1" applyFill="1" applyBorder="1" applyAlignment="1">
      <alignment horizontal="left" vertical="center"/>
    </xf>
    <xf numFmtId="3" fontId="37" fillId="6" borderId="48" xfId="7" applyNumberFormat="1" applyFont="1" applyFill="1" applyBorder="1" applyAlignment="1">
      <alignment horizontal="right" vertical="top" indent="1" shrinkToFit="1"/>
    </xf>
    <xf numFmtId="3" fontId="37" fillId="21" borderId="88" xfId="7" applyNumberFormat="1" applyFont="1" applyFill="1" applyBorder="1" applyAlignment="1">
      <alignment horizontal="center" vertical="center" shrinkToFit="1"/>
    </xf>
    <xf numFmtId="3" fontId="37" fillId="6" borderId="88" xfId="7" applyNumberFormat="1" applyFont="1" applyFill="1" applyBorder="1" applyAlignment="1">
      <alignment vertical="center" shrinkToFit="1"/>
    </xf>
    <xf numFmtId="3" fontId="37" fillId="6" borderId="61" xfId="7" applyNumberFormat="1" applyFont="1" applyFill="1" applyBorder="1" applyAlignment="1">
      <alignment horizontal="right" vertical="top" indent="1" shrinkToFit="1"/>
    </xf>
    <xf numFmtId="0" fontId="9" fillId="6" borderId="48" xfId="7" applyFont="1" applyFill="1" applyBorder="1" applyAlignment="1">
      <alignment horizontal="left" vertical="top" wrapText="1"/>
    </xf>
    <xf numFmtId="166" fontId="10" fillId="9" borderId="0" xfId="1" applyNumberFormat="1" applyFont="1" applyFill="1" applyBorder="1"/>
    <xf numFmtId="43" fontId="37" fillId="9" borderId="1" xfId="4" applyNumberFormat="1" applyFont="1" applyFill="1" applyBorder="1" applyAlignment="1">
      <alignment horizontal="left" wrapText="1"/>
    </xf>
    <xf numFmtId="0" fontId="37" fillId="9" borderId="1" xfId="4" applyFont="1" applyFill="1" applyBorder="1" applyAlignment="1">
      <alignment horizontal="left" wrapText="1"/>
    </xf>
    <xf numFmtId="0" fontId="37" fillId="8" borderId="1" xfId="4" applyFont="1" applyFill="1" applyBorder="1" applyAlignment="1">
      <alignment horizontal="left" wrapText="1"/>
    </xf>
    <xf numFmtId="0" fontId="37" fillId="6" borderId="1" xfId="4" applyFont="1" applyFill="1" applyBorder="1" applyAlignment="1">
      <alignment horizontal="left" wrapText="1"/>
    </xf>
    <xf numFmtId="0" fontId="6" fillId="20" borderId="13" xfId="0" applyFont="1" applyFill="1" applyBorder="1"/>
    <xf numFmtId="0" fontId="6" fillId="20" borderId="1" xfId="0" applyFont="1" applyFill="1" applyBorder="1"/>
    <xf numFmtId="0" fontId="24" fillId="20" borderId="1" xfId="4" applyFont="1" applyFill="1" applyBorder="1" applyAlignment="1">
      <alignment horizontal="center" vertical="top" wrapText="1"/>
    </xf>
    <xf numFmtId="166" fontId="10" fillId="20" borderId="1" xfId="1" applyNumberFormat="1" applyFont="1" applyFill="1" applyBorder="1"/>
    <xf numFmtId="166" fontId="30" fillId="20" borderId="1" xfId="4" applyNumberFormat="1" applyFont="1" applyFill="1" applyBorder="1" applyAlignment="1">
      <alignment horizontal="left" wrapText="1"/>
    </xf>
    <xf numFmtId="166" fontId="31" fillId="20" borderId="1" xfId="4" applyNumberFormat="1" applyFont="1" applyFill="1" applyBorder="1" applyAlignment="1">
      <alignment horizontal="left" wrapText="1"/>
    </xf>
    <xf numFmtId="0" fontId="22" fillId="20" borderId="1" xfId="4" applyFont="1" applyFill="1" applyBorder="1" applyAlignment="1">
      <alignment horizontal="left" vertical="top"/>
    </xf>
    <xf numFmtId="0" fontId="22" fillId="20" borderId="9" xfId="4" applyFont="1" applyFill="1" applyBorder="1" applyAlignment="1">
      <alignment horizontal="left" vertical="top"/>
    </xf>
    <xf numFmtId="0" fontId="20" fillId="20" borderId="29" xfId="4" applyFill="1" applyBorder="1" applyAlignment="1">
      <alignment horizontal="left" vertical="top"/>
    </xf>
    <xf numFmtId="0" fontId="6" fillId="9" borderId="37" xfId="0" applyFont="1" applyFill="1" applyBorder="1" applyAlignment="1">
      <alignment horizontal="center"/>
    </xf>
    <xf numFmtId="43" fontId="22" fillId="6" borderId="1" xfId="1" applyFont="1" applyFill="1" applyBorder="1" applyAlignment="1">
      <alignment horizontal="left" vertical="top"/>
    </xf>
    <xf numFmtId="166" fontId="10" fillId="6" borderId="1" xfId="1" applyNumberFormat="1" applyFont="1" applyFill="1" applyBorder="1" applyAlignment="1">
      <alignment vertical="center"/>
    </xf>
    <xf numFmtId="3" fontId="37" fillId="6" borderId="48" xfId="7" applyNumberFormat="1" applyFont="1" applyFill="1" applyBorder="1" applyAlignment="1">
      <alignment horizontal="right" vertical="center" shrinkToFit="1"/>
    </xf>
    <xf numFmtId="3" fontId="37" fillId="6" borderId="48" xfId="7" applyNumberFormat="1" applyFont="1" applyFill="1" applyBorder="1" applyAlignment="1">
      <alignment horizontal="right" vertical="center" indent="1" shrinkToFit="1"/>
    </xf>
    <xf numFmtId="0" fontId="9" fillId="21" borderId="88" xfId="7" applyFont="1" applyFill="1" applyBorder="1" applyAlignment="1">
      <alignment horizontal="center" vertical="center" wrapText="1"/>
    </xf>
    <xf numFmtId="166" fontId="10" fillId="6" borderId="38" xfId="1" applyNumberFormat="1" applyFont="1" applyFill="1" applyBorder="1" applyAlignment="1">
      <alignment vertical="center"/>
    </xf>
    <xf numFmtId="14" fontId="6" fillId="0" borderId="0" xfId="0" applyNumberFormat="1" applyFont="1"/>
    <xf numFmtId="0" fontId="8" fillId="0" borderId="17" xfId="0" applyFont="1" applyBorder="1"/>
    <xf numFmtId="0" fontId="28" fillId="10" borderId="88" xfId="7" applyFont="1" applyFill="1" applyBorder="1" applyAlignment="1">
      <alignment horizontal="left" vertical="center" wrapText="1" indent="4"/>
    </xf>
    <xf numFmtId="0" fontId="28" fillId="10" borderId="88" xfId="7" applyFont="1" applyFill="1" applyBorder="1" applyAlignment="1">
      <alignment horizontal="left" vertical="center" wrapText="1" indent="2"/>
    </xf>
    <xf numFmtId="0" fontId="28" fillId="10" borderId="88" xfId="7" applyFont="1" applyFill="1" applyBorder="1" applyAlignment="1">
      <alignment horizontal="left" vertical="center" wrapText="1" indent="3"/>
    </xf>
    <xf numFmtId="0" fontId="28" fillId="10" borderId="88" xfId="7" applyFont="1" applyFill="1" applyBorder="1" applyAlignment="1">
      <alignment horizontal="left" vertical="center" wrapText="1" indent="6"/>
    </xf>
    <xf numFmtId="17" fontId="28" fillId="10" borderId="88" xfId="7" applyNumberFormat="1" applyFont="1" applyFill="1" applyBorder="1" applyAlignment="1">
      <alignment horizontal="left" vertical="center" wrapText="1" indent="6"/>
    </xf>
    <xf numFmtId="17" fontId="28" fillId="10" borderId="88" xfId="7" applyNumberFormat="1" applyFont="1" applyFill="1" applyBorder="1" applyAlignment="1">
      <alignment horizontal="center" vertical="center" wrapText="1"/>
    </xf>
    <xf numFmtId="0" fontId="15" fillId="10" borderId="107" xfId="7" applyFont="1" applyFill="1" applyBorder="1" applyAlignment="1">
      <alignment horizontal="left" vertical="center" wrapText="1" indent="2"/>
    </xf>
    <xf numFmtId="168" fontId="35" fillId="0" borderId="0" xfId="7" applyNumberFormat="1" applyFont="1" applyAlignment="1">
      <alignment vertical="center" shrinkToFit="1"/>
    </xf>
    <xf numFmtId="168" fontId="35" fillId="0" borderId="84" xfId="7" applyNumberFormat="1" applyFont="1" applyBorder="1" applyAlignment="1">
      <alignment vertical="center" shrinkToFit="1"/>
    </xf>
    <xf numFmtId="168" fontId="35" fillId="0" borderId="3" xfId="7" applyNumberFormat="1" applyFont="1" applyBorder="1" applyAlignment="1">
      <alignment vertical="center" shrinkToFit="1"/>
    </xf>
    <xf numFmtId="168" fontId="35" fillId="0" borderId="6" xfId="7" applyNumberFormat="1" applyFont="1" applyBorder="1" applyAlignment="1">
      <alignment vertical="center" shrinkToFit="1"/>
    </xf>
    <xf numFmtId="43" fontId="27" fillId="4" borderId="71" xfId="1" applyFont="1" applyFill="1" applyBorder="1" applyAlignment="1">
      <alignment horizontal="left" vertical="center" wrapText="1"/>
    </xf>
    <xf numFmtId="0" fontId="6" fillId="4" borderId="13" xfId="0" applyFont="1" applyFill="1" applyBorder="1" applyAlignment="1">
      <alignment horizontal="center"/>
    </xf>
    <xf numFmtId="0" fontId="6" fillId="22" borderId="13" xfId="0" applyFont="1" applyFill="1" applyBorder="1" applyAlignment="1">
      <alignment horizontal="center"/>
    </xf>
    <xf numFmtId="1" fontId="46" fillId="0" borderId="73" xfId="8" applyNumberFormat="1" applyFont="1" applyBorder="1" applyAlignment="1">
      <alignment horizontal="center" vertical="top" shrinkToFit="1"/>
    </xf>
    <xf numFmtId="1" fontId="46" fillId="0" borderId="1" xfId="8" applyNumberFormat="1" applyFont="1" applyBorder="1" applyAlignment="1">
      <alignment horizontal="center" vertical="top" shrinkToFit="1"/>
    </xf>
    <xf numFmtId="43" fontId="23" fillId="0" borderId="0" xfId="1" applyFont="1" applyAlignment="1">
      <alignment horizontal="left" vertical="top"/>
    </xf>
    <xf numFmtId="0" fontId="44" fillId="23" borderId="10" xfId="8" applyFont="1" applyFill="1" applyBorder="1" applyAlignment="1">
      <alignment horizontal="left" vertical="center" wrapText="1"/>
    </xf>
    <xf numFmtId="0" fontId="44" fillId="23" borderId="10" xfId="8" applyFont="1" applyFill="1" applyBorder="1" applyAlignment="1">
      <alignment horizontal="center" vertical="center" wrapText="1"/>
    </xf>
    <xf numFmtId="43" fontId="44" fillId="23" borderId="10" xfId="9" applyFont="1" applyFill="1" applyBorder="1" applyAlignment="1">
      <alignment horizontal="center" vertical="center" wrapText="1"/>
    </xf>
    <xf numFmtId="9" fontId="46" fillId="23" borderId="10" xfId="10" applyFont="1" applyFill="1" applyBorder="1" applyAlignment="1">
      <alignment horizontal="center" vertical="center" shrinkToFit="1"/>
    </xf>
    <xf numFmtId="1" fontId="46" fillId="23" borderId="10" xfId="8" applyNumberFormat="1" applyFont="1" applyFill="1" applyBorder="1" applyAlignment="1">
      <alignment horizontal="center" vertical="center" shrinkToFit="1"/>
    </xf>
    <xf numFmtId="169" fontId="45" fillId="23" borderId="10" xfId="8" applyNumberFormat="1" applyFont="1" applyFill="1" applyBorder="1" applyAlignment="1">
      <alignment horizontal="center" vertical="center" shrinkToFit="1"/>
    </xf>
    <xf numFmtId="0" fontId="45" fillId="23" borderId="10" xfId="8" applyFont="1" applyFill="1" applyBorder="1" applyAlignment="1">
      <alignment horizontal="left" vertical="center" wrapText="1"/>
    </xf>
    <xf numFmtId="0" fontId="45" fillId="23" borderId="28" xfId="8" applyFont="1" applyFill="1" applyBorder="1" applyAlignment="1">
      <alignment horizontal="left" vertical="center" wrapText="1"/>
    </xf>
    <xf numFmtId="9" fontId="23" fillId="23" borderId="1" xfId="0" applyNumberFormat="1" applyFont="1" applyFill="1" applyBorder="1" applyAlignment="1">
      <alignment horizontal="center" vertical="center" wrapText="1" readingOrder="1"/>
    </xf>
    <xf numFmtId="0" fontId="48" fillId="0" borderId="90" xfId="8" applyFont="1" applyBorder="1" applyAlignment="1">
      <alignment horizontal="center" vertical="center" wrapText="1"/>
    </xf>
    <xf numFmtId="1" fontId="44" fillId="6" borderId="91" xfId="8" applyNumberFormat="1" applyFont="1" applyFill="1" applyBorder="1" applyAlignment="1">
      <alignment horizontal="center" vertical="center" wrapText="1"/>
    </xf>
    <xf numFmtId="0" fontId="44" fillId="6" borderId="28" xfId="8" applyFont="1" applyFill="1" applyBorder="1" applyAlignment="1">
      <alignment horizontal="center" vertical="center" wrapText="1"/>
    </xf>
    <xf numFmtId="166" fontId="6" fillId="6" borderId="26" xfId="1" applyNumberFormat="1" applyFont="1" applyFill="1" applyBorder="1" applyAlignment="1">
      <alignment horizontal="center" vertical="center"/>
    </xf>
    <xf numFmtId="43" fontId="3" fillId="8" borderId="11" xfId="0" applyNumberFormat="1" applyFont="1" applyFill="1" applyBorder="1"/>
    <xf numFmtId="0" fontId="6" fillId="0" borderId="44" xfId="0" applyFont="1" applyBorder="1" applyAlignment="1">
      <alignment horizontal="center"/>
    </xf>
    <xf numFmtId="166" fontId="6" fillId="9" borderId="1" xfId="1" applyNumberFormat="1" applyFont="1" applyFill="1" applyBorder="1" applyAlignment="1">
      <alignment vertical="center"/>
    </xf>
    <xf numFmtId="166" fontId="11" fillId="6" borderId="10" xfId="1" applyNumberFormat="1" applyFont="1" applyFill="1" applyBorder="1" applyAlignment="1">
      <alignment horizontal="center" vertical="center"/>
    </xf>
    <xf numFmtId="9" fontId="10" fillId="6" borderId="14" xfId="3" applyFont="1" applyFill="1" applyBorder="1" applyAlignment="1">
      <alignment horizontal="center" vertical="center"/>
    </xf>
    <xf numFmtId="166" fontId="6" fillId="6" borderId="0" xfId="1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right"/>
    </xf>
    <xf numFmtId="166" fontId="9" fillId="9" borderId="1" xfId="1" applyNumberFormat="1" applyFont="1" applyFill="1" applyBorder="1" applyAlignment="1" applyProtection="1">
      <alignment horizontal="left"/>
      <protection locked="0"/>
    </xf>
    <xf numFmtId="166" fontId="9" fillId="9" borderId="1" xfId="1" applyNumberFormat="1" applyFont="1" applyFill="1" applyBorder="1" applyProtection="1">
      <protection locked="0"/>
    </xf>
    <xf numFmtId="0" fontId="6" fillId="8" borderId="1" xfId="0" applyFont="1" applyFill="1" applyBorder="1" applyAlignment="1">
      <alignment horizontal="center"/>
    </xf>
    <xf numFmtId="166" fontId="10" fillId="8" borderId="1" xfId="1" applyNumberFormat="1" applyFont="1" applyFill="1" applyBorder="1" applyAlignment="1">
      <alignment horizontal="center"/>
    </xf>
    <xf numFmtId="166" fontId="30" fillId="0" borderId="31" xfId="4" applyNumberFormat="1" applyFont="1" applyBorder="1" applyAlignment="1">
      <alignment horizontal="left" vertical="top"/>
    </xf>
    <xf numFmtId="0" fontId="6" fillId="9" borderId="0" xfId="0" applyFont="1" applyFill="1" applyAlignment="1">
      <alignment horizontal="center"/>
    </xf>
    <xf numFmtId="166" fontId="6" fillId="8" borderId="10" xfId="1" applyNumberFormat="1" applyFont="1" applyFill="1" applyBorder="1" applyAlignment="1">
      <alignment horizontal="center"/>
    </xf>
    <xf numFmtId="166" fontId="6" fillId="24" borderId="1" xfId="1" applyNumberFormat="1" applyFont="1" applyFill="1" applyBorder="1" applyAlignment="1">
      <alignment horizontal="left"/>
    </xf>
    <xf numFmtId="166" fontId="30" fillId="8" borderId="31" xfId="4" applyNumberFormat="1" applyFont="1" applyFill="1" applyBorder="1" applyAlignment="1">
      <alignment horizontal="left" vertical="top"/>
    </xf>
    <xf numFmtId="0" fontId="20" fillId="8" borderId="31" xfId="4" applyFill="1" applyBorder="1" applyAlignment="1">
      <alignment horizontal="left" vertical="top"/>
    </xf>
    <xf numFmtId="0" fontId="20" fillId="8" borderId="1" xfId="4" applyFill="1" applyBorder="1" applyAlignment="1">
      <alignment horizontal="left" vertical="top"/>
    </xf>
    <xf numFmtId="43" fontId="27" fillId="0" borderId="89" xfId="1" applyFont="1" applyBorder="1" applyAlignment="1">
      <alignment horizontal="left" vertical="center" wrapText="1"/>
    </xf>
    <xf numFmtId="0" fontId="6" fillId="9" borderId="37" xfId="0" applyFont="1" applyFill="1" applyBorder="1" applyAlignment="1">
      <alignment horizontal="left"/>
    </xf>
    <xf numFmtId="166" fontId="31" fillId="0" borderId="55" xfId="7" applyNumberFormat="1" applyFont="1" applyBorder="1" applyAlignment="1">
      <alignment horizontal="left" vertical="center" wrapText="1"/>
    </xf>
    <xf numFmtId="0" fontId="6" fillId="9" borderId="20" xfId="0" applyFont="1" applyFill="1" applyBorder="1" applyAlignment="1">
      <alignment horizontal="center"/>
    </xf>
    <xf numFmtId="166" fontId="6" fillId="8" borderId="16" xfId="1" applyNumberFormat="1" applyFont="1" applyFill="1" applyBorder="1" applyAlignment="1">
      <alignment horizontal="center"/>
    </xf>
    <xf numFmtId="0" fontId="6" fillId="9" borderId="31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/>
    </xf>
    <xf numFmtId="166" fontId="31" fillId="0" borderId="88" xfId="7" applyNumberFormat="1" applyFont="1" applyBorder="1" applyAlignment="1">
      <alignment horizontal="left" vertical="center" wrapText="1"/>
    </xf>
    <xf numFmtId="0" fontId="6" fillId="8" borderId="21" xfId="0" applyFont="1" applyFill="1" applyBorder="1" applyAlignment="1">
      <alignment horizontal="center"/>
    </xf>
    <xf numFmtId="166" fontId="6" fillId="8" borderId="22" xfId="1" applyNumberFormat="1" applyFont="1" applyFill="1" applyBorder="1" applyAlignment="1">
      <alignment horizontal="left"/>
    </xf>
    <xf numFmtId="166" fontId="6" fillId="8" borderId="22" xfId="1" applyNumberFormat="1" applyFont="1" applyFill="1" applyBorder="1" applyAlignment="1">
      <alignment horizontal="center"/>
    </xf>
    <xf numFmtId="166" fontId="6" fillId="8" borderId="23" xfId="1" applyNumberFormat="1" applyFont="1" applyFill="1" applyBorder="1" applyAlignment="1">
      <alignment horizontal="left"/>
    </xf>
    <xf numFmtId="0" fontId="31" fillId="6" borderId="0" xfId="7" applyFont="1" applyFill="1" applyAlignment="1">
      <alignment horizontal="left" vertical="center" wrapText="1"/>
    </xf>
    <xf numFmtId="166" fontId="31" fillId="6" borderId="48" xfId="7" applyNumberFormat="1" applyFont="1" applyFill="1" applyBorder="1" applyAlignment="1">
      <alignment horizontal="left" vertical="center" wrapText="1"/>
    </xf>
    <xf numFmtId="1" fontId="37" fillId="6" borderId="1" xfId="7" applyNumberFormat="1" applyFont="1" applyFill="1" applyBorder="1" applyAlignment="1">
      <alignment horizontal="left" vertical="top" shrinkToFit="1"/>
    </xf>
    <xf numFmtId="0" fontId="31" fillId="6" borderId="56" xfId="7" applyFont="1" applyFill="1" applyBorder="1" applyAlignment="1">
      <alignment horizontal="left" vertical="center" wrapText="1"/>
    </xf>
    <xf numFmtId="0" fontId="31" fillId="6" borderId="1" xfId="7" applyFont="1" applyFill="1" applyBorder="1" applyAlignment="1">
      <alignment horizontal="left" vertical="center" wrapText="1"/>
    </xf>
    <xf numFmtId="43" fontId="27" fillId="6" borderId="89" xfId="1" applyFont="1" applyFill="1" applyBorder="1" applyAlignment="1">
      <alignment horizontal="left" vertical="center" wrapText="1"/>
    </xf>
    <xf numFmtId="166" fontId="6" fillId="6" borderId="37" xfId="1" applyNumberFormat="1" applyFont="1" applyFill="1" applyBorder="1" applyAlignment="1">
      <alignment horizontal="left"/>
    </xf>
    <xf numFmtId="166" fontId="10" fillId="6" borderId="35" xfId="1" applyNumberFormat="1" applyFont="1" applyFill="1" applyBorder="1"/>
    <xf numFmtId="1" fontId="37" fillId="6" borderId="29" xfId="7" applyNumberFormat="1" applyFont="1" applyFill="1" applyBorder="1" applyAlignment="1">
      <alignment horizontal="left" vertical="top" shrinkToFit="1"/>
    </xf>
    <xf numFmtId="166" fontId="6" fillId="6" borderId="42" xfId="1" applyNumberFormat="1" applyFont="1" applyFill="1" applyBorder="1" applyAlignment="1">
      <alignment horizontal="left"/>
    </xf>
    <xf numFmtId="166" fontId="6" fillId="6" borderId="40" xfId="1" applyNumberFormat="1" applyFont="1" applyFill="1" applyBorder="1" applyAlignment="1">
      <alignment horizontal="left"/>
    </xf>
    <xf numFmtId="1" fontId="37" fillId="6" borderId="3" xfId="7" applyNumberFormat="1" applyFont="1" applyFill="1" applyBorder="1" applyAlignment="1">
      <alignment horizontal="left" vertical="top" shrinkToFit="1"/>
    </xf>
    <xf numFmtId="1" fontId="37" fillId="6" borderId="6" xfId="7" applyNumberFormat="1" applyFont="1" applyFill="1" applyBorder="1" applyAlignment="1">
      <alignment horizontal="left" vertical="top" shrinkToFit="1"/>
    </xf>
    <xf numFmtId="166" fontId="31" fillId="6" borderId="55" xfId="7" applyNumberFormat="1" applyFont="1" applyFill="1" applyBorder="1" applyAlignment="1">
      <alignment horizontal="left" vertical="center" wrapText="1"/>
    </xf>
    <xf numFmtId="166" fontId="6" fillId="6" borderId="15" xfId="1" applyNumberFormat="1" applyFont="1" applyFill="1" applyBorder="1" applyAlignment="1">
      <alignment horizontal="left"/>
    </xf>
    <xf numFmtId="166" fontId="10" fillId="6" borderId="36" xfId="1" applyNumberFormat="1" applyFont="1" applyFill="1" applyBorder="1"/>
    <xf numFmtId="166" fontId="31" fillId="0" borderId="1" xfId="7" applyNumberFormat="1" applyFont="1" applyBorder="1" applyAlignment="1">
      <alignment horizontal="left" vertical="center" wrapText="1"/>
    </xf>
    <xf numFmtId="0" fontId="6" fillId="8" borderId="1" xfId="0" applyFont="1" applyFill="1" applyBorder="1" applyAlignment="1">
      <alignment vertical="center" wrapText="1"/>
    </xf>
    <xf numFmtId="0" fontId="20" fillId="0" borderId="48" xfId="4" applyBorder="1" applyAlignment="1">
      <alignment horizontal="left" wrapText="1"/>
    </xf>
    <xf numFmtId="0" fontId="20" fillId="0" borderId="48" xfId="4" applyBorder="1" applyAlignment="1">
      <alignment horizontal="left" vertical="center" wrapText="1"/>
    </xf>
    <xf numFmtId="0" fontId="44" fillId="0" borderId="48" xfId="4" applyFont="1" applyBorder="1" applyAlignment="1">
      <alignment horizontal="left" vertical="top" wrapText="1"/>
    </xf>
    <xf numFmtId="0" fontId="6" fillId="6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6" fillId="0" borderId="1" xfId="0" applyFont="1" applyBorder="1"/>
    <xf numFmtId="0" fontId="4" fillId="0" borderId="1" xfId="0" applyFont="1" applyBorder="1"/>
    <xf numFmtId="0" fontId="5" fillId="0" borderId="1" xfId="0" applyFont="1" applyBorder="1"/>
    <xf numFmtId="9" fontId="15" fillId="3" borderId="1" xfId="3" applyFont="1" applyFill="1" applyBorder="1" applyAlignment="1">
      <alignment horizontal="center" vertical="center" wrapText="1"/>
    </xf>
    <xf numFmtId="0" fontId="9" fillId="6" borderId="1" xfId="2" applyFont="1" applyFill="1" applyBorder="1" applyAlignment="1">
      <alignment horizontal="center" vertical="center" wrapText="1"/>
    </xf>
    <xf numFmtId="167" fontId="15" fillId="6" borderId="1" xfId="2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43" fontId="6" fillId="9" borderId="1" xfId="1" applyFont="1" applyFill="1" applyBorder="1" applyAlignment="1">
      <alignment vertical="center" wrapText="1"/>
    </xf>
    <xf numFmtId="43" fontId="6" fillId="9" borderId="1" xfId="0" applyNumberFormat="1" applyFont="1" applyFill="1" applyBorder="1" applyAlignment="1">
      <alignment vertical="center" wrapText="1"/>
    </xf>
    <xf numFmtId="167" fontId="15" fillId="6" borderId="1" xfId="2" applyNumberFormat="1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/>
    </xf>
    <xf numFmtId="43" fontId="10" fillId="0" borderId="1" xfId="1" applyFont="1" applyBorder="1" applyAlignment="1">
      <alignment vertical="center"/>
    </xf>
    <xf numFmtId="43" fontId="6" fillId="9" borderId="1" xfId="1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58" fillId="0" borderId="48" xfId="4" applyFont="1" applyBorder="1" applyAlignment="1">
      <alignment horizontal="left" vertical="top" wrapText="1"/>
    </xf>
    <xf numFmtId="0" fontId="30" fillId="0" borderId="48" xfId="4" applyFont="1" applyBorder="1" applyAlignment="1">
      <alignment horizontal="left" vertical="center" wrapText="1"/>
    </xf>
    <xf numFmtId="0" fontId="11" fillId="0" borderId="48" xfId="4" applyFont="1" applyBorder="1" applyAlignment="1">
      <alignment horizontal="left" vertical="top" wrapText="1"/>
    </xf>
    <xf numFmtId="0" fontId="11" fillId="14" borderId="48" xfId="4" applyFont="1" applyFill="1" applyBorder="1" applyAlignment="1">
      <alignment horizontal="left" vertical="top" wrapText="1"/>
    </xf>
    <xf numFmtId="0" fontId="31" fillId="0" borderId="48" xfId="4" applyFont="1" applyBorder="1" applyAlignment="1">
      <alignment horizontal="left" vertical="center" wrapText="1"/>
    </xf>
    <xf numFmtId="1" fontId="32" fillId="0" borderId="48" xfId="4" applyNumberFormat="1" applyFont="1" applyBorder="1" applyAlignment="1">
      <alignment horizontal="center" vertical="center" shrinkToFit="1"/>
    </xf>
    <xf numFmtId="0" fontId="11" fillId="4" borderId="48" xfId="4" applyFont="1" applyFill="1" applyBorder="1" applyAlignment="1">
      <alignment horizontal="left" vertical="center" wrapText="1"/>
    </xf>
    <xf numFmtId="3" fontId="32" fillId="0" borderId="48" xfId="4" applyNumberFormat="1" applyFont="1" applyBorder="1" applyAlignment="1">
      <alignment horizontal="right" vertical="center" shrinkToFit="1"/>
    </xf>
    <xf numFmtId="0" fontId="9" fillId="0" borderId="61" xfId="4" applyFont="1" applyBorder="1" applyAlignment="1">
      <alignment vertical="center" wrapText="1"/>
    </xf>
    <xf numFmtId="0" fontId="9" fillId="0" borderId="63" xfId="4" applyFont="1" applyBorder="1" applyAlignment="1">
      <alignment vertical="center" wrapText="1"/>
    </xf>
    <xf numFmtId="0" fontId="9" fillId="0" borderId="59" xfId="4" applyFont="1" applyBorder="1" applyAlignment="1">
      <alignment vertical="center" wrapText="1"/>
    </xf>
    <xf numFmtId="0" fontId="9" fillId="0" borderId="1" xfId="4" applyFont="1" applyBorder="1" applyAlignment="1">
      <alignment vertical="center" wrapText="1"/>
    </xf>
    <xf numFmtId="0" fontId="20" fillId="0" borderId="60" xfId="4" applyBorder="1" applyAlignment="1">
      <alignment horizontal="left" vertical="top" wrapText="1"/>
    </xf>
    <xf numFmtId="1" fontId="32" fillId="0" borderId="55" xfId="4" applyNumberFormat="1" applyFont="1" applyBorder="1" applyAlignment="1">
      <alignment horizontal="center" vertical="center" shrinkToFit="1"/>
    </xf>
    <xf numFmtId="0" fontId="11" fillId="14" borderId="55" xfId="4" applyFont="1" applyFill="1" applyBorder="1" applyAlignment="1">
      <alignment horizontal="left" vertical="top" wrapText="1"/>
    </xf>
    <xf numFmtId="0" fontId="11" fillId="0" borderId="55" xfId="4" applyFont="1" applyBorder="1" applyAlignment="1">
      <alignment horizontal="left" vertical="top" wrapText="1"/>
    </xf>
    <xf numFmtId="0" fontId="20" fillId="0" borderId="1" xfId="4" applyBorder="1" applyAlignment="1">
      <alignment horizontal="left" wrapText="1"/>
    </xf>
    <xf numFmtId="3" fontId="37" fillId="0" borderId="1" xfId="4" applyNumberFormat="1" applyFont="1" applyBorder="1" applyAlignment="1">
      <alignment horizontal="right" vertical="center" shrinkToFit="1"/>
    </xf>
    <xf numFmtId="0" fontId="9" fillId="9" borderId="48" xfId="7" applyFont="1" applyFill="1" applyBorder="1" applyAlignment="1">
      <alignment vertical="top" wrapText="1"/>
    </xf>
    <xf numFmtId="0" fontId="11" fillId="9" borderId="48" xfId="4" applyFont="1" applyFill="1" applyBorder="1" applyAlignment="1">
      <alignment horizontal="left" vertical="top" wrapText="1"/>
    </xf>
    <xf numFmtId="3" fontId="32" fillId="9" borderId="48" xfId="4" applyNumberFormat="1" applyFont="1" applyFill="1" applyBorder="1" applyAlignment="1">
      <alignment horizontal="right" vertical="center" shrinkToFit="1"/>
    </xf>
    <xf numFmtId="3" fontId="37" fillId="9" borderId="48" xfId="7" applyNumberFormat="1" applyFont="1" applyFill="1" applyBorder="1" applyAlignment="1">
      <alignment horizontal="right" vertical="center" shrinkToFit="1"/>
    </xf>
    <xf numFmtId="0" fontId="30" fillId="0" borderId="66" xfId="4" applyFont="1" applyBorder="1" applyAlignment="1">
      <alignment horizontal="left" vertical="center" wrapText="1"/>
    </xf>
    <xf numFmtId="0" fontId="9" fillId="9" borderId="55" xfId="7" applyFont="1" applyFill="1" applyBorder="1" applyAlignment="1">
      <alignment horizontal="left" vertical="top" wrapText="1"/>
    </xf>
    <xf numFmtId="3" fontId="37" fillId="9" borderId="55" xfId="7" applyNumberFormat="1" applyFont="1" applyFill="1" applyBorder="1" applyAlignment="1">
      <alignment horizontal="right" vertical="top" indent="1" shrinkToFit="1"/>
    </xf>
    <xf numFmtId="3" fontId="32" fillId="0" borderId="55" xfId="4" applyNumberFormat="1" applyFont="1" applyBorder="1" applyAlignment="1">
      <alignment horizontal="right" vertical="center" shrinkToFit="1"/>
    </xf>
    <xf numFmtId="1" fontId="32" fillId="0" borderId="110" xfId="4" applyNumberFormat="1" applyFont="1" applyBorder="1" applyAlignment="1">
      <alignment horizontal="center" vertical="center" shrinkToFit="1"/>
    </xf>
    <xf numFmtId="0" fontId="6" fillId="6" borderId="22" xfId="0" applyFont="1" applyFill="1" applyBorder="1"/>
    <xf numFmtId="0" fontId="11" fillId="14" borderId="93" xfId="4" applyFont="1" applyFill="1" applyBorder="1" applyAlignment="1">
      <alignment horizontal="left" vertical="top" wrapText="1"/>
    </xf>
    <xf numFmtId="0" fontId="11" fillId="0" borderId="93" xfId="4" applyFont="1" applyBorder="1" applyAlignment="1">
      <alignment horizontal="left" vertical="top" wrapText="1"/>
    </xf>
    <xf numFmtId="3" fontId="32" fillId="6" borderId="48" xfId="4" applyNumberFormat="1" applyFont="1" applyFill="1" applyBorder="1" applyAlignment="1">
      <alignment horizontal="right" vertical="center" shrinkToFit="1"/>
    </xf>
    <xf numFmtId="1" fontId="32" fillId="6" borderId="48" xfId="4" applyNumberFormat="1" applyFont="1" applyFill="1" applyBorder="1" applyAlignment="1">
      <alignment horizontal="center" vertical="center" shrinkToFit="1"/>
    </xf>
    <xf numFmtId="3" fontId="37" fillId="8" borderId="48" xfId="7" applyNumberFormat="1" applyFont="1" applyFill="1" applyBorder="1" applyAlignment="1">
      <alignment horizontal="left" vertical="center" indent="1" shrinkToFit="1"/>
    </xf>
    <xf numFmtId="3" fontId="37" fillId="6" borderId="48" xfId="7" applyNumberFormat="1" applyFont="1" applyFill="1" applyBorder="1" applyAlignment="1">
      <alignment horizontal="left" vertical="center" indent="1" shrinkToFit="1"/>
    </xf>
    <xf numFmtId="43" fontId="59" fillId="6" borderId="48" xfId="9" applyFont="1" applyFill="1" applyBorder="1" applyAlignment="1">
      <alignment horizontal="left" vertical="center" wrapText="1"/>
    </xf>
    <xf numFmtId="0" fontId="11" fillId="0" borderId="0" xfId="4" applyFont="1" applyAlignment="1">
      <alignment horizontal="left" vertical="top" wrapText="1"/>
    </xf>
    <xf numFmtId="0" fontId="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16" fillId="6" borderId="1" xfId="0" applyFont="1" applyFill="1" applyBorder="1" applyAlignment="1">
      <alignment horizontal="center" vertical="center"/>
    </xf>
    <xf numFmtId="167" fontId="15" fillId="6" borderId="1" xfId="2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6" borderId="1" xfId="2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9" xfId="0" applyFont="1" applyBorder="1" applyAlignment="1">
      <alignment horizont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right"/>
    </xf>
    <xf numFmtId="14" fontId="7" fillId="0" borderId="6" xfId="0" applyNumberFormat="1" applyFont="1" applyBorder="1" applyAlignment="1">
      <alignment horizontal="right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6" fillId="6" borderId="21" xfId="0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167" fontId="15" fillId="6" borderId="45" xfId="2" applyNumberFormat="1" applyFont="1" applyFill="1" applyBorder="1" applyAlignment="1">
      <alignment horizontal="center" vertical="center" wrapText="1"/>
    </xf>
    <xf numFmtId="167" fontId="15" fillId="6" borderId="4" xfId="2" applyNumberFormat="1" applyFont="1" applyFill="1" applyBorder="1" applyAlignment="1">
      <alignment horizontal="center" vertical="center" wrapText="1"/>
    </xf>
    <xf numFmtId="167" fontId="15" fillId="6" borderId="7" xfId="2" applyNumberFormat="1" applyFont="1" applyFill="1" applyBorder="1" applyAlignment="1">
      <alignment horizontal="center" vertical="center" wrapText="1"/>
    </xf>
    <xf numFmtId="167" fontId="15" fillId="6" borderId="12" xfId="2" applyNumberFormat="1" applyFont="1" applyFill="1" applyBorder="1" applyAlignment="1">
      <alignment horizontal="center" vertical="center" wrapText="1"/>
    </xf>
    <xf numFmtId="167" fontId="15" fillId="6" borderId="0" xfId="2" applyNumberFormat="1" applyFont="1" applyFill="1" applyAlignment="1">
      <alignment horizontal="center" vertical="center" wrapText="1"/>
    </xf>
    <xf numFmtId="167" fontId="15" fillId="6" borderId="26" xfId="2" applyNumberFormat="1" applyFont="1" applyFill="1" applyBorder="1" applyAlignment="1">
      <alignment horizontal="center" vertical="center" wrapText="1"/>
    </xf>
    <xf numFmtId="0" fontId="9" fillId="6" borderId="2" xfId="2" applyFont="1" applyFill="1" applyBorder="1" applyAlignment="1">
      <alignment horizontal="center" vertical="center" wrapText="1"/>
    </xf>
    <xf numFmtId="0" fontId="9" fillId="6" borderId="3" xfId="2" applyFont="1" applyFill="1" applyBorder="1" applyAlignment="1">
      <alignment horizontal="center" vertical="center" wrapText="1"/>
    </xf>
    <xf numFmtId="0" fontId="9" fillId="6" borderId="6" xfId="2" applyFont="1" applyFill="1" applyBorder="1" applyAlignment="1">
      <alignment horizontal="center" vertical="center" wrapText="1"/>
    </xf>
    <xf numFmtId="0" fontId="16" fillId="6" borderId="17" xfId="0" applyFont="1" applyFill="1" applyBorder="1" applyAlignment="1">
      <alignment horizontal="center" vertical="center"/>
    </xf>
    <xf numFmtId="0" fontId="16" fillId="6" borderId="19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166" fontId="10" fillId="6" borderId="12" xfId="1" applyNumberFormat="1" applyFont="1" applyFill="1" applyBorder="1" applyAlignment="1">
      <alignment horizontal="center" vertical="center"/>
    </xf>
    <xf numFmtId="166" fontId="10" fillId="6" borderId="0" xfId="1" applyNumberFormat="1" applyFont="1" applyFill="1" applyBorder="1" applyAlignment="1">
      <alignment horizontal="center" vertical="center"/>
    </xf>
    <xf numFmtId="166" fontId="10" fillId="6" borderId="26" xfId="1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6" fillId="5" borderId="9" xfId="0" applyFont="1" applyFill="1" applyBorder="1" applyAlignment="1">
      <alignment horizontal="left"/>
    </xf>
    <xf numFmtId="0" fontId="6" fillId="5" borderId="11" xfId="0" applyFont="1" applyFill="1" applyBorder="1" applyAlignment="1">
      <alignment horizontal="left"/>
    </xf>
    <xf numFmtId="43" fontId="10" fillId="9" borderId="10" xfId="1" applyFont="1" applyFill="1" applyBorder="1" applyAlignment="1">
      <alignment horizontal="center" vertical="center"/>
    </xf>
    <xf numFmtId="43" fontId="10" fillId="9" borderId="16" xfId="1" applyFont="1" applyFill="1" applyBorder="1" applyAlignment="1">
      <alignment horizontal="center" vertical="center"/>
    </xf>
    <xf numFmtId="43" fontId="10" fillId="9" borderId="31" xfId="1" applyFont="1" applyFill="1" applyBorder="1" applyAlignment="1">
      <alignment horizontal="center" vertical="center"/>
    </xf>
    <xf numFmtId="0" fontId="22" fillId="0" borderId="103" xfId="4" applyFont="1" applyBorder="1" applyAlignment="1">
      <alignment horizontal="left" wrapText="1"/>
    </xf>
    <xf numFmtId="0" fontId="22" fillId="0" borderId="104" xfId="4" applyFont="1" applyBorder="1" applyAlignment="1">
      <alignment horizontal="left" wrapText="1"/>
    </xf>
    <xf numFmtId="0" fontId="22" fillId="0" borderId="105" xfId="4" applyFont="1" applyBorder="1" applyAlignment="1">
      <alignment horizontal="left" wrapText="1"/>
    </xf>
    <xf numFmtId="0" fontId="6" fillId="5" borderId="13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40" fillId="0" borderId="39" xfId="4" applyFont="1" applyBorder="1" applyAlignment="1">
      <alignment horizontal="left" wrapText="1"/>
    </xf>
    <xf numFmtId="0" fontId="41" fillId="0" borderId="43" xfId="4" applyFont="1" applyBorder="1" applyAlignment="1">
      <alignment horizontal="left" wrapText="1"/>
    </xf>
    <xf numFmtId="166" fontId="10" fillId="0" borderId="10" xfId="1" applyNumberFormat="1" applyFont="1" applyBorder="1" applyAlignment="1">
      <alignment horizontal="center" vertical="center"/>
    </xf>
    <xf numFmtId="166" fontId="10" fillId="0" borderId="16" xfId="1" applyNumberFormat="1" applyFont="1" applyBorder="1" applyAlignment="1">
      <alignment horizontal="center" vertical="center"/>
    </xf>
    <xf numFmtId="166" fontId="10" fillId="0" borderId="31" xfId="1" applyNumberFormat="1" applyFont="1" applyBorder="1" applyAlignment="1">
      <alignment horizontal="center" vertical="center"/>
    </xf>
    <xf numFmtId="0" fontId="26" fillId="0" borderId="4" xfId="4" applyFont="1" applyBorder="1" applyAlignment="1">
      <alignment horizontal="center" vertical="center" wrapText="1"/>
    </xf>
    <xf numFmtId="0" fontId="26" fillId="0" borderId="80" xfId="4" applyFont="1" applyBorder="1" applyAlignment="1">
      <alignment horizontal="center" vertical="center" wrapText="1"/>
    </xf>
    <xf numFmtId="166" fontId="10" fillId="4" borderId="10" xfId="1" applyNumberFormat="1" applyFont="1" applyFill="1" applyBorder="1" applyAlignment="1">
      <alignment horizontal="center" vertical="center"/>
    </xf>
    <xf numFmtId="166" fontId="10" fillId="4" borderId="16" xfId="1" applyNumberFormat="1" applyFont="1" applyFill="1" applyBorder="1" applyAlignment="1">
      <alignment horizontal="center" vertical="center"/>
    </xf>
    <xf numFmtId="166" fontId="10" fillId="4" borderId="31" xfId="1" applyNumberFormat="1" applyFont="1" applyFill="1" applyBorder="1" applyAlignment="1">
      <alignment horizontal="center" vertical="center"/>
    </xf>
    <xf numFmtId="0" fontId="42" fillId="0" borderId="5" xfId="4" applyFont="1" applyBorder="1" applyAlignment="1">
      <alignment horizontal="left" wrapText="1"/>
    </xf>
    <xf numFmtId="0" fontId="42" fillId="0" borderId="4" xfId="4" applyFont="1" applyBorder="1" applyAlignment="1">
      <alignment horizontal="left" wrapText="1"/>
    </xf>
    <xf numFmtId="0" fontId="26" fillId="0" borderId="17" xfId="4" applyFont="1" applyBorder="1" applyAlignment="1">
      <alignment horizontal="center" wrapText="1"/>
    </xf>
    <xf numFmtId="0" fontId="26" fillId="0" borderId="18" xfId="4" applyFont="1" applyBorder="1" applyAlignment="1">
      <alignment horizontal="center" wrapText="1"/>
    </xf>
    <xf numFmtId="0" fontId="26" fillId="0" borderId="19" xfId="4" applyFont="1" applyBorder="1" applyAlignment="1">
      <alignment horizontal="center" wrapText="1"/>
    </xf>
    <xf numFmtId="0" fontId="22" fillId="0" borderId="42" xfId="4" applyFont="1" applyBorder="1" applyAlignment="1">
      <alignment horizontal="left" wrapText="1"/>
    </xf>
    <xf numFmtId="0" fontId="22" fillId="0" borderId="40" xfId="4" applyFont="1" applyBorder="1" applyAlignment="1">
      <alignment horizontal="left" wrapText="1"/>
    </xf>
    <xf numFmtId="166" fontId="10" fillId="6" borderId="10" xfId="1" applyNumberFormat="1" applyFont="1" applyFill="1" applyBorder="1" applyAlignment="1">
      <alignment horizontal="center" vertical="center"/>
    </xf>
    <xf numFmtId="166" fontId="10" fillId="6" borderId="16" xfId="1" applyNumberFormat="1" applyFont="1" applyFill="1" applyBorder="1" applyAlignment="1">
      <alignment horizontal="center" vertical="center"/>
    </xf>
    <xf numFmtId="166" fontId="10" fillId="6" borderId="31" xfId="1" applyNumberFormat="1" applyFont="1" applyFill="1" applyBorder="1" applyAlignment="1">
      <alignment horizontal="center" vertical="center"/>
    </xf>
    <xf numFmtId="0" fontId="60" fillId="25" borderId="64" xfId="4" applyFont="1" applyFill="1" applyBorder="1" applyAlignment="1">
      <alignment horizontal="center" vertical="top" wrapText="1"/>
    </xf>
    <xf numFmtId="0" fontId="60" fillId="25" borderId="65" xfId="4" applyFont="1" applyFill="1" applyBorder="1" applyAlignment="1">
      <alignment horizontal="center" vertical="top" wrapText="1"/>
    </xf>
    <xf numFmtId="0" fontId="60" fillId="25" borderId="66" xfId="4" applyFont="1" applyFill="1" applyBorder="1" applyAlignment="1">
      <alignment horizontal="center" vertical="top" wrapText="1"/>
    </xf>
    <xf numFmtId="0" fontId="50" fillId="25" borderId="64" xfId="4" applyFont="1" applyFill="1" applyBorder="1" applyAlignment="1">
      <alignment horizontal="center" vertical="top" wrapText="1"/>
    </xf>
    <xf numFmtId="0" fontId="50" fillId="25" borderId="65" xfId="4" applyFont="1" applyFill="1" applyBorder="1" applyAlignment="1">
      <alignment horizontal="center" vertical="top" wrapText="1"/>
    </xf>
    <xf numFmtId="0" fontId="50" fillId="25" borderId="66" xfId="4" applyFont="1" applyFill="1" applyBorder="1" applyAlignment="1">
      <alignment horizontal="center" vertical="top" wrapText="1"/>
    </xf>
    <xf numFmtId="0" fontId="20" fillId="0" borderId="55" xfId="4" applyBorder="1" applyAlignment="1">
      <alignment horizontal="left" vertical="top" wrapText="1"/>
    </xf>
    <xf numFmtId="0" fontId="20" fillId="0" borderId="87" xfId="4" applyBorder="1" applyAlignment="1">
      <alignment horizontal="left" vertical="top" wrapText="1"/>
    </xf>
    <xf numFmtId="0" fontId="20" fillId="0" borderId="88" xfId="4" applyBorder="1" applyAlignment="1">
      <alignment horizontal="left" vertical="top" wrapText="1"/>
    </xf>
    <xf numFmtId="0" fontId="33" fillId="0" borderId="68" xfId="7" applyBorder="1" applyAlignment="1">
      <alignment horizontal="left" vertical="center" wrapText="1"/>
    </xf>
    <xf numFmtId="0" fontId="33" fillId="0" borderId="4" xfId="7" applyBorder="1" applyAlignment="1">
      <alignment horizontal="left" vertical="center" wrapText="1"/>
    </xf>
    <xf numFmtId="0" fontId="33" fillId="0" borderId="7" xfId="7" applyBorder="1" applyAlignment="1">
      <alignment horizontal="left" vertical="center" wrapText="1"/>
    </xf>
    <xf numFmtId="0" fontId="34" fillId="0" borderId="5" xfId="7" applyFont="1" applyBorder="1" applyAlignment="1">
      <alignment horizontal="left" vertical="top" wrapText="1"/>
    </xf>
    <xf numFmtId="0" fontId="34" fillId="0" borderId="7" xfId="7" applyFont="1" applyBorder="1" applyAlignment="1">
      <alignment horizontal="left" vertical="top" wrapText="1"/>
    </xf>
    <xf numFmtId="0" fontId="34" fillId="0" borderId="57" xfId="7" applyFont="1" applyBorder="1" applyAlignment="1">
      <alignment horizontal="center" vertical="center" wrapText="1"/>
    </xf>
    <xf numFmtId="0" fontId="34" fillId="0" borderId="58" xfId="7" applyFont="1" applyBorder="1" applyAlignment="1">
      <alignment horizontal="center" vertical="center" wrapText="1"/>
    </xf>
    <xf numFmtId="0" fontId="34" fillId="0" borderId="3" xfId="7" applyFont="1" applyBorder="1" applyAlignment="1">
      <alignment horizontal="center" vertical="center" wrapText="1"/>
    </xf>
    <xf numFmtId="0" fontId="34" fillId="0" borderId="108" xfId="7" applyFont="1" applyBorder="1" applyAlignment="1">
      <alignment horizontal="center" vertical="center" wrapText="1"/>
    </xf>
    <xf numFmtId="0" fontId="9" fillId="0" borderId="2" xfId="7" applyFont="1" applyBorder="1" applyAlignment="1">
      <alignment horizontal="left" vertical="top" wrapText="1"/>
    </xf>
    <xf numFmtId="0" fontId="9" fillId="0" borderId="6" xfId="7" applyFont="1" applyBorder="1" applyAlignment="1">
      <alignment horizontal="left" vertical="top" wrapText="1"/>
    </xf>
    <xf numFmtId="0" fontId="9" fillId="11" borderId="64" xfId="7" applyFont="1" applyFill="1" applyBorder="1" applyAlignment="1">
      <alignment horizontal="left" vertical="top" wrapText="1"/>
    </xf>
    <xf numFmtId="0" fontId="9" fillId="11" borderId="65" xfId="7" applyFont="1" applyFill="1" applyBorder="1" applyAlignment="1">
      <alignment horizontal="left" vertical="top" wrapText="1"/>
    </xf>
    <xf numFmtId="0" fontId="9" fillId="11" borderId="66" xfId="7" applyFont="1" applyFill="1" applyBorder="1" applyAlignment="1">
      <alignment horizontal="left" vertical="top" wrapText="1"/>
    </xf>
    <xf numFmtId="0" fontId="31" fillId="0" borderId="73" xfId="7" applyFont="1" applyBorder="1" applyAlignment="1">
      <alignment horizontal="left" vertical="top" wrapText="1"/>
    </xf>
    <xf numFmtId="0" fontId="31" fillId="0" borderId="74" xfId="7" applyFont="1" applyBorder="1" applyAlignment="1">
      <alignment horizontal="left" vertical="top" wrapText="1"/>
    </xf>
    <xf numFmtId="0" fontId="31" fillId="0" borderId="75" xfId="7" applyFont="1" applyBorder="1" applyAlignment="1">
      <alignment horizontal="left" vertical="top" wrapText="1"/>
    </xf>
    <xf numFmtId="0" fontId="31" fillId="0" borderId="64" xfId="7" applyFont="1" applyBorder="1" applyAlignment="1">
      <alignment horizontal="left" vertical="center" wrapText="1"/>
    </xf>
    <xf numFmtId="0" fontId="31" fillId="0" borderId="65" xfId="7" applyFont="1" applyBorder="1" applyAlignment="1">
      <alignment horizontal="left" vertical="center" wrapText="1"/>
    </xf>
    <xf numFmtId="0" fontId="31" fillId="0" borderId="66" xfId="7" applyFont="1" applyBorder="1" applyAlignment="1">
      <alignment horizontal="left" vertical="center" wrapText="1"/>
    </xf>
    <xf numFmtId="0" fontId="28" fillId="0" borderId="77" xfId="7" applyFont="1" applyBorder="1" applyAlignment="1">
      <alignment horizontal="left" vertical="center" wrapText="1"/>
    </xf>
    <xf numFmtId="0" fontId="38" fillId="0" borderId="78" xfId="7" applyFont="1" applyBorder="1" applyAlignment="1">
      <alignment horizontal="left" vertical="center" wrapText="1"/>
    </xf>
    <xf numFmtId="0" fontId="38" fillId="0" borderId="79" xfId="7" applyFont="1" applyBorder="1" applyAlignment="1">
      <alignment horizontal="left" vertical="center" wrapText="1"/>
    </xf>
    <xf numFmtId="0" fontId="43" fillId="8" borderId="64" xfId="7" applyFont="1" applyFill="1" applyBorder="1" applyAlignment="1">
      <alignment horizontal="right" wrapText="1"/>
    </xf>
    <xf numFmtId="0" fontId="43" fillId="8" borderId="65" xfId="7" applyFont="1" applyFill="1" applyBorder="1" applyAlignment="1">
      <alignment horizontal="right" wrapText="1"/>
    </xf>
    <xf numFmtId="0" fontId="43" fillId="8" borderId="66" xfId="7" applyFont="1" applyFill="1" applyBorder="1" applyAlignment="1">
      <alignment horizontal="right" wrapText="1"/>
    </xf>
    <xf numFmtId="0" fontId="36" fillId="11" borderId="61" xfId="7" applyFont="1" applyFill="1" applyBorder="1" applyAlignment="1">
      <alignment horizontal="left" vertical="top" wrapText="1"/>
    </xf>
    <xf numFmtId="0" fontId="36" fillId="11" borderId="63" xfId="7" applyFont="1" applyFill="1" applyBorder="1" applyAlignment="1">
      <alignment horizontal="left" vertical="top" wrapText="1"/>
    </xf>
    <xf numFmtId="0" fontId="36" fillId="11" borderId="62" xfId="7" applyFont="1" applyFill="1" applyBorder="1" applyAlignment="1">
      <alignment horizontal="left" vertical="top" wrapText="1"/>
    </xf>
    <xf numFmtId="0" fontId="9" fillId="11" borderId="59" xfId="7" applyFont="1" applyFill="1" applyBorder="1" applyAlignment="1">
      <alignment horizontal="left" vertical="top" wrapText="1"/>
    </xf>
    <xf numFmtId="0" fontId="9" fillId="11" borderId="0" xfId="7" applyFont="1" applyFill="1" applyAlignment="1">
      <alignment horizontal="left" vertical="top" wrapText="1"/>
    </xf>
    <xf numFmtId="0" fontId="9" fillId="11" borderId="60" xfId="7" applyFont="1" applyFill="1" applyBorder="1" applyAlignment="1">
      <alignment horizontal="left" vertical="top" wrapText="1"/>
    </xf>
    <xf numFmtId="0" fontId="9" fillId="11" borderId="57" xfId="7" applyFont="1" applyFill="1" applyBorder="1" applyAlignment="1">
      <alignment horizontal="left" vertical="top" wrapText="1"/>
    </xf>
    <xf numFmtId="0" fontId="9" fillId="11" borderId="58" xfId="7" applyFont="1" applyFill="1" applyBorder="1" applyAlignment="1">
      <alignment horizontal="left" vertical="top" wrapText="1"/>
    </xf>
    <xf numFmtId="1" fontId="46" fillId="0" borderId="2" xfId="8" applyNumberFormat="1" applyFont="1" applyBorder="1" applyAlignment="1">
      <alignment horizontal="center" vertical="top" shrinkToFit="1"/>
    </xf>
    <xf numFmtId="1" fontId="46" fillId="0" borderId="3" xfId="8" applyNumberFormat="1" applyFont="1" applyBorder="1" applyAlignment="1">
      <alignment horizontal="center" vertical="top" shrinkToFit="1"/>
    </xf>
    <xf numFmtId="1" fontId="46" fillId="0" borderId="6" xfId="8" applyNumberFormat="1" applyFont="1" applyBorder="1" applyAlignment="1">
      <alignment horizontal="center" vertical="top" shrinkToFit="1"/>
    </xf>
    <xf numFmtId="0" fontId="44" fillId="12" borderId="17" xfId="8" applyFont="1" applyFill="1" applyBorder="1" applyAlignment="1">
      <alignment horizontal="center" vertical="top" wrapText="1"/>
    </xf>
    <xf numFmtId="0" fontId="44" fillId="12" borderId="18" xfId="8" applyFont="1" applyFill="1" applyBorder="1" applyAlignment="1">
      <alignment horizontal="center" vertical="top" wrapText="1"/>
    </xf>
    <xf numFmtId="0" fontId="44" fillId="12" borderId="19" xfId="8" applyFont="1" applyFill="1" applyBorder="1" applyAlignment="1">
      <alignment horizontal="center" vertical="top" wrapText="1"/>
    </xf>
    <xf numFmtId="0" fontId="51" fillId="12" borderId="17" xfId="8" applyFont="1" applyFill="1" applyBorder="1" applyAlignment="1">
      <alignment horizontal="center" vertical="top" wrapText="1"/>
    </xf>
    <xf numFmtId="0" fontId="51" fillId="12" borderId="18" xfId="8" applyFont="1" applyFill="1" applyBorder="1" applyAlignment="1">
      <alignment horizontal="center" vertical="top" wrapText="1"/>
    </xf>
    <xf numFmtId="0" fontId="51" fillId="12" borderId="19" xfId="8" applyFont="1" applyFill="1" applyBorder="1" applyAlignment="1">
      <alignment horizontal="center" vertical="top" wrapText="1"/>
    </xf>
    <xf numFmtId="0" fontId="44" fillId="0" borderId="18" xfId="8" applyFont="1" applyBorder="1" applyAlignment="1">
      <alignment horizontal="center" vertical="top" wrapText="1"/>
    </xf>
    <xf numFmtId="0" fontId="44" fillId="0" borderId="97" xfId="8" applyFont="1" applyBorder="1" applyAlignment="1">
      <alignment horizontal="center" vertical="top" wrapText="1"/>
    </xf>
    <xf numFmtId="0" fontId="44" fillId="12" borderId="12" xfId="8" applyFont="1" applyFill="1" applyBorder="1" applyAlignment="1">
      <alignment horizontal="center" vertical="center" wrapText="1"/>
    </xf>
    <xf numFmtId="0" fontId="44" fillId="12" borderId="0" xfId="8" applyFont="1" applyFill="1" applyAlignment="1">
      <alignment horizontal="center" vertical="center" wrapText="1"/>
    </xf>
    <xf numFmtId="0" fontId="44" fillId="12" borderId="26" xfId="8" applyFont="1" applyFill="1" applyBorder="1" applyAlignment="1">
      <alignment horizontal="center" vertical="center" wrapText="1"/>
    </xf>
    <xf numFmtId="43" fontId="44" fillId="0" borderId="87" xfId="9" applyFont="1" applyBorder="1" applyAlignment="1">
      <alignment horizontal="center" vertical="center" wrapText="1"/>
    </xf>
    <xf numFmtId="43" fontId="44" fillId="0" borderId="92" xfId="9" applyFont="1" applyBorder="1" applyAlignment="1">
      <alignment horizontal="center" vertical="center" wrapText="1"/>
    </xf>
    <xf numFmtId="43" fontId="48" fillId="0" borderId="95" xfId="1" applyFont="1" applyBorder="1" applyAlignment="1">
      <alignment horizontal="center" vertical="center" wrapText="1"/>
    </xf>
    <xf numFmtId="43" fontId="48" fillId="0" borderId="96" xfId="1" applyFont="1" applyBorder="1" applyAlignment="1">
      <alignment horizontal="center" vertical="center" wrapText="1"/>
    </xf>
    <xf numFmtId="9" fontId="48" fillId="0" borderId="16" xfId="10" applyFont="1" applyBorder="1" applyAlignment="1">
      <alignment horizontal="center" vertical="center" wrapText="1"/>
    </xf>
    <xf numFmtId="9" fontId="48" fillId="0" borderId="31" xfId="10" applyFont="1" applyBorder="1" applyAlignment="1">
      <alignment horizontal="center" vertical="center" wrapText="1"/>
    </xf>
    <xf numFmtId="0" fontId="44" fillId="12" borderId="17" xfId="8" applyFont="1" applyFill="1" applyBorder="1" applyAlignment="1">
      <alignment horizontal="center" vertical="center" wrapText="1"/>
    </xf>
    <xf numFmtId="0" fontId="44" fillId="12" borderId="18" xfId="8" applyFont="1" applyFill="1" applyBorder="1" applyAlignment="1">
      <alignment horizontal="center" vertical="center" wrapText="1"/>
    </xf>
    <xf numFmtId="0" fontId="44" fillId="12" borderId="4" xfId="8" applyFont="1" applyFill="1" applyBorder="1" applyAlignment="1">
      <alignment horizontal="center" vertical="center" wrapText="1"/>
    </xf>
    <xf numFmtId="0" fontId="44" fillId="12" borderId="19" xfId="8" applyFont="1" applyFill="1" applyBorder="1" applyAlignment="1">
      <alignment horizontal="center" vertical="center" wrapText="1"/>
    </xf>
    <xf numFmtId="43" fontId="44" fillId="0" borderId="31" xfId="9" applyFont="1" applyBorder="1" applyAlignment="1">
      <alignment horizontal="center" vertical="center" wrapText="1"/>
    </xf>
    <xf numFmtId="43" fontId="44" fillId="0" borderId="1" xfId="9" applyFont="1" applyBorder="1" applyAlignment="1">
      <alignment horizontal="center" vertical="center" wrapText="1"/>
    </xf>
    <xf numFmtId="9" fontId="46" fillId="0" borderId="31" xfId="10" applyFont="1" applyBorder="1" applyAlignment="1">
      <alignment horizontal="center" vertical="center" shrinkToFit="1"/>
    </xf>
    <xf numFmtId="9" fontId="46" fillId="0" borderId="1" xfId="10" applyFont="1" applyBorder="1" applyAlignment="1">
      <alignment horizontal="center" vertical="center" shrinkToFit="1"/>
    </xf>
    <xf numFmtId="1" fontId="44" fillId="6" borderId="2" xfId="8" applyNumberFormat="1" applyFont="1" applyFill="1" applyBorder="1" applyAlignment="1">
      <alignment horizontal="center" vertical="center" wrapText="1"/>
    </xf>
    <xf numFmtId="1" fontId="44" fillId="6" borderId="3" xfId="8" applyNumberFormat="1" applyFont="1" applyFill="1" applyBorder="1" applyAlignment="1">
      <alignment horizontal="center" vertical="center" wrapText="1"/>
    </xf>
    <xf numFmtId="1" fontId="44" fillId="6" borderId="6" xfId="8" applyNumberFormat="1" applyFont="1" applyFill="1" applyBorder="1" applyAlignment="1">
      <alignment horizontal="center" vertical="center" wrapText="1"/>
    </xf>
    <xf numFmtId="1" fontId="46" fillId="0" borderId="15" xfId="8" applyNumberFormat="1" applyFont="1" applyBorder="1" applyAlignment="1">
      <alignment horizontal="center" vertical="top" shrinkToFit="1"/>
    </xf>
    <xf numFmtId="1" fontId="46" fillId="0" borderId="16" xfId="8" applyNumberFormat="1" applyFont="1" applyBorder="1" applyAlignment="1">
      <alignment horizontal="center" vertical="top" shrinkToFit="1"/>
    </xf>
    <xf numFmtId="1" fontId="46" fillId="0" borderId="35" xfId="8" applyNumberFormat="1" applyFont="1" applyBorder="1" applyAlignment="1">
      <alignment horizontal="center" vertical="top" shrinkToFit="1"/>
    </xf>
    <xf numFmtId="0" fontId="9" fillId="0" borderId="17" xfId="8" applyFont="1" applyBorder="1" applyAlignment="1">
      <alignment horizontal="center" wrapText="1"/>
    </xf>
    <xf numFmtId="0" fontId="9" fillId="0" borderId="18" xfId="8" applyFont="1" applyBorder="1" applyAlignment="1">
      <alignment horizontal="center" wrapText="1"/>
    </xf>
    <xf numFmtId="0" fontId="46" fillId="0" borderId="67" xfId="8" applyFont="1" applyBorder="1" applyAlignment="1">
      <alignment horizontal="left" vertical="top" wrapText="1"/>
    </xf>
    <xf numFmtId="0" fontId="46" fillId="0" borderId="83" xfId="8" applyFont="1" applyBorder="1" applyAlignment="1">
      <alignment horizontal="left" vertical="top" wrapText="1"/>
    </xf>
    <xf numFmtId="0" fontId="44" fillId="0" borderId="68" xfId="8" applyFont="1" applyBorder="1" applyAlignment="1">
      <alignment horizontal="center" vertical="center" wrapText="1"/>
    </xf>
    <xf numFmtId="0" fontId="44" fillId="0" borderId="84" xfId="8" applyFont="1" applyBorder="1" applyAlignment="1">
      <alignment horizontal="center" vertical="center" wrapText="1"/>
    </xf>
    <xf numFmtId="0" fontId="44" fillId="0" borderId="82" xfId="8" applyFont="1" applyBorder="1" applyAlignment="1">
      <alignment horizontal="center" vertical="center" wrapText="1"/>
    </xf>
    <xf numFmtId="0" fontId="44" fillId="0" borderId="85" xfId="8" applyFont="1" applyBorder="1" applyAlignment="1">
      <alignment horizontal="center" vertical="center" wrapText="1"/>
    </xf>
    <xf numFmtId="0" fontId="44" fillId="0" borderId="7" xfId="8" applyFont="1" applyBorder="1" applyAlignment="1">
      <alignment horizontal="center" vertical="center" wrapText="1"/>
    </xf>
    <xf numFmtId="0" fontId="44" fillId="0" borderId="6" xfId="8" applyFont="1" applyBorder="1" applyAlignment="1">
      <alignment horizontal="center" vertical="center" wrapText="1"/>
    </xf>
    <xf numFmtId="3" fontId="37" fillId="8" borderId="31" xfId="7" applyNumberFormat="1" applyFont="1" applyFill="1" applyBorder="1" applyAlignment="1">
      <alignment horizontal="right" vertical="top" indent="1" shrinkToFit="1"/>
    </xf>
    <xf numFmtId="3" fontId="37" fillId="8" borderId="1" xfId="7" applyNumberFormat="1" applyFont="1" applyFill="1" applyBorder="1" applyAlignment="1">
      <alignment horizontal="right" vertical="top" indent="1" shrinkToFit="1"/>
    </xf>
    <xf numFmtId="3" fontId="37" fillId="6" borderId="1" xfId="7" applyNumberFormat="1" applyFont="1" applyFill="1" applyBorder="1" applyAlignment="1">
      <alignment horizontal="right" vertical="top" indent="1" shrinkToFit="1"/>
    </xf>
    <xf numFmtId="3" fontId="37" fillId="8" borderId="110" xfId="7" applyNumberFormat="1" applyFont="1" applyFill="1" applyBorder="1" applyAlignment="1">
      <alignment horizontal="right" vertical="top" indent="1" shrinkToFit="1"/>
    </xf>
    <xf numFmtId="3" fontId="37" fillId="8" borderId="93" xfId="7" applyNumberFormat="1" applyFont="1" applyFill="1" applyBorder="1" applyAlignment="1">
      <alignment horizontal="right" vertical="top" indent="1" shrinkToFit="1"/>
    </xf>
    <xf numFmtId="3" fontId="37" fillId="6" borderId="61" xfId="7" applyNumberFormat="1" applyFont="1" applyFill="1" applyBorder="1" applyAlignment="1">
      <alignment horizontal="left" vertical="center" indent="1" shrinkToFit="1"/>
    </xf>
    <xf numFmtId="3" fontId="37" fillId="6" borderId="63" xfId="7" applyNumberFormat="1" applyFont="1" applyFill="1" applyBorder="1" applyAlignment="1">
      <alignment horizontal="right" vertical="top" indent="1" shrinkToFit="1"/>
    </xf>
    <xf numFmtId="3" fontId="37" fillId="6" borderId="1" xfId="7" applyNumberFormat="1" applyFont="1" applyFill="1" applyBorder="1" applyAlignment="1">
      <alignment horizontal="right" vertical="center" indent="1" shrinkToFit="1"/>
    </xf>
  </cellXfs>
  <cellStyles count="11">
    <cellStyle name="Comma" xfId="1" builtinId="3"/>
    <cellStyle name="Comma 2" xfId="6" xr:uid="{11406A52-1DAF-45BD-805F-05BFE01DFFFA}"/>
    <cellStyle name="Comma 3" xfId="9" xr:uid="{9F5420BC-ACC2-4006-86B9-197B2D9282CD}"/>
    <cellStyle name="Normal" xfId="0" builtinId="0"/>
    <cellStyle name="Normal 2" xfId="2" xr:uid="{788BE26D-A218-4B78-9AB2-2756A7E2920E}"/>
    <cellStyle name="Normal 3" xfId="4" xr:uid="{8147BEDC-83AC-443E-9996-7BDB79E18326}"/>
    <cellStyle name="Normal 4" xfId="5" xr:uid="{0C5FB4FB-A42A-4EC5-9669-EA013EE121B0}"/>
    <cellStyle name="Normal 5" xfId="7" xr:uid="{8AD2436E-0290-435F-81A2-893F8C75A72D}"/>
    <cellStyle name="Normal 6" xfId="8" xr:uid="{F8684E22-22AC-4E9E-A62C-2F25EB370F72}"/>
    <cellStyle name="Percent" xfId="3" builtinId="5"/>
    <cellStyle name="Percent 2" xfId="10" xr:uid="{3E21954F-3731-461F-8D7C-252692FCC3AD}"/>
  </cellStyles>
  <dxfs count="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D2FD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1444625</xdr:colOff>
      <xdr:row>1</xdr:row>
      <xdr:rowOff>199013</xdr:rowOff>
    </xdr:from>
    <xdr:to>
      <xdr:col>25</xdr:col>
      <xdr:colOff>1648863</xdr:colOff>
      <xdr:row>1</xdr:row>
      <xdr:rowOff>539750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1A6ECB-22A9-4328-AAEC-2B662E7D3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87375" y="405388"/>
          <a:ext cx="2125113" cy="3407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2270125</xdr:colOff>
      <xdr:row>1</xdr:row>
      <xdr:rowOff>167263</xdr:rowOff>
    </xdr:from>
    <xdr:to>
      <xdr:col>24</xdr:col>
      <xdr:colOff>210588</xdr:colOff>
      <xdr:row>1</xdr:row>
      <xdr:rowOff>508000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D74D73-4064-4A6D-A1C2-74AF7D597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67875" y="167263"/>
          <a:ext cx="2125113" cy="3407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952500</xdr:colOff>
      <xdr:row>1</xdr:row>
      <xdr:rowOff>246638</xdr:rowOff>
    </xdr:from>
    <xdr:to>
      <xdr:col>16</xdr:col>
      <xdr:colOff>1140863</xdr:colOff>
      <xdr:row>1</xdr:row>
      <xdr:rowOff>587375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2FF1A2-7FDE-496B-8A9A-6A4E562AF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0" y="246638"/>
          <a:ext cx="2125113" cy="3407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619125</xdr:colOff>
      <xdr:row>1</xdr:row>
      <xdr:rowOff>230763</xdr:rowOff>
    </xdr:from>
    <xdr:to>
      <xdr:col>16</xdr:col>
      <xdr:colOff>823363</xdr:colOff>
      <xdr:row>1</xdr:row>
      <xdr:rowOff>571500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091834-54B1-44BA-AC66-8E4BB4BA4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733750" y="230763"/>
          <a:ext cx="2125113" cy="3407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1697183</xdr:colOff>
      <xdr:row>1</xdr:row>
      <xdr:rowOff>152831</xdr:rowOff>
    </xdr:from>
    <xdr:ext cx="2147338" cy="373129"/>
    <xdr:pic>
      <xdr:nvPicPr>
        <xdr:cNvPr id="2" name="Picture 1">
          <a:extLst>
            <a:ext uri="{FF2B5EF4-FFF2-40B4-BE49-F238E27FC236}">
              <a16:creationId xmlns:a16="http://schemas.microsoft.com/office/drawing/2014/main" id="{400E33E2-8D14-4298-97A1-865A9A87E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99138" y="152831"/>
          <a:ext cx="2147338" cy="37312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1111250</xdr:colOff>
      <xdr:row>0</xdr:row>
      <xdr:rowOff>72554</xdr:rowOff>
    </xdr:from>
    <xdr:ext cx="2147328" cy="373126"/>
    <xdr:pic>
      <xdr:nvPicPr>
        <xdr:cNvPr id="2" name="image1.png">
          <a:extLst>
            <a:ext uri="{FF2B5EF4-FFF2-40B4-BE49-F238E27FC236}">
              <a16:creationId xmlns:a16="http://schemas.microsoft.com/office/drawing/2014/main" id="{088EE480-E29F-4F6E-BABE-67E42E8A7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99875" y="72554"/>
          <a:ext cx="2147328" cy="37312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125138</xdr:colOff>
      <xdr:row>0</xdr:row>
      <xdr:rowOff>76284</xdr:rowOff>
    </xdr:from>
    <xdr:ext cx="794613" cy="571946"/>
    <xdr:pic>
      <xdr:nvPicPr>
        <xdr:cNvPr id="2" name="image1.jpeg">
          <a:extLst>
            <a:ext uri="{FF2B5EF4-FFF2-40B4-BE49-F238E27FC236}">
              <a16:creationId xmlns:a16="http://schemas.microsoft.com/office/drawing/2014/main" id="{F6565BC3-B824-4D14-AF33-A84F82220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38" y="76284"/>
          <a:ext cx="794613" cy="571946"/>
        </a:xfrm>
        <a:prstGeom prst="rect">
          <a:avLst/>
        </a:prstGeom>
      </xdr:spPr>
    </xdr:pic>
    <xdr:clientData/>
  </xdr:oneCellAnchor>
  <xdr:oneCellAnchor>
    <xdr:from>
      <xdr:col>13</xdr:col>
      <xdr:colOff>2006600</xdr:colOff>
      <xdr:row>0</xdr:row>
      <xdr:rowOff>123755</xdr:rowOff>
    </xdr:from>
    <xdr:ext cx="1159388" cy="214912"/>
    <xdr:pic>
      <xdr:nvPicPr>
        <xdr:cNvPr id="3" name="image2.png">
          <a:extLst>
            <a:ext uri="{FF2B5EF4-FFF2-40B4-BE49-F238E27FC236}">
              <a16:creationId xmlns:a16="http://schemas.microsoft.com/office/drawing/2014/main" id="{DE8F0318-2751-408B-B7F1-FD0A5805B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46150" y="123755"/>
          <a:ext cx="1159388" cy="2149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7D0D-E88D-498C-8520-2F560D2E3A08}">
  <sheetPr>
    <pageSetUpPr fitToPage="1"/>
  </sheetPr>
  <dimension ref="B1:AA17"/>
  <sheetViews>
    <sheetView view="pageBreakPreview" zoomScale="60" zoomScaleNormal="100" workbookViewId="0">
      <selection activeCell="F1" sqref="C1:F1048576"/>
    </sheetView>
  </sheetViews>
  <sheetFormatPr defaultRowHeight="15"/>
  <cols>
    <col min="2" max="2" width="16.85546875" customWidth="1"/>
    <col min="3" max="3" width="70.7109375" customWidth="1"/>
    <col min="4" max="4" width="12.140625" hidden="1" customWidth="1"/>
    <col min="5" max="5" width="23.7109375" hidden="1" customWidth="1"/>
    <col min="6" max="11" width="28.85546875" customWidth="1"/>
    <col min="12" max="20" width="28.85546875" hidden="1" customWidth="1"/>
    <col min="21" max="26" width="28.85546875" customWidth="1"/>
  </cols>
  <sheetData>
    <row r="1" spans="2:27" ht="15.75" thickBot="1"/>
    <row r="2" spans="2:27" s="1" customFormat="1" ht="50.25" customHeight="1">
      <c r="B2" s="845" t="s">
        <v>3</v>
      </c>
      <c r="C2" s="845"/>
      <c r="D2" s="845"/>
      <c r="E2" s="845"/>
      <c r="F2" s="845"/>
      <c r="G2" s="845"/>
      <c r="H2" s="845"/>
      <c r="I2" s="845"/>
      <c r="J2" s="845"/>
      <c r="K2" s="845"/>
      <c r="L2" s="845"/>
      <c r="M2" s="845"/>
      <c r="N2" s="845"/>
      <c r="O2" s="845"/>
      <c r="P2" s="845"/>
      <c r="Q2" s="845"/>
      <c r="R2" s="845"/>
      <c r="S2" s="845"/>
      <c r="T2" s="845"/>
      <c r="U2" s="845"/>
      <c r="V2" s="852"/>
      <c r="W2" s="853"/>
      <c r="X2" s="853"/>
      <c r="Y2" s="853"/>
      <c r="Z2" s="854"/>
      <c r="AA2" s="38"/>
    </row>
    <row r="3" spans="2:27" s="1" customFormat="1" ht="27.75" customHeight="1">
      <c r="B3" s="792" t="s">
        <v>328</v>
      </c>
      <c r="C3" s="793"/>
      <c r="D3" s="794"/>
      <c r="E3" s="20"/>
      <c r="F3" s="851"/>
      <c r="G3" s="851"/>
      <c r="H3" s="851"/>
      <c r="I3" s="848" t="s">
        <v>72</v>
      </c>
      <c r="J3" s="848"/>
      <c r="K3" s="848"/>
      <c r="L3" s="848"/>
      <c r="M3" s="848"/>
      <c r="N3" s="848"/>
      <c r="O3" s="848"/>
      <c r="P3" s="848"/>
      <c r="Q3" s="848"/>
      <c r="R3" s="848"/>
      <c r="S3" s="848"/>
      <c r="T3" s="848"/>
      <c r="U3" s="850">
        <f ca="1">TODAY()</f>
        <v>46010</v>
      </c>
      <c r="V3" s="850"/>
      <c r="W3" s="850"/>
      <c r="X3" s="850"/>
      <c r="Y3" s="850"/>
      <c r="Z3" s="850"/>
      <c r="AA3" s="39"/>
    </row>
    <row r="4" spans="2:27" s="15" customFormat="1" ht="80.25" customHeight="1">
      <c r="B4" s="18" t="s">
        <v>2</v>
      </c>
      <c r="C4" s="18" t="s">
        <v>297</v>
      </c>
      <c r="D4" s="18" t="s">
        <v>1</v>
      </c>
      <c r="E4" s="18" t="s">
        <v>50</v>
      </c>
      <c r="F4" s="18" t="s">
        <v>55</v>
      </c>
      <c r="G4" s="18" t="s">
        <v>62</v>
      </c>
      <c r="H4" s="18" t="s">
        <v>64</v>
      </c>
      <c r="I4" s="18" t="s">
        <v>65</v>
      </c>
      <c r="J4" s="18" t="s">
        <v>147</v>
      </c>
      <c r="K4" s="18" t="s">
        <v>63</v>
      </c>
      <c r="L4" s="18" t="s">
        <v>58</v>
      </c>
      <c r="M4" s="795" t="s">
        <v>61</v>
      </c>
      <c r="N4" s="18">
        <v>45597</v>
      </c>
      <c r="O4" s="18">
        <v>45627</v>
      </c>
      <c r="P4" s="18">
        <v>45658</v>
      </c>
      <c r="Q4" s="18">
        <v>45689</v>
      </c>
      <c r="R4" s="18">
        <v>45717</v>
      </c>
      <c r="S4" s="18"/>
      <c r="T4" s="18">
        <v>45809</v>
      </c>
      <c r="U4" s="18">
        <v>45962</v>
      </c>
      <c r="V4" s="18">
        <v>45992</v>
      </c>
      <c r="W4" s="18">
        <v>46023</v>
      </c>
      <c r="X4" s="18">
        <v>46055</v>
      </c>
      <c r="Y4" s="18">
        <v>46084</v>
      </c>
      <c r="Z4" s="18">
        <v>46116</v>
      </c>
      <c r="AA4" s="324"/>
    </row>
    <row r="5" spans="2:27" s="15" customFormat="1" ht="80.25" customHeight="1">
      <c r="B5" s="796" t="s">
        <v>59</v>
      </c>
      <c r="C5" s="786" t="s">
        <v>122</v>
      </c>
      <c r="D5" s="797"/>
      <c r="E5" s="797"/>
      <c r="F5" s="346"/>
      <c r="G5" s="144">
        <f>'Summary I Tower'!G5+'Summary L1 Tower'!G5+'Summary L2 Tower'!G5</f>
        <v>2495608676</v>
      </c>
      <c r="H5" s="144">
        <v>2581111533</v>
      </c>
      <c r="I5" s="144"/>
      <c r="J5" s="346"/>
      <c r="K5" s="346">
        <f>'Summary I Tower'!K5+'Summary L1 Tower'!K5+'Summary L2 Tower'!K5</f>
        <v>0</v>
      </c>
      <c r="L5" s="741">
        <f>'Summary I Tower'!L5+'Summary L1 Tower'!L5+'Summary L2 Tower'!L5</f>
        <v>0</v>
      </c>
      <c r="M5" s="741" t="e">
        <f>'Summary I Tower'!M5+'Summary L1 Tower'!#REF!+'Summary L2 Tower'!#REF!</f>
        <v>#REF!</v>
      </c>
      <c r="N5" s="741" t="e">
        <f>'Summary I Tower'!N5+'Summary L1 Tower'!#REF!+'Summary L2 Tower'!#REF!</f>
        <v>#REF!</v>
      </c>
      <c r="O5" s="741" t="e">
        <f>'Summary I Tower'!O5+'Summary L1 Tower'!#REF!+'Summary L2 Tower'!#REF!</f>
        <v>#REF!</v>
      </c>
      <c r="P5" s="741" t="e">
        <f>'Summary I Tower'!P5+'Summary L1 Tower'!#REF!+'Summary L2 Tower'!#REF!</f>
        <v>#REF!</v>
      </c>
      <c r="Q5" s="741" t="e">
        <f>'Summary I Tower'!Q5+'Summary L1 Tower'!#REF!+'Summary L2 Tower'!#REF!</f>
        <v>#REF!</v>
      </c>
      <c r="R5" s="741" t="e">
        <f>'Summary I Tower'!R5+'Summary L1 Tower'!#REF!+'Summary L2 Tower'!#REF!</f>
        <v>#REF!</v>
      </c>
      <c r="S5" s="741"/>
      <c r="T5" s="144" t="e">
        <f>'Summary I Tower'!S5+'Summary L2 Tower'!#REF!+'Summary L1 Tower'!#REF!</f>
        <v>#REF!</v>
      </c>
      <c r="U5" s="144">
        <f>'Summary I Tower'!T5+'Summary L2 Tower'!M5+'Summary L1 Tower'!M5</f>
        <v>10562111</v>
      </c>
      <c r="V5" s="798"/>
      <c r="W5" s="798"/>
      <c r="X5" s="798"/>
      <c r="Y5" s="798"/>
      <c r="Z5" s="798"/>
      <c r="AA5" s="324"/>
    </row>
    <row r="6" spans="2:27" s="15" customFormat="1" ht="80.25" customHeight="1">
      <c r="B6" s="796" t="s">
        <v>251</v>
      </c>
      <c r="C6" s="786" t="s">
        <v>282</v>
      </c>
      <c r="D6" s="790"/>
      <c r="E6" s="790"/>
      <c r="F6" s="799">
        <f>60304169</f>
        <v>60304169</v>
      </c>
      <c r="G6" s="144">
        <f>'Approved Item-Actual'!C239</f>
        <v>51394568</v>
      </c>
      <c r="H6" s="144">
        <f>'Approved Item-Actual'!D239</f>
        <v>17120009.800000001</v>
      </c>
      <c r="I6" s="144">
        <f>'Approved Item-Actual'!E239</f>
        <v>34274558.200000003</v>
      </c>
      <c r="J6" s="800">
        <f>F6-G6</f>
        <v>8909601</v>
      </c>
      <c r="K6" s="790"/>
      <c r="L6" s="790"/>
      <c r="M6" s="790"/>
      <c r="N6" s="790"/>
      <c r="O6" s="790"/>
      <c r="P6" s="790"/>
      <c r="Q6" s="790"/>
      <c r="R6" s="790"/>
      <c r="S6" s="790"/>
      <c r="T6" s="790"/>
      <c r="U6" s="144">
        <f>'Approved Item-Actual'!G239</f>
        <v>15640589.399999999</v>
      </c>
      <c r="V6" s="144">
        <f>'Approved Item-Actual'!H239</f>
        <v>11066984.399999999</v>
      </c>
      <c r="W6" s="144">
        <f>'Approved Item-Actual'!I239</f>
        <v>7566983.96</v>
      </c>
      <c r="X6" s="798"/>
      <c r="Y6" s="798"/>
      <c r="Z6" s="798"/>
      <c r="AA6" s="324"/>
    </row>
    <row r="7" spans="2:27" s="15" customFormat="1" ht="80.25" customHeight="1">
      <c r="B7" s="796" t="s">
        <v>270</v>
      </c>
      <c r="C7" s="786" t="s">
        <v>271</v>
      </c>
      <c r="D7" s="790"/>
      <c r="E7" s="790"/>
      <c r="F7" s="799"/>
      <c r="G7" s="144">
        <f>'Approved Item-Actual'!C246</f>
        <v>67266238</v>
      </c>
      <c r="H7" s="144">
        <f>'Approved Item-Actual'!D246</f>
        <v>25816559.5</v>
      </c>
      <c r="I7" s="144">
        <f>'Approved Item-Actual'!E246</f>
        <v>49266238</v>
      </c>
      <c r="J7" s="800"/>
      <c r="K7" s="790"/>
      <c r="L7" s="790"/>
      <c r="M7" s="790"/>
      <c r="N7" s="790"/>
      <c r="O7" s="790"/>
      <c r="P7" s="790"/>
      <c r="Q7" s="790"/>
      <c r="R7" s="790"/>
      <c r="S7" s="790"/>
      <c r="T7" s="790"/>
      <c r="U7" s="144">
        <f>'Approved Item-Actual'!G246</f>
        <v>7816559.5</v>
      </c>
      <c r="V7" s="144">
        <f>'Approved Item-Actual'!H246</f>
        <v>30506495.200000003</v>
      </c>
      <c r="W7" s="144">
        <f>'Approved Item-Actual'!I246</f>
        <v>10943183.299999999</v>
      </c>
      <c r="X7" s="144"/>
      <c r="Y7" s="798"/>
      <c r="Z7" s="798"/>
      <c r="AA7" s="324"/>
    </row>
    <row r="8" spans="2:27" s="15" customFormat="1" ht="80.25" customHeight="1">
      <c r="B8" s="796" t="s">
        <v>272</v>
      </c>
      <c r="C8" s="791" t="s">
        <v>273</v>
      </c>
      <c r="D8" s="791"/>
      <c r="E8" s="791"/>
      <c r="F8" s="799">
        <v>131000000</v>
      </c>
      <c r="G8" s="741">
        <f>'Court Yard'!J22</f>
        <v>15932000</v>
      </c>
      <c r="H8" s="741">
        <f>13000000+5000000+9000000+2000000+6500000+9000000</f>
        <v>44500000</v>
      </c>
      <c r="I8" s="741">
        <f>G8-J8-H8</f>
        <v>-33518000</v>
      </c>
      <c r="J8" s="800">
        <v>4950000</v>
      </c>
      <c r="K8" s="790"/>
      <c r="L8" s="790"/>
      <c r="M8" s="790"/>
      <c r="N8" s="790"/>
      <c r="O8" s="790"/>
      <c r="P8" s="790"/>
      <c r="Q8" s="790"/>
      <c r="R8" s="790"/>
      <c r="S8" s="790"/>
      <c r="T8" s="790"/>
      <c r="U8" s="144"/>
      <c r="V8" s="144">
        <v>20000000</v>
      </c>
      <c r="W8" s="144">
        <v>5000000</v>
      </c>
      <c r="X8" s="144">
        <v>11000000</v>
      </c>
      <c r="Y8" s="144"/>
      <c r="Z8" s="144">
        <v>11000000</v>
      </c>
      <c r="AA8" s="324"/>
    </row>
    <row r="9" spans="2:27" s="15" customFormat="1" ht="33" customHeight="1">
      <c r="B9" s="801"/>
      <c r="C9" s="847"/>
      <c r="D9" s="847"/>
      <c r="E9" s="847"/>
      <c r="F9" s="847"/>
      <c r="G9" s="847"/>
      <c r="H9" s="847"/>
      <c r="I9" s="847"/>
      <c r="J9" s="847"/>
      <c r="K9" s="847"/>
      <c r="L9" s="847"/>
      <c r="M9" s="847"/>
      <c r="N9" s="847"/>
      <c r="O9" s="847"/>
      <c r="P9" s="847"/>
      <c r="Q9" s="847"/>
      <c r="R9" s="847"/>
      <c r="S9" s="847"/>
      <c r="T9" s="847"/>
      <c r="U9" s="847"/>
      <c r="V9" s="798"/>
      <c r="W9" s="798"/>
      <c r="X9" s="798"/>
      <c r="Y9" s="798"/>
      <c r="Z9" s="798"/>
      <c r="AA9" s="324"/>
    </row>
    <row r="10" spans="2:27" s="3" customFormat="1" ht="80.25" customHeight="1">
      <c r="B10" s="796" t="s">
        <v>66</v>
      </c>
      <c r="C10" s="802" t="s">
        <v>126</v>
      </c>
      <c r="D10" s="796"/>
      <c r="E10" s="803">
        <v>86456205</v>
      </c>
      <c r="F10" s="804"/>
      <c r="G10" s="144">
        <f>'Summary I Tower'!G7+'Summary L2 Tower'!G7+'Summary L1 Tower'!G7</f>
        <v>141508845</v>
      </c>
      <c r="H10" s="144">
        <f>'Summary I Tower'!H7+'Summary L2 Tower'!H7+'Summary L1 Tower'!H7</f>
        <v>128430940</v>
      </c>
      <c r="I10" s="144">
        <f>'Summary I Tower'!I7+'Summary L2 Tower'!I7+'Summary L1 Tower'!I7</f>
        <v>13077905</v>
      </c>
      <c r="J10" s="346"/>
      <c r="K10" s="346">
        <f>'Summary I Tower'!K7+'Summary L1 Tower'!K7+'Summary L2 Tower'!K7</f>
        <v>0</v>
      </c>
      <c r="L10" s="346" t="e">
        <f>'Summary I Tower'!L7+'Summary L1 Tower'!L7+'Summary L2 Tower'!L7</f>
        <v>#VALUE!</v>
      </c>
      <c r="M10" s="346" t="e">
        <f>'Summary I Tower'!M7+'Summary L1 Tower'!#REF!+'Summary L2 Tower'!#REF!</f>
        <v>#REF!</v>
      </c>
      <c r="N10" s="346" t="e">
        <f>'Summary I Tower'!N7+'Summary L1 Tower'!#REF!+'Summary L2 Tower'!#REF!</f>
        <v>#REF!</v>
      </c>
      <c r="O10" s="346" t="e">
        <f>'Summary I Tower'!O7+'Summary L1 Tower'!#REF!+'Summary L2 Tower'!#REF!</f>
        <v>#REF!</v>
      </c>
      <c r="P10" s="346" t="e">
        <f>'Summary I Tower'!P7+'Summary L1 Tower'!#REF!+'Summary L2 Tower'!#REF!</f>
        <v>#REF!</v>
      </c>
      <c r="Q10" s="346" t="e">
        <f>'Summary I Tower'!Q7+'Summary L1 Tower'!#REF!+'Summary L2 Tower'!#REF!</f>
        <v>#REF!</v>
      </c>
      <c r="R10" s="346" t="e">
        <f>'Summary I Tower'!R7+'Summary L1 Tower'!#REF!+'Summary L2 Tower'!#REF!</f>
        <v>#REF!</v>
      </c>
      <c r="S10" s="346" t="e">
        <f>'Summary L1 Tower'!#REF!+'Summary L2 Tower'!#REF!+6523569</f>
        <v>#REF!</v>
      </c>
      <c r="T10" s="144" t="e">
        <f>'Summary I Tower'!S7+'Summary L2 Tower'!#REF!+'Summary L1 Tower'!#REF!</f>
        <v>#REF!</v>
      </c>
      <c r="U10" s="144">
        <v>13077905</v>
      </c>
      <c r="V10" s="805"/>
      <c r="W10" s="805"/>
      <c r="X10" s="805"/>
      <c r="Y10" s="805"/>
      <c r="Z10" s="805"/>
      <c r="AA10" s="325"/>
    </row>
    <row r="11" spans="2:27" s="3" customFormat="1" ht="27" customHeight="1">
      <c r="B11" s="849"/>
      <c r="C11" s="849"/>
      <c r="D11" s="849"/>
      <c r="E11" s="849"/>
      <c r="F11" s="849"/>
      <c r="G11" s="849"/>
      <c r="H11" s="849"/>
      <c r="I11" s="849"/>
      <c r="J11" s="849"/>
      <c r="K11" s="849"/>
      <c r="L11" s="849"/>
      <c r="M11" s="849"/>
      <c r="N11" s="849"/>
      <c r="O11" s="849"/>
      <c r="P11" s="849"/>
      <c r="Q11" s="849"/>
      <c r="R11" s="849"/>
      <c r="S11" s="849"/>
      <c r="T11" s="849"/>
      <c r="U11" s="849"/>
      <c r="V11" s="849"/>
      <c r="W11" s="849"/>
      <c r="X11" s="849"/>
      <c r="Y11" s="849"/>
      <c r="Z11" s="849"/>
      <c r="AA11" s="325"/>
    </row>
    <row r="12" spans="2:27" s="1" customFormat="1" ht="74.25" customHeight="1">
      <c r="B12" s="806" t="s">
        <v>68</v>
      </c>
      <c r="C12" s="802" t="s">
        <v>127</v>
      </c>
      <c r="D12" s="806"/>
      <c r="E12" s="807"/>
      <c r="F12" s="741">
        <f>'Summary I Tower'!F9+'Summary L2 Tower'!F9+'Summary L1 Tower'!F9</f>
        <v>5034678556.7419815</v>
      </c>
      <c r="G12" s="144">
        <f>'Summary I Tower'!G9+'Summary L1 Tower'!G9+'Summary L2 Tower'!G9</f>
        <v>2172120342.4499998</v>
      </c>
      <c r="H12" s="144">
        <f>'Summary I Tower'!H9+'Summary L1 Tower'!H9+'Summary L2 Tower'!H9</f>
        <v>1104464840.8000002</v>
      </c>
      <c r="I12" s="144">
        <f>'I Finishes'!I82+'Summary L1 Tower'!I9+'Summary L2 Tower'!I9</f>
        <v>1055598930.65</v>
      </c>
      <c r="J12" s="741">
        <f>'I Finishes'!J82+'Summary L1 Tower'!J9+'Summary L2 Tower'!J9+J8+J6</f>
        <v>2548445666.5274</v>
      </c>
      <c r="K12" s="346">
        <f>'Summary I Tower'!K9+'Summary L1 Tower'!K9+'Summary L2 Tower'!K9</f>
        <v>0</v>
      </c>
      <c r="L12" s="144">
        <f>'Summary I Tower'!L9+'Summary L1 Tower'!L9+'Summary L2 Tower'!L9</f>
        <v>4382502</v>
      </c>
      <c r="M12" s="144" t="e">
        <f>'Summary I Tower'!M9+'Summary L1 Tower'!#REF!+'Summary L2 Tower'!#REF!</f>
        <v>#REF!</v>
      </c>
      <c r="N12" s="144" t="e">
        <f>'Summary I Tower'!N9+'Summary L1 Tower'!#REF!+'Summary L2 Tower'!#REF!</f>
        <v>#REF!</v>
      </c>
      <c r="O12" s="144" t="e">
        <f>'Summary I Tower'!O9+'Summary L1 Tower'!#REF!+'Summary L2 Tower'!#REF!</f>
        <v>#REF!</v>
      </c>
      <c r="P12" s="144" t="e">
        <f>'Summary I Tower'!P9+'Summary L1 Tower'!#REF!+'Summary L2 Tower'!#REF!</f>
        <v>#REF!</v>
      </c>
      <c r="Q12" s="144" t="e">
        <f>'Summary I Tower'!Q9+'Summary L1 Tower'!#REF!+'Summary L2 Tower'!#REF!</f>
        <v>#REF!</v>
      </c>
      <c r="R12" s="144" t="e">
        <f>'Summary I Tower'!R9+'Summary L1 Tower'!#REF!+'Summary L2 Tower'!#REF!</f>
        <v>#REF!</v>
      </c>
      <c r="S12" s="144" t="e">
        <f>'Summary I Tower'!#REF!+'Summary L1 Tower'!#REF!+'Summary L2 Tower'!#REF!+'L2 Finishes'!R6</f>
        <v>#REF!</v>
      </c>
      <c r="T12" s="144" t="e">
        <f>'Summary I Tower'!S9+'Summary L1 Tower'!#REF!+'Summary L2 Tower'!#REF!</f>
        <v>#REF!</v>
      </c>
      <c r="U12" s="144">
        <f>'Summary I Tower'!T9+'Summary L1 Tower'!M9+'Summary L2 Tower'!N9</f>
        <v>428124169.99405468</v>
      </c>
      <c r="V12" s="144">
        <f>'Summary I Tower'!U9+'Summary L1 Tower'!N9+'Summary L2 Tower'!O9</f>
        <v>466403035.61904669</v>
      </c>
      <c r="W12" s="144">
        <f>'Summary I Tower'!V9+'Summary L1 Tower'!O9+'Summary L2 Tower'!P9</f>
        <v>370416206.48636264</v>
      </c>
      <c r="X12" s="144">
        <f>'Summary I Tower'!W9+'Summary L1 Tower'!P9+'Summary L2 Tower'!Q9</f>
        <v>124731319.25957578</v>
      </c>
      <c r="Y12" s="144">
        <f>'Summary I Tower'!X9+'Summary L1 Tower'!Q9+'Summary L2 Tower'!R9</f>
        <v>1793266.33333333</v>
      </c>
      <c r="Z12" s="144">
        <f>'Summary I Tower'!Y9+'Summary L1 Tower'!R9+'Summary L2 Tower'!S9</f>
        <v>0</v>
      </c>
      <c r="AA12" s="39"/>
    </row>
    <row r="13" spans="2:27" s="1" customFormat="1" ht="31.5" customHeight="1">
      <c r="B13" s="794"/>
      <c r="C13" s="794"/>
      <c r="D13" s="794"/>
      <c r="E13" s="794"/>
      <c r="F13" s="794"/>
      <c r="G13" s="794"/>
      <c r="H13" s="794"/>
      <c r="I13" s="794"/>
      <c r="J13" s="794"/>
      <c r="K13" s="794"/>
      <c r="L13" s="794"/>
      <c r="M13" s="794"/>
      <c r="N13" s="794"/>
      <c r="O13" s="794"/>
      <c r="P13" s="794"/>
      <c r="Q13" s="794"/>
      <c r="R13" s="794"/>
      <c r="S13" s="794"/>
      <c r="T13" s="794"/>
      <c r="U13" s="794"/>
      <c r="V13" s="794"/>
      <c r="W13" s="794"/>
      <c r="X13" s="794"/>
      <c r="Y13" s="794"/>
      <c r="Z13" s="794"/>
      <c r="AA13" s="39"/>
    </row>
    <row r="14" spans="2:27" s="1" customFormat="1" ht="54" customHeight="1">
      <c r="B14" s="794"/>
      <c r="C14" s="846" t="s">
        <v>69</v>
      </c>
      <c r="D14" s="846"/>
      <c r="E14" s="347"/>
      <c r="F14" s="794"/>
      <c r="G14" s="144">
        <f>SUM(G5,G10,G6,G7,G8,G12)</f>
        <v>4943830669.4499998</v>
      </c>
      <c r="H14" s="144">
        <f t="shared" ref="H14:Y14" si="0">SUM(H5,H10,H6,H7,H8,H12)</f>
        <v>3901443883.1000004</v>
      </c>
      <c r="I14" s="144">
        <f t="shared" si="0"/>
        <v>1118699631.8499999</v>
      </c>
      <c r="J14" s="741">
        <f t="shared" si="0"/>
        <v>2562305267.5274</v>
      </c>
      <c r="K14" s="144">
        <f t="shared" si="0"/>
        <v>0</v>
      </c>
      <c r="L14" s="144" t="e">
        <f t="shared" si="0"/>
        <v>#VALUE!</v>
      </c>
      <c r="M14" s="144" t="e">
        <f t="shared" si="0"/>
        <v>#REF!</v>
      </c>
      <c r="N14" s="144" t="e">
        <f t="shared" si="0"/>
        <v>#REF!</v>
      </c>
      <c r="O14" s="144" t="e">
        <f t="shared" si="0"/>
        <v>#REF!</v>
      </c>
      <c r="P14" s="144" t="e">
        <f t="shared" si="0"/>
        <v>#REF!</v>
      </c>
      <c r="Q14" s="144" t="e">
        <f t="shared" si="0"/>
        <v>#REF!</v>
      </c>
      <c r="R14" s="144" t="e">
        <f t="shared" si="0"/>
        <v>#REF!</v>
      </c>
      <c r="S14" s="144" t="e">
        <f t="shared" si="0"/>
        <v>#REF!</v>
      </c>
      <c r="T14" s="144" t="e">
        <f t="shared" si="0"/>
        <v>#REF!</v>
      </c>
      <c r="U14" s="144">
        <f t="shared" si="0"/>
        <v>475221334.89405465</v>
      </c>
      <c r="V14" s="144">
        <f t="shared" si="0"/>
        <v>527976515.21904671</v>
      </c>
      <c r="W14" s="144">
        <f t="shared" si="0"/>
        <v>393926373.74636263</v>
      </c>
      <c r="X14" s="144">
        <f t="shared" si="0"/>
        <v>135731319.25957578</v>
      </c>
      <c r="Y14" s="144">
        <f t="shared" si="0"/>
        <v>1793266.33333333</v>
      </c>
      <c r="Z14" s="144">
        <f t="shared" ref="Z14" si="1">Z6+Z10+Z12+Z5</f>
        <v>0</v>
      </c>
      <c r="AA14" s="39"/>
    </row>
    <row r="15" spans="2:27" s="1" customFormat="1" ht="80.25" customHeight="1" thickBot="1">
      <c r="B15" s="794"/>
      <c r="C15" s="844" t="s">
        <v>274</v>
      </c>
      <c r="D15" s="844"/>
      <c r="E15" s="844"/>
      <c r="F15" s="844"/>
      <c r="G15" s="844"/>
      <c r="H15" s="844"/>
      <c r="I15" s="844"/>
      <c r="J15" s="844"/>
      <c r="K15" s="844"/>
      <c r="L15" s="844"/>
      <c r="M15" s="844"/>
      <c r="N15" s="844"/>
      <c r="O15" s="844"/>
      <c r="P15" s="844"/>
      <c r="Q15" s="844"/>
      <c r="R15" s="844"/>
      <c r="S15" s="844"/>
      <c r="T15" s="844"/>
      <c r="U15" s="844"/>
      <c r="V15" s="844"/>
      <c r="W15" s="844"/>
      <c r="X15" s="844"/>
      <c r="Y15" s="844"/>
      <c r="Z15" s="844"/>
      <c r="AA15" s="47"/>
    </row>
    <row r="16" spans="2:27" s="1" customFormat="1" ht="80.25" hidden="1" customHeight="1" thickBot="1">
      <c r="B16" s="78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>
        <f>2369350563-2552633529</f>
        <v>-183282966</v>
      </c>
      <c r="R16" s="79"/>
      <c r="S16" s="79"/>
      <c r="T16" s="79"/>
      <c r="U16" s="47"/>
      <c r="X16" s="39"/>
    </row>
    <row r="17" spans="2:24" s="1" customFormat="1" ht="19.5" thickBot="1">
      <c r="B17" s="30"/>
      <c r="C17" s="51"/>
      <c r="D17" s="51"/>
      <c r="E17" s="48"/>
      <c r="F17" s="48"/>
      <c r="G17" s="48"/>
      <c r="H17" s="48"/>
      <c r="I17" s="48"/>
      <c r="J17" s="48"/>
      <c r="K17" s="48"/>
      <c r="L17" s="48"/>
      <c r="M17" s="49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7"/>
    </row>
  </sheetData>
  <mergeCells count="9">
    <mergeCell ref="C15:Z15"/>
    <mergeCell ref="B2:U2"/>
    <mergeCell ref="C14:D14"/>
    <mergeCell ref="C9:U9"/>
    <mergeCell ref="I3:T3"/>
    <mergeCell ref="B11:Z11"/>
    <mergeCell ref="U3:Z3"/>
    <mergeCell ref="F3:H3"/>
    <mergeCell ref="V2:Z2"/>
  </mergeCells>
  <printOptions horizontalCentered="1"/>
  <pageMargins left="0.7" right="0.7" top="0.75" bottom="0.75" header="0.3" footer="0.3"/>
  <pageSetup paperSize="121" scale="6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181FC-07B4-4E80-ABAF-5D2A4C7E4D0F}">
  <sheetPr>
    <pageSetUpPr fitToPage="1"/>
  </sheetPr>
  <dimension ref="B1:X14"/>
  <sheetViews>
    <sheetView view="pageBreakPreview" zoomScale="60" zoomScaleNormal="100" workbookViewId="0">
      <selection activeCell="I5" sqref="I5"/>
    </sheetView>
  </sheetViews>
  <sheetFormatPr defaultRowHeight="15"/>
  <cols>
    <col min="2" max="2" width="16.85546875" customWidth="1"/>
    <col min="3" max="3" width="43.140625" customWidth="1"/>
    <col min="4" max="4" width="12.140625" customWidth="1"/>
    <col min="5" max="5" width="23.7109375" customWidth="1"/>
    <col min="6" max="6" width="28.42578125" customWidth="1"/>
    <col min="7" max="7" width="25.5703125" bestFit="1" customWidth="1"/>
    <col min="8" max="8" width="27.42578125" customWidth="1"/>
    <col min="9" max="11" width="28.85546875" customWidth="1"/>
    <col min="12" max="19" width="28.85546875" hidden="1" customWidth="1"/>
    <col min="20" max="24" width="28.85546875" customWidth="1"/>
  </cols>
  <sheetData>
    <row r="1" spans="2:24" ht="15.75" thickBot="1"/>
    <row r="2" spans="2:24" s="1" customFormat="1" ht="53.25" customHeight="1" thickBot="1">
      <c r="B2" s="23" t="s">
        <v>3</v>
      </c>
      <c r="C2" s="104"/>
      <c r="D2" s="24"/>
      <c r="E2" s="25"/>
      <c r="F2" s="25"/>
      <c r="G2" s="25"/>
      <c r="H2" s="25"/>
      <c r="I2" s="25"/>
      <c r="J2" s="25"/>
      <c r="K2" s="25"/>
      <c r="L2" s="26">
        <v>45483</v>
      </c>
      <c r="M2" s="27"/>
      <c r="N2" s="25"/>
      <c r="O2" s="25"/>
      <c r="P2" s="25"/>
      <c r="Q2" s="25"/>
      <c r="R2" s="25"/>
      <c r="S2" s="25"/>
      <c r="T2" s="25"/>
      <c r="U2" s="25"/>
      <c r="V2" s="25"/>
      <c r="W2" s="25"/>
      <c r="X2" s="38"/>
    </row>
    <row r="3" spans="2:24" s="1" customFormat="1" ht="27.75" customHeight="1" thickBot="1">
      <c r="B3" s="28" t="s">
        <v>254</v>
      </c>
      <c r="C3" s="105"/>
      <c r="D3" s="2"/>
      <c r="H3" s="860" t="s">
        <v>76</v>
      </c>
      <c r="I3" s="861"/>
      <c r="J3" s="861"/>
      <c r="K3" s="862"/>
      <c r="L3" s="634"/>
      <c r="M3" s="634"/>
      <c r="N3" s="634"/>
      <c r="O3" s="634"/>
      <c r="P3" s="634"/>
      <c r="Q3" s="634"/>
      <c r="R3" s="634"/>
      <c r="S3" s="634"/>
      <c r="T3" s="315"/>
      <c r="U3" s="858">
        <f ca="1">TODAY()</f>
        <v>46010</v>
      </c>
      <c r="V3" s="858"/>
      <c r="W3" s="858"/>
      <c r="X3" s="859"/>
    </row>
    <row r="4" spans="2:24" s="15" customFormat="1" ht="80.25" customHeight="1" thickBot="1">
      <c r="B4" s="34" t="s">
        <v>2</v>
      </c>
      <c r="C4" s="240" t="s">
        <v>297</v>
      </c>
      <c r="D4" s="240" t="s">
        <v>1</v>
      </c>
      <c r="E4" s="240" t="s">
        <v>50</v>
      </c>
      <c r="F4" s="240" t="s">
        <v>55</v>
      </c>
      <c r="G4" s="240" t="s">
        <v>62</v>
      </c>
      <c r="H4" s="240" t="s">
        <v>64</v>
      </c>
      <c r="I4" s="240" t="s">
        <v>65</v>
      </c>
      <c r="J4" s="240" t="s">
        <v>146</v>
      </c>
      <c r="K4" s="240" t="s">
        <v>63</v>
      </c>
      <c r="L4" s="240" t="s">
        <v>58</v>
      </c>
      <c r="M4" s="241" t="s">
        <v>61</v>
      </c>
      <c r="N4" s="240">
        <v>45627</v>
      </c>
      <c r="O4" s="240">
        <v>45658</v>
      </c>
      <c r="P4" s="240">
        <v>45689</v>
      </c>
      <c r="Q4" s="240">
        <v>45717</v>
      </c>
      <c r="R4" s="240">
        <v>45748</v>
      </c>
      <c r="S4" s="240">
        <v>45809</v>
      </c>
      <c r="T4" s="345">
        <v>45962</v>
      </c>
      <c r="U4" s="240">
        <v>45992</v>
      </c>
      <c r="V4" s="345">
        <v>46023</v>
      </c>
      <c r="W4" s="345">
        <v>46054</v>
      </c>
      <c r="X4" s="647">
        <v>46082</v>
      </c>
    </row>
    <row r="5" spans="2:24" s="15" customFormat="1" ht="80.25" customHeight="1" thickBot="1">
      <c r="B5" s="344" t="s">
        <v>59</v>
      </c>
      <c r="C5" s="231" t="s">
        <v>67</v>
      </c>
      <c r="D5" s="90"/>
      <c r="E5" s="90"/>
      <c r="F5" s="33"/>
      <c r="G5" s="218">
        <v>1095058864</v>
      </c>
      <c r="H5" s="218">
        <f>1075105541+4500000+5453323+1464003</f>
        <v>1086522867</v>
      </c>
      <c r="I5" s="218">
        <f>G5-H5</f>
        <v>8535997</v>
      </c>
      <c r="J5" s="33"/>
      <c r="K5" s="90"/>
      <c r="L5" s="35"/>
      <c r="M5" s="36"/>
      <c r="N5" s="213"/>
      <c r="O5" s="213"/>
      <c r="P5" s="213"/>
      <c r="Q5" s="213"/>
      <c r="R5" s="213"/>
      <c r="S5" s="225"/>
      <c r="T5" s="218">
        <v>3539864</v>
      </c>
      <c r="U5" s="865"/>
      <c r="V5" s="866"/>
      <c r="W5" s="866"/>
      <c r="X5" s="867"/>
    </row>
    <row r="6" spans="2:24" s="15" customFormat="1" ht="33" customHeight="1" thickBot="1">
      <c r="B6" s="294"/>
      <c r="C6" s="868"/>
      <c r="D6" s="869"/>
      <c r="E6" s="869"/>
      <c r="F6" s="869"/>
      <c r="G6" s="869"/>
      <c r="H6" s="869"/>
      <c r="I6" s="869"/>
      <c r="J6" s="869"/>
      <c r="K6" s="869"/>
      <c r="L6" s="869"/>
      <c r="M6" s="869"/>
      <c r="N6" s="869"/>
      <c r="O6" s="869"/>
      <c r="P6" s="869"/>
      <c r="Q6" s="869"/>
      <c r="R6" s="869"/>
      <c r="S6" s="869"/>
      <c r="T6" s="869"/>
      <c r="U6" s="869"/>
      <c r="V6" s="869"/>
      <c r="W6" s="869"/>
      <c r="X6" s="870"/>
    </row>
    <row r="7" spans="2:24" s="3" customFormat="1" ht="80.25" customHeight="1" thickBot="1">
      <c r="B7" s="119" t="s">
        <v>66</v>
      </c>
      <c r="C7" s="231" t="s">
        <v>53</v>
      </c>
      <c r="D7" s="95"/>
      <c r="E7" s="106">
        <v>86456205</v>
      </c>
      <c r="F7" s="107">
        <v>64000000</v>
      </c>
      <c r="G7" s="218">
        <v>52883243</v>
      </c>
      <c r="H7" s="218">
        <f>'I Finishes'!H6</f>
        <v>48820745</v>
      </c>
      <c r="I7" s="218">
        <f>G7-H7</f>
        <v>4062498</v>
      </c>
      <c r="J7" s="33"/>
      <c r="K7" s="221"/>
      <c r="L7" s="213" t="s">
        <v>60</v>
      </c>
      <c r="M7" s="222">
        <v>0.38832333665351149</v>
      </c>
      <c r="N7" s="213">
        <f>'I Finishes'!N6</f>
        <v>0</v>
      </c>
      <c r="O7" s="213">
        <f>'I Finishes'!O6</f>
        <v>0</v>
      </c>
      <c r="P7" s="213">
        <f>'I Finishes'!P6</f>
        <v>0</v>
      </c>
      <c r="Q7" s="213"/>
      <c r="R7" s="348"/>
      <c r="S7" s="225"/>
      <c r="T7" s="232">
        <v>4062498</v>
      </c>
      <c r="U7" s="869"/>
      <c r="V7" s="869"/>
      <c r="W7" s="869"/>
      <c r="X7" s="870"/>
    </row>
    <row r="8" spans="2:24" s="3" customFormat="1" ht="27" customHeight="1" thickBot="1">
      <c r="B8" s="297"/>
      <c r="C8" s="871"/>
      <c r="D8" s="872"/>
      <c r="E8" s="872"/>
      <c r="F8" s="872"/>
      <c r="G8" s="872"/>
      <c r="H8" s="872"/>
      <c r="I8" s="872"/>
      <c r="J8" s="872"/>
      <c r="K8" s="872"/>
      <c r="L8" s="872"/>
      <c r="M8" s="872"/>
      <c r="N8" s="872"/>
      <c r="O8" s="872"/>
      <c r="P8" s="872"/>
      <c r="Q8" s="872"/>
      <c r="R8" s="872"/>
      <c r="S8" s="872"/>
      <c r="T8" s="872"/>
      <c r="U8" s="872"/>
      <c r="V8" s="872"/>
      <c r="W8" s="872"/>
      <c r="X8" s="873"/>
    </row>
    <row r="9" spans="2:24" s="1" customFormat="1" ht="74.25" customHeight="1" thickBot="1">
      <c r="B9" s="210" t="s">
        <v>68</v>
      </c>
      <c r="C9" s="231" t="s">
        <v>4</v>
      </c>
      <c r="D9" s="108"/>
      <c r="E9" s="109"/>
      <c r="F9" s="220">
        <f>'I Finishes'!F82</f>
        <v>2295948450.1419821</v>
      </c>
      <c r="G9" s="218">
        <f>'I Finishes'!G82</f>
        <v>1591289242</v>
      </c>
      <c r="H9" s="218">
        <f>'I Finishes'!H82</f>
        <v>926366213.70000005</v>
      </c>
      <c r="I9" s="218">
        <f>'I Finishes'!I82</f>
        <v>666240492.29999995</v>
      </c>
      <c r="J9" s="220">
        <f>'I Finishes'!J82</f>
        <v>459703934.9774</v>
      </c>
      <c r="K9" s="33"/>
      <c r="L9" s="110">
        <v>1460834</v>
      </c>
      <c r="M9" s="110">
        <v>37.517878708638968</v>
      </c>
      <c r="N9" s="213" t="e">
        <f>'I Finishes'!#REF!</f>
        <v>#REF!</v>
      </c>
      <c r="O9" s="213" t="e">
        <f>'I Finishes'!#REF!</f>
        <v>#REF!</v>
      </c>
      <c r="P9" s="213"/>
      <c r="Q9" s="213"/>
      <c r="R9" s="213"/>
      <c r="S9" s="225"/>
      <c r="T9" s="218">
        <f>'I Finishes'!V82</f>
        <v>337713902.84405464</v>
      </c>
      <c r="U9" s="218">
        <f>'I Finishes'!W82</f>
        <v>355266076.58443129</v>
      </c>
      <c r="V9" s="218">
        <f>'I Finishes'!X82</f>
        <v>299975038.8363626</v>
      </c>
      <c r="W9" s="218">
        <f>'I Finishes'!Y82</f>
        <v>89399782.192909122</v>
      </c>
      <c r="X9" s="226">
        <f>'I Finishes'!Z82</f>
        <v>0</v>
      </c>
    </row>
    <row r="10" spans="2:24" s="1" customFormat="1" ht="31.5" customHeight="1" thickBot="1">
      <c r="B10" s="29"/>
      <c r="C10" s="645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  <c r="S10" s="209"/>
      <c r="T10" s="209"/>
      <c r="U10" s="209"/>
      <c r="V10" s="209"/>
      <c r="W10" s="209"/>
      <c r="X10" s="644"/>
    </row>
    <row r="11" spans="2:24" s="1" customFormat="1" ht="80.25" customHeight="1" thickBot="1">
      <c r="B11" s="29"/>
      <c r="C11" s="863" t="s">
        <v>69</v>
      </c>
      <c r="D11" s="864"/>
      <c r="E11" s="111"/>
      <c r="F11" s="112"/>
      <c r="G11" s="218">
        <f>SUM(G5,G7,G9)</f>
        <v>2739231349</v>
      </c>
      <c r="H11" s="218">
        <f t="shared" ref="H11:X11" si="0">SUM(H5,H7,H9)</f>
        <v>2061709825.7</v>
      </c>
      <c r="I11" s="218">
        <f t="shared" si="0"/>
        <v>678838987.29999995</v>
      </c>
      <c r="J11" s="220">
        <f t="shared" si="0"/>
        <v>459703934.9774</v>
      </c>
      <c r="K11" s="33">
        <f t="shared" si="0"/>
        <v>0</v>
      </c>
      <c r="L11" s="33">
        <f t="shared" si="0"/>
        <v>1460834</v>
      </c>
      <c r="M11" s="33">
        <f t="shared" si="0"/>
        <v>37.906202045292481</v>
      </c>
      <c r="N11" s="33" t="e">
        <f t="shared" si="0"/>
        <v>#REF!</v>
      </c>
      <c r="O11" s="33" t="e">
        <f t="shared" si="0"/>
        <v>#REF!</v>
      </c>
      <c r="P11" s="33">
        <f t="shared" si="0"/>
        <v>0</v>
      </c>
      <c r="Q11" s="33">
        <f t="shared" si="0"/>
        <v>0</v>
      </c>
      <c r="R11" s="33">
        <f t="shared" si="0"/>
        <v>0</v>
      </c>
      <c r="S11" s="218"/>
      <c r="T11" s="218">
        <f t="shared" si="0"/>
        <v>345316264.84405464</v>
      </c>
      <c r="U11" s="218">
        <f t="shared" si="0"/>
        <v>355266076.58443129</v>
      </c>
      <c r="V11" s="232">
        <f t="shared" si="0"/>
        <v>299975038.8363626</v>
      </c>
      <c r="W11" s="232">
        <f t="shared" si="0"/>
        <v>89399782.192909122</v>
      </c>
      <c r="X11" s="232">
        <f t="shared" si="0"/>
        <v>0</v>
      </c>
    </row>
    <row r="12" spans="2:24" s="1" customFormat="1" ht="80.25" customHeight="1" thickBot="1">
      <c r="B12" s="30"/>
      <c r="C12" s="855"/>
      <c r="D12" s="856"/>
      <c r="E12" s="856"/>
      <c r="F12" s="856"/>
      <c r="G12" s="856"/>
      <c r="H12" s="856"/>
      <c r="I12" s="856"/>
      <c r="J12" s="856"/>
      <c r="K12" s="856"/>
      <c r="L12" s="856"/>
      <c r="M12" s="856"/>
      <c r="N12" s="856"/>
      <c r="O12" s="856"/>
      <c r="P12" s="856"/>
      <c r="Q12" s="856"/>
      <c r="R12" s="856"/>
      <c r="S12" s="856"/>
      <c r="T12" s="856"/>
      <c r="U12" s="856"/>
      <c r="V12" s="856"/>
      <c r="W12" s="856"/>
      <c r="X12" s="857"/>
    </row>
    <row r="13" spans="2:24" s="1" customFormat="1" ht="80.25" customHeight="1" thickBot="1">
      <c r="B13" s="30"/>
      <c r="C13" s="31"/>
      <c r="D13" s="31"/>
      <c r="E13" s="31"/>
      <c r="F13" s="31"/>
      <c r="G13" s="31"/>
      <c r="H13" s="31"/>
      <c r="I13" s="41"/>
      <c r="J13" s="41"/>
      <c r="K13" s="31"/>
      <c r="L13" s="31"/>
      <c r="M13" s="31"/>
      <c r="N13" s="31"/>
      <c r="O13" s="31"/>
      <c r="P13" s="31"/>
      <c r="Q13" s="31"/>
      <c r="R13" s="31"/>
      <c r="S13" s="94"/>
      <c r="T13" s="47"/>
      <c r="U13" s="47"/>
    </row>
    <row r="14" spans="2:24" s="1" customFormat="1" ht="18.75">
      <c r="B14" s="2"/>
      <c r="C14" s="2"/>
      <c r="D14" s="2"/>
      <c r="M14" s="16"/>
    </row>
  </sheetData>
  <mergeCells count="8">
    <mergeCell ref="C12:X12"/>
    <mergeCell ref="U3:X3"/>
    <mergeCell ref="H3:K3"/>
    <mergeCell ref="C11:D11"/>
    <mergeCell ref="U5:X5"/>
    <mergeCell ref="C6:X6"/>
    <mergeCell ref="U7:X7"/>
    <mergeCell ref="C8:X8"/>
  </mergeCells>
  <conditionalFormatting sqref="M7">
    <cfRule type="cellIs" dxfId="4" priority="1" operator="lessThan">
      <formula>0</formula>
    </cfRule>
  </conditionalFormatting>
  <printOptions horizontalCentered="1"/>
  <pageMargins left="0.7" right="0.7" top="0.75" bottom="0.75" header="0.3" footer="0.3"/>
  <pageSetup paperSize="121" scale="6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8E931-9705-40A5-9F12-2DFD58C6C1EC}">
  <sheetPr>
    <pageSetUpPr fitToPage="1"/>
  </sheetPr>
  <dimension ref="B1:Q14"/>
  <sheetViews>
    <sheetView view="pageBreakPreview" zoomScale="60" zoomScaleNormal="100" workbookViewId="0">
      <selection activeCell="E4" sqref="E4"/>
    </sheetView>
  </sheetViews>
  <sheetFormatPr defaultRowHeight="15"/>
  <cols>
    <col min="2" max="2" width="16.85546875" customWidth="1"/>
    <col min="3" max="3" width="43.140625" customWidth="1"/>
    <col min="4" max="4" width="12.140625" customWidth="1"/>
    <col min="5" max="5" width="23.7109375" customWidth="1"/>
    <col min="6" max="6" width="28.42578125" customWidth="1"/>
    <col min="7" max="11" width="29" customWidth="1"/>
    <col min="12" max="12" width="29" hidden="1" customWidth="1"/>
    <col min="13" max="17" width="29" customWidth="1"/>
  </cols>
  <sheetData>
    <row r="1" spans="2:17" ht="15.75" thickBot="1"/>
    <row r="2" spans="2:17" s="1" customFormat="1" ht="54" customHeight="1" thickBot="1">
      <c r="B2" s="23" t="s">
        <v>3</v>
      </c>
      <c r="C2" s="24"/>
      <c r="D2" s="24"/>
      <c r="E2" s="25"/>
      <c r="F2" s="25"/>
      <c r="G2" s="25"/>
      <c r="H2" s="25"/>
      <c r="I2" s="25"/>
      <c r="J2" s="25"/>
      <c r="K2" s="25"/>
      <c r="L2" s="26">
        <v>45483</v>
      </c>
      <c r="M2" s="25"/>
      <c r="N2" s="25"/>
      <c r="O2" s="25"/>
      <c r="P2" s="25"/>
      <c r="Q2" s="38"/>
    </row>
    <row r="3" spans="2:17" s="1" customFormat="1" ht="27.75" customHeight="1" thickBot="1">
      <c r="B3" s="28" t="s">
        <v>254</v>
      </c>
      <c r="C3" s="327"/>
      <c r="D3" s="2"/>
      <c r="I3" s="876" t="s">
        <v>74</v>
      </c>
      <c r="J3" s="877"/>
      <c r="K3" s="877"/>
      <c r="L3" s="877"/>
      <c r="M3" s="878"/>
      <c r="N3" s="315"/>
      <c r="O3" s="315"/>
      <c r="P3" s="858">
        <f ca="1">TODAY()</f>
        <v>46010</v>
      </c>
      <c r="Q3" s="859"/>
    </row>
    <row r="4" spans="2:17" s="15" customFormat="1" ht="80.25" customHeight="1" thickBot="1">
      <c r="B4" s="34" t="s">
        <v>2</v>
      </c>
      <c r="C4" s="35" t="s">
        <v>297</v>
      </c>
      <c r="D4" s="35" t="s">
        <v>1</v>
      </c>
      <c r="E4" s="35" t="s">
        <v>50</v>
      </c>
      <c r="F4" s="35" t="s">
        <v>55</v>
      </c>
      <c r="G4" s="35" t="s">
        <v>62</v>
      </c>
      <c r="H4" s="35" t="s">
        <v>64</v>
      </c>
      <c r="I4" s="35" t="s">
        <v>65</v>
      </c>
      <c r="J4" s="35" t="s">
        <v>147</v>
      </c>
      <c r="K4" s="35" t="s">
        <v>63</v>
      </c>
      <c r="L4" s="35" t="s">
        <v>58</v>
      </c>
      <c r="M4" s="35">
        <v>45962</v>
      </c>
      <c r="N4" s="35">
        <v>45992</v>
      </c>
      <c r="O4" s="214">
        <v>46023</v>
      </c>
      <c r="P4" s="34">
        <v>46054</v>
      </c>
      <c r="Q4" s="37">
        <v>46082</v>
      </c>
    </row>
    <row r="5" spans="2:17" s="15" customFormat="1" ht="80.25" customHeight="1" thickBot="1">
      <c r="B5" s="91" t="s">
        <v>59</v>
      </c>
      <c r="C5" s="228" t="s">
        <v>67</v>
      </c>
      <c r="D5" s="92"/>
      <c r="E5" s="92"/>
      <c r="F5" s="93"/>
      <c r="G5" s="229">
        <f>H5+I5</f>
        <v>696162769</v>
      </c>
      <c r="H5" s="229">
        <f>649815453+18864933+20000000+4000000</f>
        <v>692680386</v>
      </c>
      <c r="I5" s="229">
        <v>3482383</v>
      </c>
      <c r="J5" s="93"/>
      <c r="K5" s="93"/>
      <c r="L5" s="643"/>
      <c r="M5" s="306">
        <v>3482383</v>
      </c>
      <c r="N5" s="305"/>
      <c r="O5" s="305"/>
      <c r="P5" s="646"/>
      <c r="Q5" s="325"/>
    </row>
    <row r="6" spans="2:17" s="15" customFormat="1" ht="33" customHeight="1" thickBot="1">
      <c r="B6" s="296"/>
      <c r="C6" s="868"/>
      <c r="D6" s="869"/>
      <c r="E6" s="869"/>
      <c r="F6" s="869"/>
      <c r="G6" s="869"/>
      <c r="H6" s="869"/>
      <c r="I6" s="869"/>
      <c r="J6" s="869"/>
      <c r="K6" s="869"/>
      <c r="L6" s="869"/>
      <c r="M6" s="869"/>
      <c r="N6" s="869"/>
      <c r="O6" s="869"/>
      <c r="P6" s="869"/>
      <c r="Q6" s="870"/>
    </row>
    <row r="7" spans="2:17" s="3" customFormat="1" ht="80.25" customHeight="1" thickBot="1">
      <c r="B7" s="119" t="s">
        <v>66</v>
      </c>
      <c r="C7" s="231" t="s">
        <v>70</v>
      </c>
      <c r="D7" s="95"/>
      <c r="E7" s="106">
        <v>86456205</v>
      </c>
      <c r="F7" s="107">
        <v>64000000</v>
      </c>
      <c r="G7" s="218">
        <v>40291143</v>
      </c>
      <c r="H7" s="218">
        <f>'L1 Finishes'!H4</f>
        <v>35449591</v>
      </c>
      <c r="I7" s="218">
        <f>G7-H7</f>
        <v>4841552</v>
      </c>
      <c r="J7" s="33"/>
      <c r="K7" s="221"/>
      <c r="L7" s="706"/>
      <c r="M7" s="230">
        <v>4841552</v>
      </c>
      <c r="N7" s="882"/>
      <c r="O7" s="883"/>
      <c r="P7" s="883"/>
      <c r="Q7" s="884"/>
    </row>
    <row r="8" spans="2:17" s="3" customFormat="1" ht="27" customHeight="1" thickBot="1">
      <c r="B8" s="297"/>
      <c r="C8" s="871"/>
      <c r="D8" s="872"/>
      <c r="E8" s="872"/>
      <c r="F8" s="872"/>
      <c r="G8" s="872"/>
      <c r="H8" s="872"/>
      <c r="I8" s="872"/>
      <c r="J8" s="872"/>
      <c r="K8" s="872"/>
      <c r="L8" s="872"/>
      <c r="M8" s="872"/>
      <c r="N8" s="872"/>
      <c r="O8" s="872"/>
      <c r="P8" s="872"/>
      <c r="Q8" s="873"/>
    </row>
    <row r="9" spans="2:17" s="1" customFormat="1" ht="74.25" customHeight="1" thickBot="1">
      <c r="B9" s="210" t="s">
        <v>68</v>
      </c>
      <c r="C9" s="231" t="s">
        <v>71</v>
      </c>
      <c r="D9" s="211"/>
      <c r="E9" s="212"/>
      <c r="F9" s="220">
        <f>'L1 Finishes'!F77</f>
        <v>1430180283.5999999</v>
      </c>
      <c r="G9" s="218">
        <f>'L1 Finishes'!G77</f>
        <v>341560587</v>
      </c>
      <c r="H9" s="218">
        <f>'L1 Finishes'!H77</f>
        <v>146778021.09999999</v>
      </c>
      <c r="I9" s="218">
        <f>'L1 Finishes'!I77</f>
        <v>181408530.90000001</v>
      </c>
      <c r="J9" s="220">
        <f>'L1 Finishes'!J77</f>
        <v>991071164</v>
      </c>
      <c r="K9" s="33"/>
      <c r="L9" s="110">
        <v>1460834</v>
      </c>
      <c r="M9" s="218">
        <f>'L1 Finishes'!P77</f>
        <v>47266939.783333331</v>
      </c>
      <c r="N9" s="218">
        <f>'L1 Finishes'!Q77</f>
        <v>60059631.667948715</v>
      </c>
      <c r="O9" s="218">
        <f>'L1 Finishes'!R77</f>
        <v>25946458.916666664</v>
      </c>
      <c r="P9" s="218">
        <f>'L1 Finishes'!S77</f>
        <v>6667630</v>
      </c>
      <c r="Q9" s="232">
        <f>'L1 Finishes'!T77</f>
        <v>1793266.33333333</v>
      </c>
    </row>
    <row r="10" spans="2:17" s="1" customFormat="1" ht="31.5" customHeight="1" thickBot="1">
      <c r="B10" s="29"/>
      <c r="C10" s="879"/>
      <c r="D10" s="880"/>
      <c r="E10" s="880"/>
      <c r="F10" s="880"/>
      <c r="G10" s="880"/>
      <c r="H10" s="880"/>
      <c r="I10" s="880"/>
      <c r="J10" s="880"/>
      <c r="K10" s="880"/>
      <c r="L10" s="880"/>
      <c r="M10" s="880"/>
      <c r="N10" s="880"/>
      <c r="O10" s="880"/>
      <c r="P10" s="880"/>
      <c r="Q10" s="881"/>
    </row>
    <row r="11" spans="2:17" s="1" customFormat="1" ht="80.25" customHeight="1" thickBot="1">
      <c r="B11" s="29"/>
      <c r="C11" s="874" t="s">
        <v>69</v>
      </c>
      <c r="D11" s="875"/>
      <c r="E11" s="32"/>
      <c r="F11" s="209"/>
      <c r="G11" s="218">
        <f>SUM(G5,G7,G9)</f>
        <v>1078014499</v>
      </c>
      <c r="H11" s="218">
        <f t="shared" ref="H11:Q11" si="0">SUM(H5,H7,H9)</f>
        <v>874907998.10000002</v>
      </c>
      <c r="I11" s="218">
        <f t="shared" si="0"/>
        <v>189732465.90000001</v>
      </c>
      <c r="J11" s="220">
        <f>J9</f>
        <v>991071164</v>
      </c>
      <c r="K11" s="33">
        <f t="shared" si="0"/>
        <v>0</v>
      </c>
      <c r="L11" s="33">
        <f t="shared" si="0"/>
        <v>1460834</v>
      </c>
      <c r="M11" s="218">
        <f t="shared" si="0"/>
        <v>55590874.783333331</v>
      </c>
      <c r="N11" s="218">
        <f t="shared" si="0"/>
        <v>60059631.667948715</v>
      </c>
      <c r="O11" s="218">
        <f t="shared" si="0"/>
        <v>25946458.916666664</v>
      </c>
      <c r="P11" s="218">
        <f t="shared" si="0"/>
        <v>6667630</v>
      </c>
      <c r="Q11" s="232">
        <f t="shared" si="0"/>
        <v>1793266.33333333</v>
      </c>
    </row>
    <row r="12" spans="2:17" s="1" customFormat="1" ht="80.25" customHeight="1" thickBot="1">
      <c r="B12" s="30"/>
      <c r="C12" s="855"/>
      <c r="D12" s="856"/>
      <c r="E12" s="856"/>
      <c r="F12" s="856"/>
      <c r="G12" s="856"/>
      <c r="H12" s="856"/>
      <c r="I12" s="856"/>
      <c r="J12" s="856"/>
      <c r="K12" s="856"/>
      <c r="L12" s="856"/>
      <c r="M12" s="856"/>
      <c r="N12" s="856"/>
      <c r="O12" s="856"/>
      <c r="P12" s="856"/>
      <c r="Q12" s="857"/>
    </row>
    <row r="13" spans="2:17" s="1" customFormat="1" ht="80.25" customHeight="1" thickBot="1">
      <c r="B13" s="30"/>
      <c r="C13" s="31"/>
      <c r="D13" s="31"/>
      <c r="E13" s="31"/>
      <c r="F13" s="31"/>
      <c r="G13" s="31"/>
      <c r="H13" s="31"/>
      <c r="I13" s="41"/>
      <c r="J13" s="41"/>
      <c r="K13" s="31"/>
      <c r="L13" s="31"/>
      <c r="M13" s="103"/>
      <c r="N13" s="80"/>
      <c r="O13" s="48"/>
      <c r="P13" s="47"/>
    </row>
    <row r="14" spans="2:17" s="1" customFormat="1" ht="18.75">
      <c r="B14" s="2"/>
      <c r="C14" s="2"/>
      <c r="D14" s="2"/>
    </row>
  </sheetData>
  <mergeCells count="8">
    <mergeCell ref="C11:D11"/>
    <mergeCell ref="I3:M3"/>
    <mergeCell ref="C10:Q10"/>
    <mergeCell ref="C8:Q8"/>
    <mergeCell ref="C12:Q12"/>
    <mergeCell ref="C6:Q6"/>
    <mergeCell ref="N7:Q7"/>
    <mergeCell ref="P3:Q3"/>
  </mergeCells>
  <printOptions horizontalCentered="1"/>
  <pageMargins left="0.25" right="0.25" top="0.75" bottom="0.75" header="0.3" footer="0.3"/>
  <pageSetup paperSize="121" scale="6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561A8-E0D0-4BB1-BC9E-417A40F8771B}">
  <sheetPr>
    <pageSetUpPr fitToPage="1"/>
  </sheetPr>
  <dimension ref="B1:Q14"/>
  <sheetViews>
    <sheetView view="pageBreakPreview" zoomScale="60" zoomScaleNormal="100" workbookViewId="0">
      <selection activeCell="C12" sqref="C12:Q12"/>
    </sheetView>
  </sheetViews>
  <sheetFormatPr defaultRowHeight="15"/>
  <cols>
    <col min="2" max="2" width="16.85546875" customWidth="1"/>
    <col min="3" max="3" width="43.140625" customWidth="1"/>
    <col min="4" max="4" width="12.140625" customWidth="1"/>
    <col min="5" max="5" width="23.7109375" hidden="1" customWidth="1"/>
    <col min="6" max="6" width="28.42578125" customWidth="1"/>
    <col min="7" max="11" width="28.85546875" customWidth="1"/>
    <col min="12" max="12" width="28.85546875" hidden="1" customWidth="1"/>
    <col min="13" max="17" width="28.85546875" customWidth="1"/>
  </cols>
  <sheetData>
    <row r="1" spans="2:17" ht="15.75" thickBot="1"/>
    <row r="2" spans="2:17" s="1" customFormat="1" ht="53.25" customHeight="1" thickBot="1">
      <c r="B2" s="23" t="s">
        <v>3</v>
      </c>
      <c r="C2" s="24"/>
      <c r="D2" s="24"/>
      <c r="E2" s="25"/>
      <c r="F2" s="25"/>
      <c r="G2" s="25"/>
      <c r="H2" s="25"/>
      <c r="I2" s="25"/>
      <c r="J2" s="25"/>
      <c r="K2" s="25"/>
      <c r="L2" s="26"/>
      <c r="M2" s="299"/>
      <c r="N2" s="299"/>
      <c r="O2" s="299"/>
      <c r="P2" s="25"/>
      <c r="Q2" s="38"/>
    </row>
    <row r="3" spans="2:17" s="1" customFormat="1" ht="27.75" customHeight="1" thickBot="1">
      <c r="B3" s="28" t="s">
        <v>254</v>
      </c>
      <c r="C3" s="327"/>
      <c r="D3" s="2"/>
      <c r="I3" s="860" t="s">
        <v>75</v>
      </c>
      <c r="J3" s="861"/>
      <c r="K3" s="861"/>
      <c r="L3" s="862"/>
      <c r="M3" s="328"/>
      <c r="N3" s="328"/>
      <c r="O3" s="328"/>
      <c r="Q3" s="707">
        <f ca="1">TODAY()</f>
        <v>46010</v>
      </c>
    </row>
    <row r="4" spans="2:17" s="15" customFormat="1" ht="80.25" customHeight="1" thickBot="1">
      <c r="B4" s="239" t="s">
        <v>2</v>
      </c>
      <c r="C4" s="240" t="s">
        <v>297</v>
      </c>
      <c r="D4" s="240" t="s">
        <v>1</v>
      </c>
      <c r="E4" s="240" t="s">
        <v>50</v>
      </c>
      <c r="F4" s="240" t="s">
        <v>55</v>
      </c>
      <c r="G4" s="240" t="s">
        <v>62</v>
      </c>
      <c r="H4" s="240" t="s">
        <v>64</v>
      </c>
      <c r="I4" s="240" t="s">
        <v>65</v>
      </c>
      <c r="J4" s="240" t="s">
        <v>147</v>
      </c>
      <c r="K4" s="240" t="s">
        <v>63</v>
      </c>
      <c r="L4" s="240" t="s">
        <v>58</v>
      </c>
      <c r="M4" s="58">
        <v>45962</v>
      </c>
      <c r="N4" s="240">
        <v>45992</v>
      </c>
      <c r="O4" s="58">
        <v>46023</v>
      </c>
      <c r="P4" s="240">
        <v>46054</v>
      </c>
      <c r="Q4" s="58">
        <v>46082</v>
      </c>
    </row>
    <row r="5" spans="2:17" s="15" customFormat="1" ht="80.25" customHeight="1" thickBot="1">
      <c r="B5" s="89" t="s">
        <v>59</v>
      </c>
      <c r="C5" s="227" t="s">
        <v>67</v>
      </c>
      <c r="D5" s="90"/>
      <c r="E5" s="90"/>
      <c r="F5" s="33"/>
      <c r="G5" s="218">
        <v>704387043</v>
      </c>
      <c r="H5" s="218">
        <f>672622745+18864933+4000000+2500000</f>
        <v>697987678</v>
      </c>
      <c r="I5" s="218">
        <f>G5-H5</f>
        <v>6399365</v>
      </c>
      <c r="J5" s="33"/>
      <c r="K5" s="90"/>
      <c r="L5" s="35"/>
      <c r="M5" s="232">
        <v>3539864</v>
      </c>
      <c r="N5" s="307"/>
      <c r="O5" s="307"/>
      <c r="P5" s="307"/>
      <c r="Q5" s="308"/>
    </row>
    <row r="6" spans="2:17" s="15" customFormat="1" ht="33" customHeight="1" thickBot="1">
      <c r="B6" s="294"/>
      <c r="C6" s="869"/>
      <c r="D6" s="869"/>
      <c r="E6" s="869"/>
      <c r="F6" s="869"/>
      <c r="G6" s="869"/>
      <c r="H6" s="869"/>
      <c r="I6" s="869"/>
      <c r="J6" s="869"/>
      <c r="K6" s="869"/>
      <c r="L6" s="869"/>
      <c r="M6" s="869"/>
      <c r="N6" s="869"/>
      <c r="O6" s="869"/>
      <c r="P6" s="869"/>
      <c r="Q6" s="870"/>
    </row>
    <row r="7" spans="2:17" s="3" customFormat="1" ht="80.25" customHeight="1" thickBot="1">
      <c r="B7" s="119" t="s">
        <v>66</v>
      </c>
      <c r="C7" s="120" t="s">
        <v>95</v>
      </c>
      <c r="D7" s="95"/>
      <c r="E7" s="106">
        <v>86456205</v>
      </c>
      <c r="F7" s="107">
        <v>64000000</v>
      </c>
      <c r="G7" s="232">
        <f>'L2 Finishes'!G4</f>
        <v>48334459</v>
      </c>
      <c r="H7" s="232">
        <f>'L2 Finishes'!H4</f>
        <v>44160604</v>
      </c>
      <c r="I7" s="232">
        <f>'L2 Finishes'!I4</f>
        <v>4173855</v>
      </c>
      <c r="J7" s="116"/>
      <c r="K7" s="116"/>
      <c r="L7" s="113"/>
      <c r="M7" s="232">
        <v>5370108</v>
      </c>
      <c r="N7" s="309"/>
      <c r="O7" s="309"/>
      <c r="P7" s="309"/>
      <c r="Q7" s="310"/>
    </row>
    <row r="8" spans="2:17" s="3" customFormat="1" ht="27" customHeight="1" thickBot="1">
      <c r="B8" s="298"/>
      <c r="C8" s="872"/>
      <c r="D8" s="872"/>
      <c r="E8" s="872"/>
      <c r="F8" s="872"/>
      <c r="G8" s="872"/>
      <c r="H8" s="872"/>
      <c r="I8" s="872"/>
      <c r="J8" s="872"/>
      <c r="K8" s="872"/>
      <c r="L8" s="872"/>
      <c r="M8" s="872"/>
      <c r="N8" s="872"/>
      <c r="O8" s="872"/>
      <c r="P8" s="872"/>
      <c r="Q8" s="873"/>
    </row>
    <row r="9" spans="2:17" s="1" customFormat="1" ht="74.25" customHeight="1" thickBot="1">
      <c r="B9" s="32" t="s">
        <v>68</v>
      </c>
      <c r="C9" s="227" t="s">
        <v>96</v>
      </c>
      <c r="D9" s="108"/>
      <c r="E9" s="109"/>
      <c r="F9" s="220">
        <f>'L2 Finishes'!F65</f>
        <v>1308549823</v>
      </c>
      <c r="G9" s="218">
        <f>'L2 Finishes'!G65</f>
        <v>239270513.45000002</v>
      </c>
      <c r="H9" s="218">
        <f>'L2 Finishes'!H65</f>
        <v>31320606</v>
      </c>
      <c r="I9" s="218">
        <f>'L2 Finishes'!I65</f>
        <v>207949907.45000002</v>
      </c>
      <c r="J9" s="220">
        <f>'L2 Finishes'!J65</f>
        <v>1083810966.55</v>
      </c>
      <c r="K9" s="33"/>
      <c r="L9" s="110">
        <v>1460834</v>
      </c>
      <c r="M9" s="218">
        <f>'L2 Finishes'!O77</f>
        <v>49629394.5</v>
      </c>
      <c r="N9" s="218">
        <f>'L2 Finishes'!P77</f>
        <v>43143327.36666666</v>
      </c>
      <c r="O9" s="218">
        <f>'L2 Finishes'!Q77</f>
        <v>51077327.36666666</v>
      </c>
      <c r="P9" s="218">
        <f>'L2 Finishes'!R77</f>
        <v>44494708.733333327</v>
      </c>
      <c r="Q9" s="218">
        <f>'L2 Finishes'!S77</f>
        <v>28663907.066666666</v>
      </c>
    </row>
    <row r="10" spans="2:17" s="1" customFormat="1" ht="31.5" customHeight="1" thickBot="1">
      <c r="B10" s="29"/>
      <c r="C10" s="880"/>
      <c r="D10" s="880"/>
      <c r="E10" s="880"/>
      <c r="F10" s="880"/>
      <c r="G10" s="880"/>
      <c r="H10" s="880"/>
      <c r="I10" s="880"/>
      <c r="J10" s="880"/>
      <c r="K10" s="880"/>
      <c r="L10" s="880"/>
      <c r="M10" s="880"/>
      <c r="N10" s="880"/>
      <c r="O10" s="880"/>
      <c r="P10" s="880"/>
      <c r="Q10" s="881"/>
    </row>
    <row r="11" spans="2:17" s="1" customFormat="1" ht="80.25" customHeight="1" thickBot="1">
      <c r="B11" s="29"/>
      <c r="C11" s="863" t="s">
        <v>69</v>
      </c>
      <c r="D11" s="864"/>
      <c r="E11" s="111"/>
      <c r="F11" s="112"/>
      <c r="G11" s="218">
        <f>SUM(G5,G7,G9)</f>
        <v>991992015.45000005</v>
      </c>
      <c r="H11" s="218">
        <f t="shared" ref="H11:Q11" si="0">SUM(H5,H7,H9)</f>
        <v>773468888</v>
      </c>
      <c r="I11" s="218">
        <f t="shared" si="0"/>
        <v>218523127.45000002</v>
      </c>
      <c r="J11" s="220">
        <f>J9</f>
        <v>1083810966.55</v>
      </c>
      <c r="K11" s="33">
        <f t="shared" si="0"/>
        <v>0</v>
      </c>
      <c r="L11" s="33">
        <f t="shared" si="0"/>
        <v>1460834</v>
      </c>
      <c r="M11" s="218">
        <f t="shared" si="0"/>
        <v>58539366.5</v>
      </c>
      <c r="N11" s="218">
        <f t="shared" si="0"/>
        <v>43143327.36666666</v>
      </c>
      <c r="O11" s="218">
        <f t="shared" si="0"/>
        <v>51077327.36666666</v>
      </c>
      <c r="P11" s="218">
        <f t="shared" si="0"/>
        <v>44494708.733333327</v>
      </c>
      <c r="Q11" s="218">
        <f t="shared" si="0"/>
        <v>28663907.066666666</v>
      </c>
    </row>
    <row r="12" spans="2:17" s="1" customFormat="1" ht="80.25" customHeight="1" thickBot="1">
      <c r="B12" s="30"/>
      <c r="C12" s="885"/>
      <c r="D12" s="886"/>
      <c r="E12" s="886"/>
      <c r="F12" s="886"/>
      <c r="G12" s="886"/>
      <c r="H12" s="886"/>
      <c r="I12" s="886"/>
      <c r="J12" s="886"/>
      <c r="K12" s="886"/>
      <c r="L12" s="886"/>
      <c r="M12" s="886"/>
      <c r="N12" s="886"/>
      <c r="O12" s="886"/>
      <c r="P12" s="886"/>
      <c r="Q12" s="887"/>
    </row>
    <row r="13" spans="2:17" s="1" customFormat="1" ht="80.25" customHeight="1" thickBot="1"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</row>
    <row r="14" spans="2:17" s="1" customFormat="1" ht="18.75">
      <c r="B14" s="2"/>
      <c r="C14" s="2"/>
      <c r="D14" s="2"/>
    </row>
  </sheetData>
  <mergeCells count="6">
    <mergeCell ref="I3:L3"/>
    <mergeCell ref="C12:Q12"/>
    <mergeCell ref="C11:D11"/>
    <mergeCell ref="C6:Q6"/>
    <mergeCell ref="C8:Q8"/>
    <mergeCell ref="C10:Q10"/>
  </mergeCells>
  <printOptions horizontalCentered="1"/>
  <pageMargins left="0.25" right="0.25" top="0.75" bottom="0.75" header="0.3" footer="0.3"/>
  <pageSetup paperSize="121" scale="7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F8C12-C719-4603-A59C-1F1D335B2B5D}">
  <sheetPr>
    <pageSetUpPr fitToPage="1"/>
  </sheetPr>
  <dimension ref="A1:AB84"/>
  <sheetViews>
    <sheetView view="pageBreakPreview" zoomScale="60" zoomScaleNormal="85" workbookViewId="0">
      <selection activeCell="E5" sqref="E5"/>
    </sheetView>
  </sheetViews>
  <sheetFormatPr defaultColWidth="8.85546875" defaultRowHeight="18.75"/>
  <cols>
    <col min="1" max="1" width="8.85546875" style="1"/>
    <col min="2" max="2" width="10.85546875" style="2" customWidth="1"/>
    <col min="3" max="3" width="93.28515625" style="2" customWidth="1"/>
    <col min="4" max="4" width="16.140625" style="2" customWidth="1"/>
    <col min="5" max="5" width="30.85546875" style="1" customWidth="1"/>
    <col min="6" max="6" width="28.85546875" style="1" customWidth="1"/>
    <col min="7" max="7" width="30.5703125" style="1" bestFit="1" customWidth="1"/>
    <col min="8" max="9" width="36.28515625" style="1" bestFit="1" customWidth="1"/>
    <col min="10" max="10" width="29.28515625" style="1" customWidth="1"/>
    <col min="11" max="11" width="23.42578125" style="1" bestFit="1" customWidth="1"/>
    <col min="12" max="12" width="47.5703125" style="1" hidden="1" customWidth="1"/>
    <col min="13" max="13" width="13.7109375" style="16" hidden="1" customWidth="1"/>
    <col min="14" max="21" width="26" style="1" hidden="1" customWidth="1"/>
    <col min="22" max="25" width="29.5703125" style="1" customWidth="1"/>
    <col min="26" max="27" width="35.28515625" style="1" hidden="1" customWidth="1"/>
    <col min="28" max="28" width="62.5703125" style="1" customWidth="1"/>
    <col min="29" max="29" width="23.5703125" style="1" customWidth="1"/>
    <col min="30" max="16384" width="8.85546875" style="1"/>
  </cols>
  <sheetData>
    <row r="1" spans="1:28" ht="19.5" thickBot="1"/>
    <row r="2" spans="1:28">
      <c r="A2" s="42"/>
      <c r="B2" s="65"/>
      <c r="C2" s="24"/>
      <c r="D2" s="24"/>
      <c r="E2" s="25"/>
      <c r="F2" s="25"/>
      <c r="G2" s="25"/>
      <c r="H2" s="25"/>
      <c r="I2" s="25"/>
      <c r="J2" s="25"/>
      <c r="K2" s="25"/>
      <c r="L2" s="25"/>
      <c r="M2" s="27"/>
      <c r="N2" s="25"/>
      <c r="O2" s="25"/>
      <c r="P2" s="25"/>
      <c r="Q2" s="25"/>
      <c r="R2" s="25"/>
      <c r="S2" s="25"/>
      <c r="T2" s="25"/>
      <c r="U2" s="38"/>
      <c r="V2" s="25"/>
      <c r="W2" s="25"/>
      <c r="X2" s="25"/>
      <c r="Y2" s="25"/>
      <c r="Z2" s="25"/>
      <c r="AA2" s="25"/>
      <c r="AB2" s="38"/>
    </row>
    <row r="3" spans="1:28" ht="26.25" thickBot="1">
      <c r="A3" s="43"/>
      <c r="B3" s="66" t="s">
        <v>3</v>
      </c>
      <c r="L3" s="349"/>
      <c r="Q3" s="350">
        <f ca="1">TODAY()</f>
        <v>46010</v>
      </c>
      <c r="U3" s="39"/>
      <c r="V3" s="350"/>
      <c r="AB3" s="39"/>
    </row>
    <row r="4" spans="1:28" ht="26.25" thickBot="1">
      <c r="A4" s="43"/>
      <c r="B4" s="28" t="s">
        <v>254</v>
      </c>
      <c r="C4" s="327"/>
      <c r="G4" s="708" t="s">
        <v>73</v>
      </c>
      <c r="H4" s="634"/>
      <c r="I4" s="634"/>
      <c r="J4" s="635"/>
      <c r="L4" s="634"/>
      <c r="M4" s="634"/>
      <c r="N4" s="634"/>
      <c r="O4" s="634"/>
      <c r="P4" s="634"/>
      <c r="Q4" s="634"/>
      <c r="R4" s="634"/>
      <c r="S4" s="635"/>
      <c r="U4" s="39"/>
      <c r="AB4" s="319">
        <f ca="1">TODAY()</f>
        <v>46010</v>
      </c>
    </row>
    <row r="5" spans="1:28" s="15" customFormat="1" ht="70.5" customHeight="1" thickBot="1">
      <c r="A5" s="44"/>
      <c r="B5" s="34" t="s">
        <v>2</v>
      </c>
      <c r="C5" s="35" t="s">
        <v>297</v>
      </c>
      <c r="D5" s="35" t="s">
        <v>1</v>
      </c>
      <c r="E5" s="35" t="s">
        <v>50</v>
      </c>
      <c r="F5" s="35" t="s">
        <v>55</v>
      </c>
      <c r="G5" s="35" t="s">
        <v>62</v>
      </c>
      <c r="H5" s="35" t="s">
        <v>64</v>
      </c>
      <c r="I5" s="35" t="s">
        <v>128</v>
      </c>
      <c r="J5" s="35" t="s">
        <v>129</v>
      </c>
      <c r="K5" s="35" t="s">
        <v>63</v>
      </c>
      <c r="L5" s="35" t="s">
        <v>58</v>
      </c>
      <c r="M5" s="36" t="s">
        <v>61</v>
      </c>
      <c r="N5" s="35">
        <v>45627</v>
      </c>
      <c r="O5" s="35">
        <v>45658</v>
      </c>
      <c r="P5" s="35">
        <v>45691</v>
      </c>
      <c r="Q5" s="35">
        <v>45724</v>
      </c>
      <c r="R5" s="35">
        <v>45787</v>
      </c>
      <c r="S5" s="35">
        <v>45870</v>
      </c>
      <c r="T5" s="35">
        <v>45902</v>
      </c>
      <c r="U5" s="35">
        <v>45934</v>
      </c>
      <c r="V5" s="35">
        <v>45966</v>
      </c>
      <c r="W5" s="35">
        <v>45998</v>
      </c>
      <c r="X5" s="35">
        <v>46030</v>
      </c>
      <c r="Y5" s="35">
        <v>46062</v>
      </c>
      <c r="Z5" s="37"/>
      <c r="AA5" s="282"/>
      <c r="AB5" s="282" t="s">
        <v>58</v>
      </c>
    </row>
    <row r="6" spans="1:28" s="3" customFormat="1" ht="37.5" customHeight="1">
      <c r="A6" s="45"/>
      <c r="B6" s="272" t="s">
        <v>59</v>
      </c>
      <c r="C6" s="273" t="s">
        <v>53</v>
      </c>
      <c r="D6" s="274"/>
      <c r="E6" s="275">
        <v>86456205</v>
      </c>
      <c r="F6" s="275">
        <v>64000000</v>
      </c>
      <c r="G6" s="276">
        <v>52883243</v>
      </c>
      <c r="H6" s="276">
        <f>43643500+2689245+1200000+1288000</f>
        <v>48820745</v>
      </c>
      <c r="I6" s="323">
        <f>G6-H6</f>
        <v>4062498</v>
      </c>
      <c r="J6" s="277"/>
      <c r="K6" s="278"/>
      <c r="L6" s="277"/>
      <c r="M6" s="279">
        <f>1-G6/E6</f>
        <v>0.38832333665351149</v>
      </c>
      <c r="N6" s="280"/>
      <c r="O6" s="277"/>
      <c r="P6" s="277"/>
      <c r="Q6" s="277"/>
      <c r="R6" s="277"/>
      <c r="S6" s="323"/>
      <c r="T6" s="323">
        <f>I6</f>
        <v>4062498</v>
      </c>
      <c r="V6" s="271"/>
      <c r="W6" s="271"/>
      <c r="X6" s="271"/>
      <c r="Y6" s="271"/>
      <c r="Z6" s="271"/>
      <c r="AA6" s="271"/>
      <c r="AB6" s="281" t="s">
        <v>117</v>
      </c>
    </row>
    <row r="7" spans="1:28" ht="37.5" customHeight="1">
      <c r="A7" s="43"/>
      <c r="B7" s="59"/>
      <c r="C7" s="888" t="s">
        <v>4</v>
      </c>
      <c r="D7" s="889"/>
      <c r="E7" s="889"/>
      <c r="F7" s="889"/>
      <c r="G7" s="889"/>
      <c r="H7" s="889"/>
      <c r="I7" s="889"/>
      <c r="J7" s="889"/>
      <c r="K7" s="889"/>
      <c r="L7" s="889"/>
      <c r="M7" s="889"/>
      <c r="N7" s="889"/>
      <c r="O7" s="889"/>
      <c r="P7" s="889"/>
      <c r="Q7" s="889"/>
      <c r="R7" s="889"/>
      <c r="S7" s="889"/>
      <c r="T7" s="889"/>
      <c r="U7" s="889"/>
      <c r="V7" s="76"/>
      <c r="W7" s="76"/>
      <c r="X7" s="76"/>
      <c r="Y7" s="76"/>
      <c r="Z7" s="76"/>
      <c r="AA7" s="76"/>
      <c r="AB7" s="77"/>
    </row>
    <row r="8" spans="1:28" ht="37.5" customHeight="1">
      <c r="A8" s="43"/>
      <c r="B8" s="136">
        <v>1</v>
      </c>
      <c r="C8" s="132" t="s">
        <v>6</v>
      </c>
      <c r="D8" s="22">
        <v>45292</v>
      </c>
      <c r="E8" s="135">
        <v>19400000</v>
      </c>
      <c r="F8" s="135">
        <v>14809000</v>
      </c>
      <c r="G8" s="135">
        <v>14500000</v>
      </c>
      <c r="H8" s="135">
        <v>14500000</v>
      </c>
      <c r="I8" s="135">
        <f>G8-H8</f>
        <v>0</v>
      </c>
      <c r="J8" s="121"/>
      <c r="K8" s="121">
        <v>14609801.5</v>
      </c>
      <c r="L8" s="121" t="s">
        <v>56</v>
      </c>
      <c r="M8" s="149">
        <f t="shared" ref="M8:M23" si="0">1-G8/E8</f>
        <v>0.25257731958762886</v>
      </c>
      <c r="N8" s="150"/>
      <c r="O8" s="151"/>
      <c r="P8" s="151"/>
      <c r="Q8" s="152"/>
      <c r="R8" s="153"/>
      <c r="S8" s="150"/>
      <c r="T8" s="150"/>
      <c r="U8" s="154"/>
      <c r="V8" s="154"/>
      <c r="W8" s="154"/>
      <c r="X8" s="154"/>
      <c r="Y8" s="154"/>
      <c r="Z8" s="247">
        <f>I8+J8</f>
        <v>0</v>
      </c>
      <c r="AA8" s="247"/>
      <c r="AB8" s="174"/>
    </row>
    <row r="9" spans="1:28" ht="37.5" customHeight="1">
      <c r="A9" s="43"/>
      <c r="B9" s="136">
        <v>2</v>
      </c>
      <c r="C9" s="132" t="s">
        <v>7</v>
      </c>
      <c r="D9" s="22">
        <v>45324</v>
      </c>
      <c r="E9" s="135">
        <v>105250505</v>
      </c>
      <c r="F9" s="135">
        <v>93557500</v>
      </c>
      <c r="G9" s="135">
        <v>92385014</v>
      </c>
      <c r="H9" s="135">
        <f>41491446+18320118+4856414+18962187+5089451+474828+3872000</f>
        <v>93066444</v>
      </c>
      <c r="I9" s="135">
        <f t="shared" ref="I9:I69" si="1">G9-H9</f>
        <v>-681430</v>
      </c>
      <c r="J9" s="121"/>
      <c r="K9" s="121">
        <f>G9-H9-I9</f>
        <v>0</v>
      </c>
      <c r="L9" s="121"/>
      <c r="M9" s="149">
        <f t="shared" si="0"/>
        <v>0.12223685767588477</v>
      </c>
      <c r="N9" s="150"/>
      <c r="O9" s="150"/>
      <c r="P9" s="150"/>
      <c r="Q9" s="150"/>
      <c r="R9" s="150"/>
      <c r="S9" s="150"/>
      <c r="T9" s="150"/>
      <c r="U9" s="154"/>
      <c r="V9" s="154"/>
      <c r="W9" s="154"/>
      <c r="X9" s="154"/>
      <c r="Y9" s="154"/>
      <c r="Z9" s="247">
        <f t="shared" ref="Z9:Z72" si="2">I9+J9</f>
        <v>-681430</v>
      </c>
      <c r="AA9" s="247">
        <f>Z9-V9-W9-X9-Y9</f>
        <v>-681430</v>
      </c>
      <c r="AB9" s="174"/>
    </row>
    <row r="10" spans="1:28" ht="37.5" customHeight="1">
      <c r="A10" s="43"/>
      <c r="B10" s="136">
        <v>3</v>
      </c>
      <c r="C10" s="132" t="s">
        <v>8</v>
      </c>
      <c r="D10" s="22">
        <v>45354</v>
      </c>
      <c r="E10" s="135">
        <v>42123560</v>
      </c>
      <c r="F10" s="135">
        <v>34734900</v>
      </c>
      <c r="G10" s="135">
        <v>29485630</v>
      </c>
      <c r="H10" s="135">
        <f>25814800+97344+3658042*0.7</f>
        <v>28472773.399999999</v>
      </c>
      <c r="I10" s="135">
        <f t="shared" si="1"/>
        <v>1012856.6000000015</v>
      </c>
      <c r="J10" s="121"/>
      <c r="K10" s="121">
        <f t="shared" ref="K10:K19" si="3">G10-H10-I10</f>
        <v>0</v>
      </c>
      <c r="L10" s="121"/>
      <c r="M10" s="149">
        <f t="shared" si="0"/>
        <v>0.30002046360753931</v>
      </c>
      <c r="N10" s="121"/>
      <c r="O10" s="121"/>
      <c r="P10" s="121"/>
      <c r="Q10" s="121"/>
      <c r="R10" s="155"/>
      <c r="S10" s="155">
        <v>2440816</v>
      </c>
      <c r="T10" s="155">
        <v>1132670</v>
      </c>
      <c r="U10" s="155"/>
      <c r="V10" s="155">
        <f>I10</f>
        <v>1012856.6000000015</v>
      </c>
      <c r="W10" s="155"/>
      <c r="X10" s="155"/>
      <c r="Y10" s="155"/>
      <c r="Z10" s="247">
        <f t="shared" si="2"/>
        <v>1012856.6000000015</v>
      </c>
      <c r="AA10" s="247">
        <f t="shared" ref="AA10:AA73" si="4">Z10-V10-W10-X10-Y10</f>
        <v>0</v>
      </c>
      <c r="AB10" s="156" t="s">
        <v>117</v>
      </c>
    </row>
    <row r="11" spans="1:28" ht="37.5" customHeight="1">
      <c r="A11" s="43"/>
      <c r="B11" s="136">
        <v>4</v>
      </c>
      <c r="C11" s="132" t="s">
        <v>9</v>
      </c>
      <c r="D11" s="22">
        <v>45386</v>
      </c>
      <c r="E11" s="135">
        <v>33256400</v>
      </c>
      <c r="F11" s="135">
        <v>25013632</v>
      </c>
      <c r="G11" s="135">
        <v>23645601</v>
      </c>
      <c r="H11" s="135">
        <f>20811384+198564</f>
        <v>21009948</v>
      </c>
      <c r="I11" s="135">
        <f t="shared" si="1"/>
        <v>2635653</v>
      </c>
      <c r="J11" s="121"/>
      <c r="K11" s="121">
        <f t="shared" si="3"/>
        <v>0</v>
      </c>
      <c r="L11" s="121"/>
      <c r="M11" s="149">
        <f t="shared" si="0"/>
        <v>0.28899096113830725</v>
      </c>
      <c r="N11" s="121"/>
      <c r="O11" s="121"/>
      <c r="P11" s="121"/>
      <c r="Q11" s="121"/>
      <c r="R11" s="155"/>
      <c r="S11" s="155">
        <v>1767701</v>
      </c>
      <c r="T11" s="154">
        <v>867952</v>
      </c>
      <c r="U11" s="154"/>
      <c r="V11" s="155">
        <f t="shared" ref="V11:V14" si="5">I11</f>
        <v>2635653</v>
      </c>
      <c r="W11" s="154"/>
      <c r="X11" s="154"/>
      <c r="Y11" s="154"/>
      <c r="Z11" s="247">
        <f t="shared" si="2"/>
        <v>2635653</v>
      </c>
      <c r="AA11" s="247">
        <f t="shared" si="4"/>
        <v>0</v>
      </c>
      <c r="AB11" s="156" t="s">
        <v>117</v>
      </c>
    </row>
    <row r="12" spans="1:28" ht="37.5" customHeight="1">
      <c r="A12" s="43"/>
      <c r="B12" s="136">
        <v>5</v>
      </c>
      <c r="C12" s="132" t="s">
        <v>48</v>
      </c>
      <c r="D12" s="22">
        <v>45471</v>
      </c>
      <c r="E12" s="135">
        <v>67805200</v>
      </c>
      <c r="F12" s="135">
        <v>22173540</v>
      </c>
      <c r="G12" s="135">
        <v>19367707</v>
      </c>
      <c r="H12" s="135">
        <f>13960440+2623918+1312023+33740+917251+319455+196109</f>
        <v>19362936</v>
      </c>
      <c r="I12" s="135">
        <f t="shared" si="1"/>
        <v>4771</v>
      </c>
      <c r="J12" s="121"/>
      <c r="K12" s="121">
        <f t="shared" si="3"/>
        <v>0</v>
      </c>
      <c r="L12" s="121"/>
      <c r="M12" s="149">
        <f t="shared" si="0"/>
        <v>0.71436251201972711</v>
      </c>
      <c r="N12" s="121"/>
      <c r="O12" s="121"/>
      <c r="P12" s="121"/>
      <c r="Q12" s="121"/>
      <c r="R12" s="155"/>
      <c r="S12" s="155">
        <v>2763349</v>
      </c>
      <c r="T12" s="154"/>
      <c r="U12" s="154"/>
      <c r="V12" s="155">
        <f t="shared" si="5"/>
        <v>4771</v>
      </c>
      <c r="W12" s="154"/>
      <c r="X12" s="154"/>
      <c r="Y12" s="154"/>
      <c r="Z12" s="247">
        <f t="shared" si="2"/>
        <v>4771</v>
      </c>
      <c r="AA12" s="247">
        <f t="shared" si="4"/>
        <v>0</v>
      </c>
      <c r="AB12" s="156" t="s">
        <v>117</v>
      </c>
    </row>
    <row r="13" spans="1:28" ht="37.5" customHeight="1">
      <c r="A13" s="43"/>
      <c r="B13" s="136">
        <v>6</v>
      </c>
      <c r="C13" s="132" t="s">
        <v>10</v>
      </c>
      <c r="D13" s="22">
        <v>45386</v>
      </c>
      <c r="E13" s="135">
        <v>43589100</v>
      </c>
      <c r="F13" s="135">
        <v>32900000</v>
      </c>
      <c r="G13" s="135">
        <v>27569921</v>
      </c>
      <c r="H13" s="135">
        <v>26661230</v>
      </c>
      <c r="I13" s="135">
        <f t="shared" si="1"/>
        <v>908691</v>
      </c>
      <c r="J13" s="121"/>
      <c r="K13" s="121">
        <f t="shared" si="3"/>
        <v>0</v>
      </c>
      <c r="L13" s="121"/>
      <c r="M13" s="149">
        <f t="shared" si="0"/>
        <v>0.3675042384449323</v>
      </c>
      <c r="N13" s="121"/>
      <c r="O13" s="121"/>
      <c r="P13" s="121"/>
      <c r="Q13" s="121"/>
      <c r="R13" s="155"/>
      <c r="S13" s="155">
        <v>2748201.7142857099</v>
      </c>
      <c r="T13" s="155">
        <v>5107221.7142857099</v>
      </c>
      <c r="U13" s="155"/>
      <c r="V13" s="155">
        <f t="shared" si="5"/>
        <v>908691</v>
      </c>
      <c r="W13" s="155"/>
      <c r="X13" s="155"/>
      <c r="Y13" s="155"/>
      <c r="Z13" s="247">
        <f t="shared" si="2"/>
        <v>908691</v>
      </c>
      <c r="AA13" s="247">
        <f t="shared" si="4"/>
        <v>0</v>
      </c>
      <c r="AB13" s="156" t="s">
        <v>117</v>
      </c>
    </row>
    <row r="14" spans="1:28" ht="37.5" customHeight="1">
      <c r="A14" s="43"/>
      <c r="B14" s="136">
        <v>7</v>
      </c>
      <c r="C14" s="132" t="s">
        <v>11</v>
      </c>
      <c r="D14" s="22">
        <v>45387</v>
      </c>
      <c r="E14" s="135">
        <v>11073231</v>
      </c>
      <c r="F14" s="135">
        <v>6841856</v>
      </c>
      <c r="G14" s="135">
        <v>6841856</v>
      </c>
      <c r="H14" s="135">
        <f>2292643+1419494</f>
        <v>3712137</v>
      </c>
      <c r="I14" s="135">
        <f t="shared" si="1"/>
        <v>3129719</v>
      </c>
      <c r="J14" s="121"/>
      <c r="K14" s="121">
        <f t="shared" si="3"/>
        <v>0</v>
      </c>
      <c r="L14" s="121"/>
      <c r="M14" s="149">
        <f t="shared" si="0"/>
        <v>0.38212649948330346</v>
      </c>
      <c r="N14" s="121"/>
      <c r="O14" s="121"/>
      <c r="P14" s="121"/>
      <c r="Q14" s="121"/>
      <c r="R14" s="155"/>
      <c r="S14" s="155">
        <v>1785429.75</v>
      </c>
      <c r="T14" s="155">
        <v>1344289.25</v>
      </c>
      <c r="U14" s="155"/>
      <c r="V14" s="155">
        <f t="shared" si="5"/>
        <v>3129719</v>
      </c>
      <c r="W14" s="155"/>
      <c r="X14" s="155"/>
      <c r="Y14" s="155"/>
      <c r="Z14" s="247">
        <f t="shared" si="2"/>
        <v>3129719</v>
      </c>
      <c r="AA14" s="247">
        <f t="shared" si="4"/>
        <v>0</v>
      </c>
      <c r="AB14" s="156" t="s">
        <v>117</v>
      </c>
    </row>
    <row r="15" spans="1:28" ht="37.5" customHeight="1">
      <c r="A15" s="43"/>
      <c r="B15" s="136">
        <v>8</v>
      </c>
      <c r="C15" s="132" t="s">
        <v>12</v>
      </c>
      <c r="D15" s="22">
        <v>45418</v>
      </c>
      <c r="E15" s="135">
        <v>72699100</v>
      </c>
      <c r="F15" s="135">
        <v>57158144</v>
      </c>
      <c r="G15" s="135">
        <v>57158144</v>
      </c>
      <c r="H15" s="135">
        <f>42002436+2214306</f>
        <v>44216742</v>
      </c>
      <c r="I15" s="135">
        <f>G15-H15</f>
        <v>12941402</v>
      </c>
      <c r="J15" s="121"/>
      <c r="K15" s="121"/>
      <c r="L15" s="121"/>
      <c r="M15" s="149">
        <f t="shared" si="0"/>
        <v>0.21377095452350858</v>
      </c>
      <c r="N15" s="121"/>
      <c r="O15" s="121"/>
      <c r="P15" s="121"/>
      <c r="Q15" s="121"/>
      <c r="R15" s="155"/>
      <c r="S15" s="155">
        <v>4906620.25</v>
      </c>
      <c r="T15" s="155">
        <v>8034781.75</v>
      </c>
      <c r="U15" s="155"/>
      <c r="V15" s="155">
        <f>I15/2</f>
        <v>6470701</v>
      </c>
      <c r="W15" s="155">
        <v>6470701</v>
      </c>
      <c r="X15" s="155"/>
      <c r="Y15" s="155"/>
      <c r="Z15" s="247">
        <f t="shared" si="2"/>
        <v>12941402</v>
      </c>
      <c r="AA15" s="247">
        <f t="shared" si="4"/>
        <v>0</v>
      </c>
      <c r="AB15" s="156" t="s">
        <v>117</v>
      </c>
    </row>
    <row r="16" spans="1:28" ht="37.5" customHeight="1">
      <c r="A16" s="43"/>
      <c r="B16" s="136">
        <v>9</v>
      </c>
      <c r="C16" s="132" t="s">
        <v>13</v>
      </c>
      <c r="D16" s="22">
        <v>45419</v>
      </c>
      <c r="E16" s="135">
        <v>36982115</v>
      </c>
      <c r="F16" s="135">
        <v>36982115</v>
      </c>
      <c r="G16" s="135">
        <f>H16+I16</f>
        <v>25545140</v>
      </c>
      <c r="H16" s="135">
        <v>23545140</v>
      </c>
      <c r="I16" s="135">
        <v>2000000</v>
      </c>
      <c r="J16" s="121"/>
      <c r="K16" s="121">
        <f t="shared" si="3"/>
        <v>0</v>
      </c>
      <c r="L16" s="121"/>
      <c r="M16" s="149">
        <f t="shared" si="0"/>
        <v>0.30925692054118592</v>
      </c>
      <c r="N16" s="121"/>
      <c r="O16" s="121"/>
      <c r="P16" s="121"/>
      <c r="Q16" s="121"/>
      <c r="R16" s="155"/>
      <c r="S16" s="155"/>
      <c r="T16" s="155"/>
      <c r="U16" s="155"/>
      <c r="V16" s="155">
        <v>2000000</v>
      </c>
      <c r="W16" s="155"/>
      <c r="X16" s="155"/>
      <c r="Y16" s="155"/>
      <c r="Z16" s="247">
        <f t="shared" si="2"/>
        <v>2000000</v>
      </c>
      <c r="AA16" s="247">
        <f t="shared" si="4"/>
        <v>0</v>
      </c>
      <c r="AB16" s="156" t="s">
        <v>117</v>
      </c>
    </row>
    <row r="17" spans="1:28" ht="37.5" customHeight="1">
      <c r="A17" s="43"/>
      <c r="B17" s="136">
        <v>10</v>
      </c>
      <c r="C17" s="132" t="s">
        <v>14</v>
      </c>
      <c r="D17" s="22">
        <v>45450</v>
      </c>
      <c r="E17" s="135">
        <v>37629817</v>
      </c>
      <c r="F17" s="135">
        <v>31686490</v>
      </c>
      <c r="G17" s="135">
        <v>21095340</v>
      </c>
      <c r="H17" s="135">
        <f>1820120+814944+1266100+1352002+1294899*0.5</f>
        <v>5900615.5</v>
      </c>
      <c r="I17" s="135">
        <f t="shared" si="1"/>
        <v>15194724.5</v>
      </c>
      <c r="J17" s="121"/>
      <c r="K17" s="121">
        <f t="shared" si="3"/>
        <v>0</v>
      </c>
      <c r="L17" s="121"/>
      <c r="M17" s="149">
        <f t="shared" si="0"/>
        <v>0.43939828354732635</v>
      </c>
      <c r="N17" s="121"/>
      <c r="O17" s="121"/>
      <c r="P17" s="121"/>
      <c r="Q17" s="121"/>
      <c r="R17" s="155"/>
      <c r="S17" s="155">
        <v>1245757.1818181798</v>
      </c>
      <c r="T17" s="155">
        <v>2475516.1818181798</v>
      </c>
      <c r="U17" s="155"/>
      <c r="V17" s="155">
        <v>3475516.1818181798</v>
      </c>
      <c r="W17" s="155">
        <v>4475516.1818181798</v>
      </c>
      <c r="X17" s="157">
        <v>5258330.1818181798</v>
      </c>
      <c r="Y17" s="121">
        <v>1985361.9545454606</v>
      </c>
      <c r="Z17" s="247">
        <f t="shared" si="2"/>
        <v>15194724.5</v>
      </c>
      <c r="AA17" s="247">
        <f t="shared" si="4"/>
        <v>0</v>
      </c>
      <c r="AB17" s="156" t="s">
        <v>117</v>
      </c>
    </row>
    <row r="18" spans="1:28" ht="37.5" customHeight="1">
      <c r="A18" s="43"/>
      <c r="B18" s="136">
        <v>11</v>
      </c>
      <c r="C18" s="132" t="s">
        <v>52</v>
      </c>
      <c r="D18" s="22">
        <v>45469</v>
      </c>
      <c r="E18" s="135">
        <v>35604250</v>
      </c>
      <c r="F18" s="135">
        <v>27427180</v>
      </c>
      <c r="G18" s="135">
        <v>25674500</v>
      </c>
      <c r="H18" s="135">
        <f>2116343+2691508+1800000+2259658+1345416+1294899*0.5</f>
        <v>10860374.5</v>
      </c>
      <c r="I18" s="135">
        <f t="shared" si="1"/>
        <v>14814125.5</v>
      </c>
      <c r="J18" s="121"/>
      <c r="K18" s="121">
        <f t="shared" si="3"/>
        <v>0</v>
      </c>
      <c r="L18" s="121"/>
      <c r="M18" s="149">
        <f t="shared" si="0"/>
        <v>0.27889226707485759</v>
      </c>
      <c r="N18" s="121"/>
      <c r="O18" s="121"/>
      <c r="P18" s="121"/>
      <c r="Q18" s="121"/>
      <c r="R18" s="155"/>
      <c r="S18" s="155">
        <v>1635220.4545454499</v>
      </c>
      <c r="T18" s="155">
        <v>3834045.4545454499</v>
      </c>
      <c r="U18" s="155"/>
      <c r="V18" s="155">
        <v>3219511.4545454499</v>
      </c>
      <c r="W18" s="155">
        <v>5219511.4545454504</v>
      </c>
      <c r="X18" s="121">
        <v>5219511.4545454504</v>
      </c>
      <c r="Y18" s="158">
        <v>1155591.1363636497</v>
      </c>
      <c r="Z18" s="247">
        <f t="shared" si="2"/>
        <v>14814125.5</v>
      </c>
      <c r="AA18" s="247">
        <f t="shared" si="4"/>
        <v>0</v>
      </c>
      <c r="AB18" s="156" t="s">
        <v>117</v>
      </c>
    </row>
    <row r="19" spans="1:28" ht="37.5" customHeight="1">
      <c r="A19" s="43"/>
      <c r="B19" s="136">
        <v>12</v>
      </c>
      <c r="C19" s="132" t="s">
        <v>15</v>
      </c>
      <c r="D19" s="22">
        <v>45466</v>
      </c>
      <c r="E19" s="135">
        <v>31018260</v>
      </c>
      <c r="F19" s="135">
        <v>28656500</v>
      </c>
      <c r="G19" s="135">
        <v>19470000</v>
      </c>
      <c r="H19" s="135">
        <f>16476180+26512</f>
        <v>16502692</v>
      </c>
      <c r="I19" s="135">
        <f>G19-H19</f>
        <v>2967308</v>
      </c>
      <c r="J19" s="121"/>
      <c r="K19" s="121">
        <f t="shared" si="3"/>
        <v>0</v>
      </c>
      <c r="L19" s="121"/>
      <c r="M19" s="149">
        <f t="shared" si="0"/>
        <v>0.37230521634675828</v>
      </c>
      <c r="N19" s="150"/>
      <c r="O19" s="150"/>
      <c r="P19" s="150"/>
      <c r="Q19" s="150"/>
      <c r="R19" s="154"/>
      <c r="S19" s="154"/>
      <c r="T19" s="154"/>
      <c r="U19" s="154"/>
      <c r="V19" s="628"/>
      <c r="W19" s="154"/>
      <c r="X19" s="154"/>
      <c r="Y19" s="154"/>
      <c r="Z19" s="247">
        <f t="shared" si="2"/>
        <v>2967308</v>
      </c>
      <c r="AA19" s="247">
        <f t="shared" si="4"/>
        <v>2967308</v>
      </c>
      <c r="AB19" s="156" t="s">
        <v>117</v>
      </c>
    </row>
    <row r="20" spans="1:28" ht="37.5" customHeight="1">
      <c r="A20" s="43"/>
      <c r="B20" s="136">
        <v>13</v>
      </c>
      <c r="C20" s="132" t="s">
        <v>16</v>
      </c>
      <c r="D20" s="22">
        <v>45502</v>
      </c>
      <c r="E20" s="135">
        <v>8670000</v>
      </c>
      <c r="F20" s="135">
        <v>6679244</v>
      </c>
      <c r="G20" s="135">
        <v>5000000</v>
      </c>
      <c r="H20" s="135">
        <f>3791533+107035</f>
        <v>3898568</v>
      </c>
      <c r="I20" s="135">
        <f t="shared" si="1"/>
        <v>1101432</v>
      </c>
      <c r="J20" s="121"/>
      <c r="K20" s="121"/>
      <c r="L20" s="121"/>
      <c r="M20" s="149">
        <f t="shared" si="0"/>
        <v>0.42329873125720874</v>
      </c>
      <c r="N20" s="121"/>
      <c r="O20" s="121"/>
      <c r="P20" s="121"/>
      <c r="Q20" s="121"/>
      <c r="R20" s="155"/>
      <c r="S20" s="155">
        <v>339349</v>
      </c>
      <c r="T20" s="155">
        <v>839349</v>
      </c>
      <c r="U20" s="154"/>
      <c r="V20" s="154"/>
      <c r="W20" s="155">
        <v>1101432</v>
      </c>
      <c r="X20" s="154"/>
      <c r="Y20" s="154"/>
      <c r="Z20" s="247">
        <f t="shared" si="2"/>
        <v>1101432</v>
      </c>
      <c r="AA20" s="247">
        <f t="shared" si="4"/>
        <v>0</v>
      </c>
      <c r="AB20" s="156" t="s">
        <v>117</v>
      </c>
    </row>
    <row r="21" spans="1:28" ht="37.5" customHeight="1">
      <c r="A21" s="43"/>
      <c r="B21" s="136">
        <v>14</v>
      </c>
      <c r="C21" s="132" t="s">
        <v>27</v>
      </c>
      <c r="D21" s="22">
        <v>45502</v>
      </c>
      <c r="E21" s="135">
        <v>33264800</v>
      </c>
      <c r="F21" s="135">
        <v>25124723</v>
      </c>
      <c r="G21" s="135">
        <v>18686350</v>
      </c>
      <c r="H21" s="135">
        <f>15234537+382304</f>
        <v>15616841</v>
      </c>
      <c r="I21" s="135">
        <f t="shared" si="1"/>
        <v>3069509</v>
      </c>
      <c r="J21" s="121"/>
      <c r="K21" s="121">
        <f t="shared" ref="K21:K69" si="6">G21-H21-I21</f>
        <v>0</v>
      </c>
      <c r="L21" s="121"/>
      <c r="M21" s="149">
        <f t="shared" si="0"/>
        <v>0.43825455135759117</v>
      </c>
      <c r="N21" s="121"/>
      <c r="O21" s="121"/>
      <c r="P21" s="121"/>
      <c r="Q21" s="121"/>
      <c r="R21" s="155"/>
      <c r="S21" s="155">
        <v>1549431</v>
      </c>
      <c r="T21" s="155"/>
      <c r="U21" s="155"/>
      <c r="V21" s="155">
        <f>1902382+1549431</f>
        <v>3451813</v>
      </c>
      <c r="W21" s="154"/>
      <c r="X21" s="154"/>
      <c r="Y21" s="154"/>
      <c r="Z21" s="247">
        <f t="shared" si="2"/>
        <v>3069509</v>
      </c>
      <c r="AA21" s="247">
        <f t="shared" si="4"/>
        <v>-382304</v>
      </c>
      <c r="AB21" s="156" t="s">
        <v>117</v>
      </c>
    </row>
    <row r="22" spans="1:28" ht="37.5" customHeight="1">
      <c r="A22" s="43"/>
      <c r="B22" s="136">
        <v>15</v>
      </c>
      <c r="C22" s="132" t="s">
        <v>49</v>
      </c>
      <c r="D22" s="22">
        <v>45502</v>
      </c>
      <c r="E22" s="135">
        <v>20290815</v>
      </c>
      <c r="F22" s="135">
        <v>16644195.899999999</v>
      </c>
      <c r="G22" s="135">
        <v>11000000</v>
      </c>
      <c r="H22" s="135">
        <f>3300000+3600+2286362+385757+4103060*0.3</f>
        <v>7206637</v>
      </c>
      <c r="I22" s="135">
        <f t="shared" si="1"/>
        <v>3793363</v>
      </c>
      <c r="J22" s="121"/>
      <c r="K22" s="121">
        <f t="shared" si="6"/>
        <v>0</v>
      </c>
      <c r="L22" s="121"/>
      <c r="M22" s="149">
        <f t="shared" si="0"/>
        <v>0.4578827908095362</v>
      </c>
      <c r="N22" s="121"/>
      <c r="O22" s="121"/>
      <c r="P22" s="121"/>
      <c r="Q22" s="121"/>
      <c r="R22" s="155"/>
      <c r="S22" s="155">
        <v>1925000</v>
      </c>
      <c r="T22" s="155">
        <v>1563638</v>
      </c>
      <c r="U22" s="155"/>
      <c r="V22" s="155">
        <v>1921400</v>
      </c>
      <c r="W22" s="155">
        <v>1871963</v>
      </c>
      <c r="X22" s="155"/>
      <c r="Y22" s="155"/>
      <c r="Z22" s="247">
        <f t="shared" si="2"/>
        <v>3793363</v>
      </c>
      <c r="AA22" s="247">
        <f t="shared" si="4"/>
        <v>0</v>
      </c>
      <c r="AB22" s="156" t="s">
        <v>117</v>
      </c>
    </row>
    <row r="23" spans="1:28" ht="37.5" customHeight="1">
      <c r="A23" s="43"/>
      <c r="B23" s="136">
        <v>16</v>
      </c>
      <c r="C23" s="132" t="s">
        <v>47</v>
      </c>
      <c r="D23" s="22">
        <v>45497</v>
      </c>
      <c r="E23" s="135">
        <v>39351450</v>
      </c>
      <c r="F23" s="135">
        <v>32836457.100000001</v>
      </c>
      <c r="G23" s="135">
        <v>20000000</v>
      </c>
      <c r="H23" s="135">
        <f>6600000+4955116+1253794+4103060*0.7+1848245</f>
        <v>17529297</v>
      </c>
      <c r="I23" s="135">
        <f t="shared" si="1"/>
        <v>2470703</v>
      </c>
      <c r="J23" s="121"/>
      <c r="K23" s="121">
        <f t="shared" si="6"/>
        <v>0</v>
      </c>
      <c r="L23" s="121"/>
      <c r="M23" s="149">
        <f t="shared" si="0"/>
        <v>0.49175951585011479</v>
      </c>
      <c r="N23" s="121"/>
      <c r="O23" s="121"/>
      <c r="P23" s="121"/>
      <c r="Q23" s="121"/>
      <c r="R23" s="155"/>
      <c r="S23" s="155">
        <v>460449</v>
      </c>
      <c r="T23" s="155">
        <v>3444884</v>
      </c>
      <c r="U23" s="155"/>
      <c r="V23" s="155">
        <v>2900000</v>
      </c>
      <c r="W23" s="155">
        <v>1418948</v>
      </c>
      <c r="X23" s="155"/>
      <c r="Y23" s="155"/>
      <c r="Z23" s="247">
        <f t="shared" si="2"/>
        <v>2470703</v>
      </c>
      <c r="AA23" s="247">
        <f t="shared" si="4"/>
        <v>-1848245</v>
      </c>
      <c r="AB23" s="156" t="s">
        <v>117</v>
      </c>
    </row>
    <row r="24" spans="1:28" ht="37.5" customHeight="1">
      <c r="A24" s="43"/>
      <c r="B24" s="137">
        <v>17</v>
      </c>
      <c r="C24" s="126" t="s">
        <v>25</v>
      </c>
      <c r="D24" s="130">
        <v>45468</v>
      </c>
      <c r="E24" s="115"/>
      <c r="F24" s="115">
        <f>8857793+10232307</f>
        <v>19090100</v>
      </c>
      <c r="G24" s="115">
        <v>6500000</v>
      </c>
      <c r="H24" s="115">
        <f>2680796+836528+225850+304143</f>
        <v>4047317</v>
      </c>
      <c r="I24" s="115">
        <f t="shared" si="1"/>
        <v>2452683</v>
      </c>
      <c r="J24" s="8">
        <f>F24-G24</f>
        <v>12590100</v>
      </c>
      <c r="K24" s="121">
        <f t="shared" si="6"/>
        <v>0</v>
      </c>
      <c r="L24" s="159" t="s">
        <v>57</v>
      </c>
      <c r="M24" s="160"/>
      <c r="N24" s="161"/>
      <c r="O24" s="161"/>
      <c r="P24" s="161"/>
      <c r="Q24" s="161"/>
      <c r="R24" s="162"/>
      <c r="S24" s="168">
        <v>5196700</v>
      </c>
      <c r="T24" s="168">
        <v>5196700</v>
      </c>
      <c r="U24" s="168"/>
      <c r="V24" s="168">
        <v>5196700</v>
      </c>
      <c r="W24" s="168">
        <f>819204+9090100</f>
        <v>9909304</v>
      </c>
      <c r="X24" s="162"/>
      <c r="Y24" s="162"/>
      <c r="Z24" s="247">
        <f t="shared" si="2"/>
        <v>15042783</v>
      </c>
      <c r="AA24" s="247"/>
      <c r="AB24" s="163" t="s">
        <v>118</v>
      </c>
    </row>
    <row r="25" spans="1:28" ht="37.5" customHeight="1">
      <c r="A25" s="43"/>
      <c r="B25" s="136">
        <v>18</v>
      </c>
      <c r="C25" s="135" t="s">
        <v>51</v>
      </c>
      <c r="D25" s="22">
        <v>45503</v>
      </c>
      <c r="E25" s="135">
        <v>85098584.5</v>
      </c>
      <c r="F25" s="135">
        <v>51089750</v>
      </c>
      <c r="G25" s="135">
        <v>45147657</v>
      </c>
      <c r="H25" s="135">
        <f>36633106+260243+2746182+8043793*0.6</f>
        <v>44465806.799999997</v>
      </c>
      <c r="I25" s="135">
        <f>G25-H25</f>
        <v>681850.20000000298</v>
      </c>
      <c r="J25" s="121"/>
      <c r="K25" s="121">
        <f t="shared" si="6"/>
        <v>0</v>
      </c>
      <c r="L25" s="121"/>
      <c r="M25" s="149">
        <f t="shared" ref="M25:M31" si="7">1-G25/E25</f>
        <v>0.46946641633034447</v>
      </c>
      <c r="N25" s="121"/>
      <c r="O25" s="121"/>
      <c r="P25" s="121"/>
      <c r="Q25" s="121"/>
      <c r="R25" s="155"/>
      <c r="S25" s="155"/>
      <c r="T25" s="155">
        <v>5508126</v>
      </c>
      <c r="U25" s="155"/>
      <c r="V25" s="155">
        <v>681850.20000000298</v>
      </c>
      <c r="W25" s="155"/>
      <c r="X25" s="155"/>
      <c r="Y25" s="155"/>
      <c r="Z25" s="247">
        <f t="shared" si="2"/>
        <v>681850.20000000298</v>
      </c>
      <c r="AA25" s="247">
        <f t="shared" si="4"/>
        <v>0</v>
      </c>
      <c r="AB25" s="156" t="s">
        <v>117</v>
      </c>
    </row>
    <row r="26" spans="1:28" ht="37.5" customHeight="1">
      <c r="A26" s="43"/>
      <c r="B26" s="136">
        <v>19</v>
      </c>
      <c r="C26" s="135" t="s">
        <v>54</v>
      </c>
      <c r="D26" s="22">
        <v>45474</v>
      </c>
      <c r="E26" s="135">
        <v>21986420</v>
      </c>
      <c r="F26" s="135">
        <v>18632283.155000001</v>
      </c>
      <c r="G26" s="135">
        <v>17180375</v>
      </c>
      <c r="H26" s="135">
        <f>13756310+8043793*0.4</f>
        <v>16973827.199999999</v>
      </c>
      <c r="I26" s="135">
        <f>G26-H26</f>
        <v>206547.80000000075</v>
      </c>
      <c r="J26" s="121"/>
      <c r="K26" s="121">
        <f t="shared" si="6"/>
        <v>0</v>
      </c>
      <c r="L26" s="121"/>
      <c r="M26" s="149">
        <f t="shared" si="7"/>
        <v>0.21859152149372207</v>
      </c>
      <c r="N26" s="121"/>
      <c r="O26" s="121"/>
      <c r="P26" s="121"/>
      <c r="Q26" s="121"/>
      <c r="R26" s="155"/>
      <c r="S26" s="155">
        <v>3424065</v>
      </c>
      <c r="T26" s="155"/>
      <c r="U26" s="155"/>
      <c r="V26" s="155">
        <v>206547.80000000075</v>
      </c>
      <c r="W26" s="155"/>
      <c r="X26" s="155"/>
      <c r="Y26" s="155"/>
      <c r="Z26" s="247">
        <f t="shared" si="2"/>
        <v>206547.80000000075</v>
      </c>
      <c r="AA26" s="247">
        <f t="shared" si="4"/>
        <v>0</v>
      </c>
      <c r="AB26" s="156" t="s">
        <v>117</v>
      </c>
    </row>
    <row r="27" spans="1:28" ht="37.5" customHeight="1">
      <c r="A27" s="43"/>
      <c r="B27" s="137">
        <v>20</v>
      </c>
      <c r="C27" s="126" t="s">
        <v>17</v>
      </c>
      <c r="D27" s="127">
        <v>45592</v>
      </c>
      <c r="E27" s="128">
        <v>21124350</v>
      </c>
      <c r="F27" s="124">
        <v>16692700</v>
      </c>
      <c r="G27" s="115">
        <f>1698760+3838900</f>
        <v>5537660</v>
      </c>
      <c r="H27" s="115">
        <v>4688280</v>
      </c>
      <c r="I27" s="115">
        <f t="shared" si="1"/>
        <v>849380</v>
      </c>
      <c r="J27" s="8">
        <f>F27-G27</f>
        <v>11155040</v>
      </c>
      <c r="K27" s="121">
        <f t="shared" si="6"/>
        <v>0</v>
      </c>
      <c r="L27" s="127">
        <f>D27</f>
        <v>45592</v>
      </c>
      <c r="M27" s="160">
        <f t="shared" si="7"/>
        <v>0.73785418249555601</v>
      </c>
      <c r="N27" s="114"/>
      <c r="O27" s="114"/>
      <c r="P27" s="114"/>
      <c r="Q27" s="114"/>
      <c r="R27" s="168"/>
      <c r="S27" s="168">
        <v>3782116.6666666698</v>
      </c>
      <c r="T27" s="168">
        <v>3782116.6666666698</v>
      </c>
      <c r="U27" s="168"/>
      <c r="V27" s="168">
        <v>3658069.9999999898</v>
      </c>
      <c r="W27" s="168">
        <f>782116+7655040</f>
        <v>8437156</v>
      </c>
      <c r="X27" s="168"/>
      <c r="Y27" s="168"/>
      <c r="Z27" s="247">
        <f t="shared" si="2"/>
        <v>12004420</v>
      </c>
      <c r="AA27" s="247"/>
      <c r="AB27" s="163" t="s">
        <v>117</v>
      </c>
    </row>
    <row r="28" spans="1:28" ht="37.5" customHeight="1">
      <c r="A28" s="43"/>
      <c r="B28" s="164">
        <v>21</v>
      </c>
      <c r="C28" s="135" t="s">
        <v>26</v>
      </c>
      <c r="D28" s="22">
        <v>45593</v>
      </c>
      <c r="E28" s="135">
        <v>18218500</v>
      </c>
      <c r="F28" s="135">
        <v>13469930</v>
      </c>
      <c r="G28" s="135">
        <v>13000000</v>
      </c>
      <c r="H28" s="135">
        <f>9298883+1682370+134167+3658042*0.3</f>
        <v>12212832.6</v>
      </c>
      <c r="I28" s="135">
        <f t="shared" si="1"/>
        <v>787167.40000000037</v>
      </c>
      <c r="J28" s="121"/>
      <c r="K28" s="121">
        <f t="shared" si="6"/>
        <v>0</v>
      </c>
      <c r="L28" s="22"/>
      <c r="M28" s="149">
        <f t="shared" si="7"/>
        <v>0.28643960809067703</v>
      </c>
      <c r="N28" s="121"/>
      <c r="O28" s="121"/>
      <c r="P28" s="121"/>
      <c r="Q28" s="121"/>
      <c r="R28" s="155"/>
      <c r="S28" s="155">
        <v>3177196</v>
      </c>
      <c r="T28" s="155">
        <v>523921</v>
      </c>
      <c r="U28" s="155"/>
      <c r="V28" s="155"/>
      <c r="W28" s="155">
        <v>787167.40000000037</v>
      </c>
      <c r="X28" s="155"/>
      <c r="Y28" s="155"/>
      <c r="Z28" s="247">
        <f t="shared" si="2"/>
        <v>787167.40000000037</v>
      </c>
      <c r="AA28" s="247">
        <f t="shared" si="4"/>
        <v>0</v>
      </c>
      <c r="AB28" s="156" t="s">
        <v>117</v>
      </c>
    </row>
    <row r="29" spans="1:28" ht="37.5" customHeight="1">
      <c r="A29" s="43"/>
      <c r="B29" s="619">
        <v>22</v>
      </c>
      <c r="C29" s="620" t="s">
        <v>21</v>
      </c>
      <c r="D29" s="621">
        <v>45592</v>
      </c>
      <c r="E29" s="629">
        <v>121424000</v>
      </c>
      <c r="F29" s="622">
        <v>55000000</v>
      </c>
      <c r="G29" s="624">
        <f>26500*1.45*280*4+6000000</f>
        <v>49036000</v>
      </c>
      <c r="H29" s="623">
        <f>55000*280+2400000</f>
        <v>17800000</v>
      </c>
      <c r="I29" s="624">
        <f t="shared" si="1"/>
        <v>31236000</v>
      </c>
      <c r="J29" s="624"/>
      <c r="K29" s="623">
        <f t="shared" si="6"/>
        <v>0</v>
      </c>
      <c r="L29" s="621">
        <f>D29</f>
        <v>45592</v>
      </c>
      <c r="M29" s="625">
        <f t="shared" si="7"/>
        <v>0.59615891421794709</v>
      </c>
      <c r="N29" s="623"/>
      <c r="O29" s="623"/>
      <c r="P29" s="630"/>
      <c r="Q29" s="623"/>
      <c r="R29" s="623"/>
      <c r="S29" s="623"/>
      <c r="T29" s="623">
        <v>28404500</v>
      </c>
      <c r="U29" s="623"/>
      <c r="V29" s="623">
        <v>26004500</v>
      </c>
      <c r="W29" s="623">
        <v>5231500</v>
      </c>
      <c r="X29" s="631"/>
      <c r="Y29" s="631"/>
      <c r="Z29" s="626">
        <f t="shared" si="2"/>
        <v>31236000</v>
      </c>
      <c r="AA29" s="626">
        <f t="shared" si="4"/>
        <v>0</v>
      </c>
      <c r="AB29" s="632"/>
    </row>
    <row r="30" spans="1:28" ht="37.5" customHeight="1">
      <c r="A30" s="43"/>
      <c r="B30" s="59">
        <v>23</v>
      </c>
      <c r="C30" s="10" t="s">
        <v>18</v>
      </c>
      <c r="D30" s="11">
        <v>45592</v>
      </c>
      <c r="E30" s="4">
        <v>15263600</v>
      </c>
      <c r="F30" s="7">
        <v>12349580</v>
      </c>
      <c r="G30" s="8"/>
      <c r="H30" s="5"/>
      <c r="I30" s="21">
        <f t="shared" si="1"/>
        <v>0</v>
      </c>
      <c r="J30" s="8">
        <f>F30</f>
        <v>12349580</v>
      </c>
      <c r="K30" s="121">
        <f t="shared" si="6"/>
        <v>0</v>
      </c>
      <c r="L30" s="12">
        <f>D30</f>
        <v>45592</v>
      </c>
      <c r="M30" s="6">
        <f t="shared" si="7"/>
        <v>1</v>
      </c>
      <c r="N30" s="5"/>
      <c r="O30" s="5"/>
      <c r="P30" s="5"/>
      <c r="S30" s="5">
        <v>6174790</v>
      </c>
      <c r="T30" s="5"/>
      <c r="U30" s="5"/>
      <c r="V30" s="5">
        <v>6174790</v>
      </c>
      <c r="W30" s="5">
        <v>6174790</v>
      </c>
      <c r="X30" s="64"/>
      <c r="Y30" s="64"/>
      <c r="Z30" s="247">
        <f t="shared" si="2"/>
        <v>12349580</v>
      </c>
      <c r="AA30" s="247">
        <f t="shared" si="4"/>
        <v>0</v>
      </c>
      <c r="AB30" s="82"/>
    </row>
    <row r="31" spans="1:28" ht="37.5" customHeight="1">
      <c r="A31" s="43"/>
      <c r="B31" s="164">
        <v>24</v>
      </c>
      <c r="C31" s="135" t="s">
        <v>85</v>
      </c>
      <c r="D31" s="22">
        <v>45592</v>
      </c>
      <c r="E31" s="890">
        <v>117000000</v>
      </c>
      <c r="F31" s="135">
        <f>39424791.59+11216060</f>
        <v>50640851.590000004</v>
      </c>
      <c r="G31" s="135">
        <v>68331343</v>
      </c>
      <c r="H31" s="135">
        <f>17082836+14369678</f>
        <v>31452514</v>
      </c>
      <c r="I31" s="135">
        <f t="shared" si="1"/>
        <v>36878829</v>
      </c>
      <c r="J31" s="121"/>
      <c r="K31" s="121">
        <f t="shared" si="6"/>
        <v>0</v>
      </c>
      <c r="L31" s="22">
        <f>D31</f>
        <v>45592</v>
      </c>
      <c r="M31" s="149">
        <f t="shared" si="7"/>
        <v>0.41597142735042736</v>
      </c>
      <c r="N31" s="121"/>
      <c r="O31" s="121"/>
      <c r="P31" s="121"/>
      <c r="Q31" s="121"/>
      <c r="R31" s="155"/>
      <c r="S31" s="155"/>
      <c r="T31" s="155">
        <v>10917164</v>
      </c>
      <c r="U31" s="155"/>
      <c r="V31" s="155">
        <v>17000000</v>
      </c>
      <c r="W31" s="155">
        <v>17000000</v>
      </c>
      <c r="X31" s="155">
        <v>9000000</v>
      </c>
      <c r="Y31" s="155">
        <f>8331343-82836</f>
        <v>8248507</v>
      </c>
      <c r="Z31" s="247">
        <f t="shared" si="2"/>
        <v>36878829</v>
      </c>
      <c r="AA31" s="247">
        <f t="shared" si="4"/>
        <v>-14369678</v>
      </c>
      <c r="AB31" s="156" t="s">
        <v>117</v>
      </c>
    </row>
    <row r="32" spans="1:28" ht="37.5" customHeight="1">
      <c r="A32" s="43"/>
      <c r="B32" s="164" t="s">
        <v>86</v>
      </c>
      <c r="C32" s="135" t="s">
        <v>87</v>
      </c>
      <c r="D32" s="22">
        <v>45593</v>
      </c>
      <c r="E32" s="891"/>
      <c r="F32" s="135">
        <f>49825209.42+16265329.6-5674000</f>
        <v>60416539.020000003</v>
      </c>
      <c r="G32" s="135">
        <v>31460182</v>
      </c>
      <c r="H32" s="135">
        <f>G32*0.25</f>
        <v>7865045.5</v>
      </c>
      <c r="I32" s="135">
        <f t="shared" si="1"/>
        <v>23595136.5</v>
      </c>
      <c r="J32" s="121"/>
      <c r="K32" s="121">
        <f t="shared" si="6"/>
        <v>0</v>
      </c>
      <c r="L32" s="22"/>
      <c r="M32" s="149"/>
      <c r="N32" s="121"/>
      <c r="O32" s="121"/>
      <c r="P32" s="121"/>
      <c r="Q32" s="121"/>
      <c r="R32" s="121"/>
      <c r="S32" s="121">
        <v>6609053.9019999998</v>
      </c>
      <c r="T32" s="121">
        <v>6609053.9019999998</v>
      </c>
      <c r="U32" s="155"/>
      <c r="V32" s="155">
        <v>8609053.9020000007</v>
      </c>
      <c r="W32" s="155">
        <v>8609053.9020000007</v>
      </c>
      <c r="X32" s="155">
        <v>8609053.9020000007</v>
      </c>
      <c r="Y32" s="155">
        <v>5609053.9019999998</v>
      </c>
      <c r="Z32" s="247">
        <f t="shared" si="2"/>
        <v>23595136.5</v>
      </c>
      <c r="AA32" s="247"/>
      <c r="AB32" s="156"/>
    </row>
    <row r="33" spans="1:28" ht="37.5" customHeight="1">
      <c r="A33" s="43"/>
      <c r="B33" s="60" t="s">
        <v>88</v>
      </c>
      <c r="C33" s="126" t="s">
        <v>327</v>
      </c>
      <c r="D33" s="127">
        <v>45717</v>
      </c>
      <c r="E33" s="892"/>
      <c r="F33" s="125">
        <f>10943856+5674000</f>
        <v>16617856</v>
      </c>
      <c r="G33" s="122">
        <v>5269856</v>
      </c>
      <c r="H33" s="122">
        <f>G33*0.25</f>
        <v>1317464</v>
      </c>
      <c r="I33" s="123">
        <v>5269856</v>
      </c>
      <c r="J33" s="122">
        <v>5674000</v>
      </c>
      <c r="K33" s="121"/>
      <c r="L33" s="12"/>
      <c r="M33" s="6"/>
      <c r="N33" s="5"/>
      <c r="O33" s="5"/>
      <c r="P33" s="5"/>
      <c r="Q33" s="5"/>
      <c r="R33" s="5"/>
      <c r="S33" s="5">
        <v>2634500</v>
      </c>
      <c r="T33" s="5">
        <v>2634500</v>
      </c>
      <c r="U33" s="5"/>
      <c r="V33" s="5">
        <f>2634500+3000000</f>
        <v>5634500</v>
      </c>
      <c r="W33" s="56">
        <f>3040356+2300000</f>
        <v>5340356</v>
      </c>
      <c r="X33" s="56"/>
      <c r="Y33" s="56"/>
      <c r="Z33" s="247">
        <f t="shared" si="2"/>
        <v>10943856</v>
      </c>
      <c r="AA33" s="247"/>
      <c r="AB33" s="163" t="s">
        <v>118</v>
      </c>
    </row>
    <row r="34" spans="1:28" ht="37.5" customHeight="1">
      <c r="A34" s="43"/>
      <c r="B34" s="136">
        <v>25</v>
      </c>
      <c r="C34" s="145" t="s">
        <v>19</v>
      </c>
      <c r="D34" s="22">
        <v>45592</v>
      </c>
      <c r="E34" s="135">
        <v>72011500</v>
      </c>
      <c r="F34" s="135">
        <v>42282623</v>
      </c>
      <c r="G34" s="135">
        <f>15235815*2+7700000</f>
        <v>38171630</v>
      </c>
      <c r="H34" s="135">
        <f>2762264+250800+2070000+903256+3392647</f>
        <v>9378967</v>
      </c>
      <c r="I34" s="135">
        <f t="shared" si="1"/>
        <v>28792663</v>
      </c>
      <c r="J34" s="121"/>
      <c r="K34" s="121">
        <f t="shared" si="6"/>
        <v>0</v>
      </c>
      <c r="L34" s="22">
        <f>D34</f>
        <v>45592</v>
      </c>
      <c r="M34" s="149">
        <f>1-G34/E34</f>
        <v>0.469923137276685</v>
      </c>
      <c r="N34" s="121"/>
      <c r="O34" s="121"/>
      <c r="P34" s="121"/>
      <c r="Q34" s="121"/>
      <c r="R34" s="155"/>
      <c r="S34" s="155"/>
      <c r="T34" s="155">
        <v>6094326</v>
      </c>
      <c r="U34" s="155"/>
      <c r="V34" s="155">
        <v>7094326</v>
      </c>
      <c r="W34" s="155">
        <v>7094326</v>
      </c>
      <c r="X34" s="155">
        <f>6094326+235206</f>
        <v>6329532</v>
      </c>
      <c r="Y34" s="155">
        <v>3967126</v>
      </c>
      <c r="Z34" s="247">
        <f t="shared" si="2"/>
        <v>28792663</v>
      </c>
      <c r="AA34" s="247">
        <f t="shared" si="4"/>
        <v>4307353</v>
      </c>
      <c r="AB34" s="165" t="s">
        <v>117</v>
      </c>
    </row>
    <row r="35" spans="1:28" ht="37.5" customHeight="1">
      <c r="A35" s="43"/>
      <c r="B35" s="136">
        <v>26</v>
      </c>
      <c r="C35" s="145" t="s">
        <v>20</v>
      </c>
      <c r="D35" s="22">
        <v>45592</v>
      </c>
      <c r="E35" s="135">
        <v>34752905</v>
      </c>
      <c r="F35" s="135">
        <v>34752905</v>
      </c>
      <c r="G35" s="135">
        <v>46267080</v>
      </c>
      <c r="H35" s="135">
        <f>23113540+2668858</f>
        <v>25782398</v>
      </c>
      <c r="I35" s="135">
        <f t="shared" si="1"/>
        <v>20484682</v>
      </c>
      <c r="J35" s="121"/>
      <c r="K35" s="121">
        <f t="shared" si="6"/>
        <v>0</v>
      </c>
      <c r="L35" s="22">
        <f>D35</f>
        <v>45592</v>
      </c>
      <c r="M35" s="149">
        <f>1-G35/E35</f>
        <v>-0.33131546844788939</v>
      </c>
      <c r="N35" s="121"/>
      <c r="O35" s="121"/>
      <c r="P35" s="121"/>
      <c r="Q35" s="121"/>
      <c r="R35" s="121"/>
      <c r="S35" s="121">
        <v>5900000</v>
      </c>
      <c r="T35" s="121">
        <v>8850000</v>
      </c>
      <c r="U35" s="121"/>
      <c r="V35" s="121">
        <v>8850000</v>
      </c>
      <c r="W35" s="121">
        <v>8850000</v>
      </c>
      <c r="X35" s="155">
        <f>5900000-3115318</f>
        <v>2784682</v>
      </c>
      <c r="Y35" s="155"/>
      <c r="Z35" s="247">
        <f t="shared" si="2"/>
        <v>20484682</v>
      </c>
      <c r="AA35" s="247">
        <f t="shared" si="4"/>
        <v>0</v>
      </c>
      <c r="AB35" s="156"/>
    </row>
    <row r="36" spans="1:28" ht="37.5" customHeight="1">
      <c r="A36" s="43"/>
      <c r="B36" s="136">
        <v>27</v>
      </c>
      <c r="C36" s="135" t="s">
        <v>77</v>
      </c>
      <c r="D36" s="22">
        <v>45629</v>
      </c>
      <c r="E36" s="135">
        <f>95688755-E37</f>
        <v>77163155</v>
      </c>
      <c r="F36" s="135">
        <v>60269252</v>
      </c>
      <c r="G36" s="135">
        <f>1234000*38.5</f>
        <v>47509000</v>
      </c>
      <c r="H36" s="135">
        <v>7761441</v>
      </c>
      <c r="I36" s="135">
        <f t="shared" si="1"/>
        <v>39747559</v>
      </c>
      <c r="J36" s="121"/>
      <c r="K36" s="121">
        <f t="shared" si="6"/>
        <v>0</v>
      </c>
      <c r="L36" s="22">
        <f>D36</f>
        <v>45629</v>
      </c>
      <c r="M36" s="149">
        <f>1-G36/E36</f>
        <v>0.38430459459569788</v>
      </c>
      <c r="N36" s="121"/>
      <c r="O36" s="121"/>
      <c r="P36" s="121"/>
      <c r="Q36" s="121"/>
      <c r="R36" s="155"/>
      <c r="S36" s="155">
        <v>3611920</v>
      </c>
      <c r="T36" s="155">
        <v>7350000</v>
      </c>
      <c r="U36" s="155"/>
      <c r="V36" s="155">
        <v>9850000</v>
      </c>
      <c r="W36" s="155">
        <v>9850000</v>
      </c>
      <c r="X36" s="155">
        <v>9850000</v>
      </c>
      <c r="Y36" s="155">
        <v>9850000</v>
      </c>
      <c r="Z36" s="247">
        <f t="shared" si="2"/>
        <v>39747559</v>
      </c>
      <c r="AA36" s="247"/>
      <c r="AB36" s="165" t="s">
        <v>117</v>
      </c>
    </row>
    <row r="37" spans="1:28" ht="37.5" customHeight="1">
      <c r="A37" s="43"/>
      <c r="B37" s="136" t="s">
        <v>79</v>
      </c>
      <c r="C37" s="132" t="s">
        <v>78</v>
      </c>
      <c r="D37" s="22">
        <v>45630</v>
      </c>
      <c r="E37" s="133">
        <v>18525600</v>
      </c>
      <c r="F37" s="134">
        <v>16000000</v>
      </c>
      <c r="G37" s="135">
        <v>9961998</v>
      </c>
      <c r="H37" s="121">
        <v>2490500</v>
      </c>
      <c r="I37" s="135">
        <f t="shared" si="1"/>
        <v>7471498</v>
      </c>
      <c r="J37" s="121"/>
      <c r="K37" s="121">
        <f t="shared" si="6"/>
        <v>0</v>
      </c>
      <c r="L37" s="22"/>
      <c r="M37" s="149"/>
      <c r="N37" s="121"/>
      <c r="O37" s="121"/>
      <c r="P37" s="121"/>
      <c r="Q37" s="121"/>
      <c r="R37" s="121"/>
      <c r="S37" s="121">
        <v>2490499.3333333335</v>
      </c>
      <c r="T37" s="121">
        <v>2490499.3333333335</v>
      </c>
      <c r="U37" s="121"/>
      <c r="V37" s="121">
        <v>2490499.3333333335</v>
      </c>
      <c r="W37" s="155">
        <v>4980998.666666666</v>
      </c>
      <c r="X37" s="155"/>
      <c r="Y37" s="155"/>
      <c r="Z37" s="247">
        <f t="shared" si="2"/>
        <v>7471498</v>
      </c>
      <c r="AA37" s="247">
        <f t="shared" si="4"/>
        <v>0</v>
      </c>
      <c r="AB37" s="166"/>
    </row>
    <row r="38" spans="1:28" ht="37.5" customHeight="1">
      <c r="A38" s="43"/>
      <c r="B38" s="136">
        <v>28</v>
      </c>
      <c r="C38" s="132" t="s">
        <v>80</v>
      </c>
      <c r="D38" s="22">
        <v>45539</v>
      </c>
      <c r="E38" s="133">
        <f>312133855-34256200</f>
        <v>277877655</v>
      </c>
      <c r="F38" s="134">
        <v>154722922.85714301</v>
      </c>
      <c r="G38" s="135">
        <f>79817400+46500000+(65*411603)</f>
        <v>153071595</v>
      </c>
      <c r="H38" s="135">
        <f>79817400+4206500+135000+3514951+54000+243000+302500+2000000+36677+360750+447090+247500+698500+721500+855625+909090+3827164+3769951+388220+384400</f>
        <v>102919818</v>
      </c>
      <c r="I38" s="135">
        <f t="shared" si="1"/>
        <v>50151777</v>
      </c>
      <c r="J38" s="121"/>
      <c r="K38" s="121">
        <f t="shared" si="6"/>
        <v>0</v>
      </c>
      <c r="L38" s="22">
        <f>D38</f>
        <v>45539</v>
      </c>
      <c r="M38" s="149">
        <f>1-G38/E38</f>
        <v>0.449140324003382</v>
      </c>
      <c r="N38" s="121"/>
      <c r="O38" s="121"/>
      <c r="P38" s="121"/>
      <c r="Q38" s="121"/>
      <c r="R38" s="121"/>
      <c r="S38" s="121">
        <f>4267588-360750-447090</f>
        <v>3459748</v>
      </c>
      <c r="T38" s="121">
        <v>13782539</v>
      </c>
      <c r="U38" s="121"/>
      <c r="V38" s="121">
        <v>7782539</v>
      </c>
      <c r="W38" s="121">
        <v>15782539</v>
      </c>
      <c r="X38" s="155">
        <v>15782539</v>
      </c>
      <c r="Y38" s="155">
        <v>11173895</v>
      </c>
      <c r="Z38" s="247">
        <f t="shared" si="2"/>
        <v>50151777</v>
      </c>
      <c r="AA38" s="247">
        <f t="shared" si="4"/>
        <v>-369735</v>
      </c>
      <c r="AB38" s="166"/>
    </row>
    <row r="39" spans="1:28" ht="37.5" customHeight="1">
      <c r="A39" s="43"/>
      <c r="B39" s="136" t="s">
        <v>82</v>
      </c>
      <c r="C39" s="132" t="s">
        <v>81</v>
      </c>
      <c r="D39" s="22">
        <v>45962</v>
      </c>
      <c r="E39" s="133">
        <v>34256200</v>
      </c>
      <c r="F39" s="134">
        <v>29000000</v>
      </c>
      <c r="G39" s="135">
        <f>3150000+25165671</f>
        <v>28315671</v>
      </c>
      <c r="H39" s="135">
        <v>10066031</v>
      </c>
      <c r="I39" s="135">
        <f t="shared" si="1"/>
        <v>18249640</v>
      </c>
      <c r="J39" s="121"/>
      <c r="K39" s="121">
        <f t="shared" si="6"/>
        <v>0</v>
      </c>
      <c r="L39" s="127">
        <f>D39</f>
        <v>45962</v>
      </c>
      <c r="M39" s="160"/>
      <c r="N39" s="114"/>
      <c r="O39" s="114"/>
      <c r="P39" s="114"/>
      <c r="Q39" s="114"/>
      <c r="R39" s="114"/>
      <c r="S39" s="114"/>
      <c r="T39" s="114">
        <v>5249640</v>
      </c>
      <c r="U39" s="114"/>
      <c r="V39" s="114">
        <v>7000000</v>
      </c>
      <c r="W39" s="114">
        <v>7000000</v>
      </c>
      <c r="X39" s="114">
        <f>5000000-750360</f>
        <v>4249640</v>
      </c>
      <c r="Y39" s="168"/>
      <c r="Z39" s="247">
        <f t="shared" si="2"/>
        <v>18249640</v>
      </c>
      <c r="AA39" s="247">
        <f t="shared" si="4"/>
        <v>0</v>
      </c>
      <c r="AB39" s="163" t="s">
        <v>118</v>
      </c>
    </row>
    <row r="40" spans="1:28" ht="37.5" customHeight="1">
      <c r="A40" s="43"/>
      <c r="B40" s="136">
        <v>29</v>
      </c>
      <c r="C40" s="132" t="s">
        <v>28</v>
      </c>
      <c r="D40" s="22">
        <v>45600</v>
      </c>
      <c r="E40" s="133">
        <v>60199030</v>
      </c>
      <c r="F40" s="134">
        <v>55750703</v>
      </c>
      <c r="G40" s="135">
        <v>46267080</v>
      </c>
      <c r="H40" s="135">
        <v>9773346</v>
      </c>
      <c r="I40" s="135">
        <f t="shared" si="1"/>
        <v>36493734</v>
      </c>
      <c r="J40" s="121"/>
      <c r="K40" s="121">
        <f t="shared" si="6"/>
        <v>0</v>
      </c>
      <c r="L40" s="22">
        <f>D40</f>
        <v>45600</v>
      </c>
      <c r="M40" s="149">
        <f>1-G40/E40</f>
        <v>0.2314314699090666</v>
      </c>
      <c r="N40" s="121"/>
      <c r="O40" s="121"/>
      <c r="P40" s="121"/>
      <c r="Q40" s="121"/>
      <c r="R40" s="121"/>
      <c r="S40" s="121">
        <v>9773346</v>
      </c>
      <c r="T40" s="121">
        <f>16350000-9773346</f>
        <v>6576654</v>
      </c>
      <c r="U40" s="121"/>
      <c r="V40" s="121"/>
      <c r="W40" s="155">
        <v>16350000</v>
      </c>
      <c r="X40" s="155">
        <v>20143734</v>
      </c>
      <c r="Y40" s="155"/>
      <c r="Z40" s="247">
        <f t="shared" si="2"/>
        <v>36493734</v>
      </c>
      <c r="AA40" s="247">
        <f t="shared" si="4"/>
        <v>0</v>
      </c>
      <c r="AB40" s="166"/>
    </row>
    <row r="41" spans="1:28" ht="37.5" customHeight="1">
      <c r="A41" s="43"/>
      <c r="B41" s="136">
        <v>30</v>
      </c>
      <c r="C41" s="135" t="s">
        <v>89</v>
      </c>
      <c r="D41" s="22">
        <v>45600</v>
      </c>
      <c r="E41" s="135">
        <f>418623550-60118449</f>
        <v>358505101</v>
      </c>
      <c r="F41" s="135">
        <v>280680000</v>
      </c>
      <c r="G41" s="135">
        <f>200000000+651423+(2*4750000)</f>
        <v>210151423</v>
      </c>
      <c r="H41" s="135">
        <f>17700866*2+4750000+17700866+13845314</f>
        <v>71697912</v>
      </c>
      <c r="I41" s="135">
        <f t="shared" si="1"/>
        <v>138453511</v>
      </c>
      <c r="J41" s="8">
        <v>15500000</v>
      </c>
      <c r="K41" s="121">
        <f t="shared" si="6"/>
        <v>0</v>
      </c>
      <c r="L41" s="22">
        <v>45600</v>
      </c>
      <c r="M41" s="149">
        <v>1</v>
      </c>
      <c r="N41" s="121"/>
      <c r="O41" s="121"/>
      <c r="P41" s="121"/>
      <c r="Q41" s="121"/>
      <c r="R41" s="155"/>
      <c r="S41" s="155"/>
      <c r="T41" s="155">
        <v>38519653.600000001</v>
      </c>
      <c r="U41" s="155"/>
      <c r="V41" s="155">
        <v>38519653.600000001</v>
      </c>
      <c r="W41" s="155">
        <v>38519653.600000001</v>
      </c>
      <c r="X41" s="155">
        <v>38519653.600000001</v>
      </c>
      <c r="Y41" s="155">
        <v>38394550.20000001</v>
      </c>
      <c r="Z41" s="247">
        <f t="shared" si="2"/>
        <v>153953511</v>
      </c>
      <c r="AA41" s="247">
        <f t="shared" si="4"/>
        <v>0</v>
      </c>
      <c r="AB41" s="165" t="s">
        <v>117</v>
      </c>
    </row>
    <row r="42" spans="1:28" ht="37.5" customHeight="1">
      <c r="A42" s="43"/>
      <c r="B42" s="61" t="s">
        <v>90</v>
      </c>
      <c r="C42" s="13" t="s">
        <v>83</v>
      </c>
      <c r="D42" s="11">
        <v>45689</v>
      </c>
      <c r="E42" s="17">
        <v>27000000</v>
      </c>
      <c r="F42" s="7">
        <v>20000000</v>
      </c>
      <c r="G42" s="8"/>
      <c r="H42" s="5"/>
      <c r="I42" s="21">
        <f t="shared" si="1"/>
        <v>0</v>
      </c>
      <c r="J42" s="8">
        <f t="shared" ref="J42:J60" si="8">F42</f>
        <v>20000000</v>
      </c>
      <c r="K42" s="121">
        <f t="shared" si="6"/>
        <v>0</v>
      </c>
      <c r="L42" s="12"/>
      <c r="M42" s="6"/>
      <c r="N42" s="5"/>
      <c r="O42" s="5"/>
      <c r="P42" s="5"/>
      <c r="Q42" s="5"/>
      <c r="R42" s="5"/>
      <c r="S42" s="5">
        <v>5000000</v>
      </c>
      <c r="T42" s="5">
        <v>3500000</v>
      </c>
      <c r="U42" s="5"/>
      <c r="V42" s="5">
        <v>8500000</v>
      </c>
      <c r="W42" s="5">
        <v>7000000</v>
      </c>
      <c r="X42" s="56">
        <v>3500000</v>
      </c>
      <c r="Y42" s="56">
        <v>1000000</v>
      </c>
      <c r="Z42" s="247">
        <f t="shared" si="2"/>
        <v>20000000</v>
      </c>
      <c r="AA42" s="247">
        <f t="shared" si="4"/>
        <v>0</v>
      </c>
      <c r="AB42" s="46"/>
    </row>
    <row r="43" spans="1:28" ht="37.5" customHeight="1">
      <c r="A43" s="43"/>
      <c r="B43" s="137">
        <v>31</v>
      </c>
      <c r="C43" s="126" t="s">
        <v>130</v>
      </c>
      <c r="D43" s="127">
        <v>45600</v>
      </c>
      <c r="E43" s="128">
        <v>35830680</v>
      </c>
      <c r="F43" s="124">
        <v>41230680</v>
      </c>
      <c r="G43" s="114">
        <v>41052919</v>
      </c>
      <c r="H43" s="114">
        <f>21240000*0.5</f>
        <v>10620000</v>
      </c>
      <c r="I43" s="115">
        <f t="shared" si="1"/>
        <v>30432919</v>
      </c>
      <c r="J43" s="114">
        <f>F43-G43</f>
        <v>177761</v>
      </c>
      <c r="K43" s="121">
        <f t="shared" si="6"/>
        <v>0</v>
      </c>
      <c r="L43" s="127">
        <v>45601</v>
      </c>
      <c r="M43" s="160">
        <v>1</v>
      </c>
      <c r="N43" s="114"/>
      <c r="O43" s="114"/>
      <c r="P43" s="114"/>
      <c r="Q43" s="114"/>
      <c r="R43" s="114"/>
      <c r="S43" s="114"/>
      <c r="T43" s="114"/>
      <c r="U43" s="114"/>
      <c r="V43" s="114">
        <v>10315340</v>
      </c>
      <c r="W43" s="168"/>
      <c r="X43" s="168">
        <f>20915340-620000</f>
        <v>20295340</v>
      </c>
      <c r="Y43" s="168"/>
      <c r="Z43" s="247">
        <f t="shared" si="2"/>
        <v>30610680</v>
      </c>
      <c r="AA43" s="247">
        <f t="shared" si="4"/>
        <v>0</v>
      </c>
      <c r="AB43" s="163" t="s">
        <v>118</v>
      </c>
    </row>
    <row r="44" spans="1:28" ht="37.5" customHeight="1">
      <c r="A44" s="43"/>
      <c r="B44" s="59">
        <v>32</v>
      </c>
      <c r="C44" s="13" t="s">
        <v>22</v>
      </c>
      <c r="D44" s="11">
        <v>45601</v>
      </c>
      <c r="E44" s="4">
        <v>187008071.94</v>
      </c>
      <c r="F44" s="7">
        <v>20000000</v>
      </c>
      <c r="G44" s="8"/>
      <c r="H44" s="5"/>
      <c r="I44" s="21">
        <f t="shared" si="1"/>
        <v>0</v>
      </c>
      <c r="J44" s="8">
        <f t="shared" si="8"/>
        <v>20000000</v>
      </c>
      <c r="K44" s="121">
        <f t="shared" si="6"/>
        <v>0</v>
      </c>
      <c r="L44" s="12">
        <v>45626</v>
      </c>
      <c r="M44" s="6">
        <v>1</v>
      </c>
      <c r="N44" s="5"/>
      <c r="O44" s="5"/>
      <c r="P44" s="5"/>
      <c r="Q44" s="5"/>
      <c r="R44" s="5"/>
      <c r="S44" s="5"/>
      <c r="T44" s="5"/>
      <c r="U44" s="5"/>
      <c r="V44" s="5">
        <v>15000000</v>
      </c>
      <c r="W44" s="56"/>
      <c r="X44" s="56">
        <v>5000000</v>
      </c>
      <c r="Y44" s="56"/>
      <c r="Z44" s="247">
        <f t="shared" si="2"/>
        <v>20000000</v>
      </c>
      <c r="AA44" s="247">
        <f t="shared" si="4"/>
        <v>0</v>
      </c>
      <c r="AB44" s="46"/>
    </row>
    <row r="45" spans="1:28" ht="37.5" customHeight="1">
      <c r="A45" s="43"/>
      <c r="B45" s="59">
        <v>33</v>
      </c>
      <c r="C45" s="13" t="s">
        <v>40</v>
      </c>
      <c r="D45" s="11">
        <v>45626</v>
      </c>
      <c r="E45" s="4">
        <v>8000000</v>
      </c>
      <c r="F45" s="7">
        <v>8000000</v>
      </c>
      <c r="G45" s="8"/>
      <c r="H45" s="5"/>
      <c r="I45" s="21">
        <f t="shared" si="1"/>
        <v>0</v>
      </c>
      <c r="J45" s="8">
        <f t="shared" si="8"/>
        <v>8000000</v>
      </c>
      <c r="K45" s="121">
        <f t="shared" si="6"/>
        <v>0</v>
      </c>
      <c r="L45" s="9" t="s">
        <v>57</v>
      </c>
      <c r="M45" s="6"/>
      <c r="N45" s="5"/>
      <c r="O45" s="12"/>
      <c r="P45" s="6"/>
      <c r="Q45" s="5"/>
      <c r="R45" s="5"/>
      <c r="S45" s="5"/>
      <c r="T45" s="5"/>
      <c r="U45" s="5"/>
      <c r="V45" s="5">
        <v>5600000</v>
      </c>
      <c r="W45" s="56"/>
      <c r="X45" s="56">
        <v>2400000</v>
      </c>
      <c r="Y45" s="56"/>
      <c r="Z45" s="247">
        <f t="shared" si="2"/>
        <v>8000000</v>
      </c>
      <c r="AA45" s="247">
        <f t="shared" si="4"/>
        <v>0</v>
      </c>
      <c r="AB45" s="46"/>
    </row>
    <row r="46" spans="1:28" ht="37.5" customHeight="1">
      <c r="A46" s="43"/>
      <c r="B46" s="59">
        <v>34</v>
      </c>
      <c r="C46" s="13" t="s">
        <v>23</v>
      </c>
      <c r="D46" s="12">
        <v>45627</v>
      </c>
      <c r="E46" s="14"/>
      <c r="F46" s="7">
        <v>18438000</v>
      </c>
      <c r="G46" s="8"/>
      <c r="H46" s="5"/>
      <c r="I46" s="21">
        <f t="shared" si="1"/>
        <v>0</v>
      </c>
      <c r="J46" s="8">
        <f t="shared" si="8"/>
        <v>18438000</v>
      </c>
      <c r="K46" s="121">
        <f t="shared" si="6"/>
        <v>0</v>
      </c>
      <c r="L46" s="9"/>
      <c r="M46" s="6"/>
      <c r="N46" s="5"/>
      <c r="O46" s="5"/>
      <c r="P46" s="5"/>
      <c r="Q46" s="5"/>
      <c r="R46" s="5"/>
      <c r="S46" s="5"/>
      <c r="T46" s="5"/>
      <c r="U46" s="5"/>
      <c r="V46" s="5">
        <v>9219000</v>
      </c>
      <c r="W46" s="56"/>
      <c r="X46" s="56">
        <v>9219000</v>
      </c>
      <c r="Y46" s="56"/>
      <c r="Z46" s="247">
        <f t="shared" si="2"/>
        <v>18438000</v>
      </c>
      <c r="AA46" s="247">
        <f t="shared" si="4"/>
        <v>0</v>
      </c>
      <c r="AB46" s="46"/>
    </row>
    <row r="47" spans="1:28" ht="37.5" customHeight="1">
      <c r="A47" s="43"/>
      <c r="B47" s="59">
        <v>35</v>
      </c>
      <c r="C47" s="13" t="s">
        <v>41</v>
      </c>
      <c r="D47" s="11">
        <v>45628</v>
      </c>
      <c r="E47" s="4">
        <v>6989660</v>
      </c>
      <c r="F47" s="7">
        <v>13804200</v>
      </c>
      <c r="G47" s="8"/>
      <c r="H47" s="5"/>
      <c r="I47" s="21">
        <f t="shared" si="1"/>
        <v>0</v>
      </c>
      <c r="J47" s="8">
        <f t="shared" si="8"/>
        <v>13804200</v>
      </c>
      <c r="K47" s="121">
        <f t="shared" si="6"/>
        <v>0</v>
      </c>
      <c r="L47" s="12">
        <v>45632</v>
      </c>
      <c r="M47" s="6">
        <v>1</v>
      </c>
      <c r="N47" s="5"/>
      <c r="O47" s="5"/>
      <c r="P47" s="5"/>
      <c r="Q47" s="5"/>
      <c r="R47" s="5"/>
      <c r="S47" s="5"/>
      <c r="T47" s="5">
        <v>9662940</v>
      </c>
      <c r="U47" s="5"/>
      <c r="V47" s="5"/>
      <c r="W47" s="56">
        <v>9662940</v>
      </c>
      <c r="X47" s="56">
        <v>4141260</v>
      </c>
      <c r="Y47" s="56"/>
      <c r="Z47" s="247">
        <f t="shared" si="2"/>
        <v>13804200</v>
      </c>
      <c r="AA47" s="247">
        <f t="shared" si="4"/>
        <v>0</v>
      </c>
      <c r="AB47" s="46"/>
    </row>
    <row r="48" spans="1:28" ht="37.5" customHeight="1">
      <c r="A48" s="43"/>
      <c r="B48" s="137">
        <v>36</v>
      </c>
      <c r="C48" s="126" t="s">
        <v>29</v>
      </c>
      <c r="D48" s="127">
        <v>45632</v>
      </c>
      <c r="E48" s="627">
        <f>162630251-E49-E50</f>
        <v>139951151</v>
      </c>
      <c r="F48" s="124">
        <f>117334000/0.82-F49-F50</f>
        <v>126180487.90243903</v>
      </c>
      <c r="G48" s="114">
        <v>66000000</v>
      </c>
      <c r="H48" s="114">
        <v>40000000</v>
      </c>
      <c r="I48" s="115">
        <f t="shared" si="1"/>
        <v>26000000</v>
      </c>
      <c r="J48" s="8">
        <v>13200000</v>
      </c>
      <c r="K48" s="114">
        <f t="shared" si="6"/>
        <v>0</v>
      </c>
      <c r="L48" s="127">
        <v>45633</v>
      </c>
      <c r="M48" s="160">
        <v>1</v>
      </c>
      <c r="N48" s="114"/>
      <c r="O48" s="114"/>
      <c r="P48" s="114"/>
      <c r="Q48" s="114"/>
      <c r="R48" s="114"/>
      <c r="S48" s="114">
        <v>21030081.383280784</v>
      </c>
      <c r="T48" s="114">
        <v>21030081.383280784</v>
      </c>
      <c r="U48" s="114"/>
      <c r="V48" s="114">
        <v>40000000</v>
      </c>
      <c r="W48" s="114">
        <v>13200000</v>
      </c>
      <c r="X48" s="114">
        <v>20000000</v>
      </c>
      <c r="Y48" s="168"/>
      <c r="Z48" s="247">
        <f t="shared" si="2"/>
        <v>39200000</v>
      </c>
      <c r="AA48" s="247">
        <f t="shared" si="4"/>
        <v>-34000000</v>
      </c>
      <c r="AB48" s="163" t="s">
        <v>118</v>
      </c>
    </row>
    <row r="49" spans="1:28" ht="37.5" customHeight="1">
      <c r="A49" s="43"/>
      <c r="B49" s="61" t="s">
        <v>91</v>
      </c>
      <c r="C49" s="13" t="s">
        <v>92</v>
      </c>
      <c r="D49" s="11">
        <v>45633</v>
      </c>
      <c r="E49" s="167">
        <v>8443500</v>
      </c>
      <c r="F49" s="7">
        <f>7500*600</f>
        <v>4500000</v>
      </c>
      <c r="G49" s="8"/>
      <c r="H49" s="5"/>
      <c r="I49" s="21">
        <f t="shared" si="1"/>
        <v>0</v>
      </c>
      <c r="J49" s="8">
        <f t="shared" si="8"/>
        <v>4500000</v>
      </c>
      <c r="K49" s="121">
        <f t="shared" si="6"/>
        <v>0</v>
      </c>
      <c r="L49" s="12"/>
      <c r="M49" s="6"/>
      <c r="N49" s="5"/>
      <c r="O49" s="5"/>
      <c r="P49" s="5"/>
      <c r="Q49" s="5"/>
      <c r="R49" s="5"/>
      <c r="S49" s="5"/>
      <c r="T49" s="5">
        <v>1800000</v>
      </c>
      <c r="U49" s="5"/>
      <c r="V49" s="5">
        <v>1800000</v>
      </c>
      <c r="W49" s="5">
        <v>1800000</v>
      </c>
      <c r="X49" s="5">
        <v>900000</v>
      </c>
      <c r="Y49" s="56"/>
      <c r="Z49" s="247">
        <f t="shared" si="2"/>
        <v>4500000</v>
      </c>
      <c r="AA49" s="247">
        <f t="shared" si="4"/>
        <v>0</v>
      </c>
      <c r="AB49" s="46"/>
    </row>
    <row r="50" spans="1:28" ht="37.5" customHeight="1">
      <c r="A50" s="43"/>
      <c r="B50" s="138" t="s">
        <v>93</v>
      </c>
      <c r="C50" s="126" t="s">
        <v>94</v>
      </c>
      <c r="D50" s="127">
        <v>45634</v>
      </c>
      <c r="E50" s="129">
        <v>14235600</v>
      </c>
      <c r="F50" s="124">
        <v>12409756</v>
      </c>
      <c r="G50" s="114">
        <v>5846400</v>
      </c>
      <c r="H50" s="114">
        <f>G50*0.25</f>
        <v>1461600</v>
      </c>
      <c r="I50" s="115">
        <f t="shared" si="1"/>
        <v>4384800</v>
      </c>
      <c r="J50" s="8">
        <f>F50-G50</f>
        <v>6563356</v>
      </c>
      <c r="K50" s="121">
        <f t="shared" si="6"/>
        <v>0</v>
      </c>
      <c r="L50" s="127"/>
      <c r="M50" s="160"/>
      <c r="N50" s="114"/>
      <c r="O50" s="114"/>
      <c r="P50" s="114"/>
      <c r="Q50" s="114"/>
      <c r="R50" s="114"/>
      <c r="S50" s="114">
        <v>4963902.4000000004</v>
      </c>
      <c r="T50" s="114"/>
      <c r="U50" s="114"/>
      <c r="V50" s="114">
        <v>4963902.4390243888</v>
      </c>
      <c r="W50" s="114">
        <v>4963902.4390243888</v>
      </c>
      <c r="X50" s="168">
        <v>2481951.1609756099</v>
      </c>
      <c r="Y50" s="168"/>
      <c r="Z50" s="247">
        <f t="shared" si="2"/>
        <v>10948156</v>
      </c>
      <c r="AA50" s="247">
        <f t="shared" si="4"/>
        <v>-1461600.0390243875</v>
      </c>
      <c r="AB50" s="163" t="s">
        <v>118</v>
      </c>
    </row>
    <row r="51" spans="1:28" ht="37.5" customHeight="1">
      <c r="A51" s="43"/>
      <c r="B51" s="59">
        <v>37</v>
      </c>
      <c r="C51" s="13" t="s">
        <v>30</v>
      </c>
      <c r="D51" s="11">
        <v>45633</v>
      </c>
      <c r="E51" s="4">
        <v>2145530</v>
      </c>
      <c r="F51" s="7">
        <v>2145530</v>
      </c>
      <c r="G51" s="8"/>
      <c r="H51" s="5"/>
      <c r="I51" s="21">
        <f t="shared" si="1"/>
        <v>0</v>
      </c>
      <c r="J51" s="8">
        <f t="shared" si="8"/>
        <v>2145530</v>
      </c>
      <c r="K51" s="121">
        <f t="shared" si="6"/>
        <v>0</v>
      </c>
      <c r="L51" s="12">
        <v>45658</v>
      </c>
      <c r="M51" s="6">
        <v>1</v>
      </c>
      <c r="N51" s="5"/>
      <c r="O51" s="5"/>
      <c r="P51" s="5"/>
      <c r="Q51" s="5"/>
      <c r="R51" s="5"/>
      <c r="S51" s="5"/>
      <c r="T51" s="5">
        <v>2145530</v>
      </c>
      <c r="U51" s="5"/>
      <c r="V51" s="5"/>
      <c r="W51" s="56"/>
      <c r="X51" s="56">
        <v>2145530</v>
      </c>
      <c r="Y51" s="56"/>
      <c r="Z51" s="247">
        <f t="shared" si="2"/>
        <v>2145530</v>
      </c>
      <c r="AA51" s="247">
        <f t="shared" si="4"/>
        <v>0</v>
      </c>
      <c r="AB51" s="46"/>
    </row>
    <row r="52" spans="1:28" ht="37.5" customHeight="1">
      <c r="A52" s="43"/>
      <c r="B52" s="137">
        <v>38</v>
      </c>
      <c r="C52" s="115" t="s">
        <v>31</v>
      </c>
      <c r="D52" s="127">
        <v>45658</v>
      </c>
      <c r="E52" s="128">
        <v>15914889</v>
      </c>
      <c r="F52" s="124">
        <v>17889340</v>
      </c>
      <c r="G52" s="115">
        <v>9905063</v>
      </c>
      <c r="H52" s="115">
        <v>4952531</v>
      </c>
      <c r="I52" s="115">
        <f t="shared" si="1"/>
        <v>4952532</v>
      </c>
      <c r="J52" s="114">
        <v>4200000</v>
      </c>
      <c r="K52" s="114">
        <f t="shared" si="6"/>
        <v>0</v>
      </c>
      <c r="L52" s="127">
        <v>45659</v>
      </c>
      <c r="M52" s="160">
        <v>1</v>
      </c>
      <c r="N52" s="114"/>
      <c r="O52" s="114"/>
      <c r="P52" s="114"/>
      <c r="Q52" s="114"/>
      <c r="R52" s="168"/>
      <c r="S52" s="168">
        <v>4952531</v>
      </c>
      <c r="T52" s="168"/>
      <c r="U52" s="114"/>
      <c r="V52" s="114"/>
      <c r="W52" s="168">
        <f>8944670-752532</f>
        <v>8192138</v>
      </c>
      <c r="X52" s="168">
        <v>960394</v>
      </c>
      <c r="Y52" s="168"/>
      <c r="Z52" s="247">
        <f t="shared" si="2"/>
        <v>9152532</v>
      </c>
      <c r="AA52" s="247">
        <f t="shared" si="4"/>
        <v>0</v>
      </c>
      <c r="AB52" s="163" t="s">
        <v>118</v>
      </c>
    </row>
    <row r="53" spans="1:28" ht="37.5" customHeight="1">
      <c r="A53" s="43"/>
      <c r="B53" s="137">
        <v>39</v>
      </c>
      <c r="C53" s="126" t="s">
        <v>131</v>
      </c>
      <c r="D53" s="127">
        <v>45659</v>
      </c>
      <c r="E53" s="128">
        <v>29324517</v>
      </c>
      <c r="F53" s="124">
        <v>29324517</v>
      </c>
      <c r="G53" s="115">
        <f>1753181+18949420+350000</f>
        <v>21052601</v>
      </c>
      <c r="H53" s="115">
        <f>1753181+9474710+9406599+530292-112181</f>
        <v>21052601</v>
      </c>
      <c r="I53" s="115">
        <f t="shared" si="1"/>
        <v>0</v>
      </c>
      <c r="J53" s="114">
        <f>F53-G53</f>
        <v>8271916</v>
      </c>
      <c r="K53" s="114">
        <f t="shared" si="6"/>
        <v>0</v>
      </c>
      <c r="L53" s="127">
        <v>45660</v>
      </c>
      <c r="M53" s="160">
        <v>1</v>
      </c>
      <c r="N53" s="114"/>
      <c r="O53" s="114"/>
      <c r="P53" s="114"/>
      <c r="Q53" s="114"/>
      <c r="R53" s="114"/>
      <c r="S53" s="114"/>
      <c r="T53" s="114"/>
      <c r="U53" s="114"/>
      <c r="V53" s="114"/>
      <c r="W53" s="168">
        <v>4170222.6666666698</v>
      </c>
      <c r="X53" s="114">
        <v>4105222.6666666698</v>
      </c>
      <c r="Y53" s="168"/>
      <c r="Z53" s="247">
        <f t="shared" si="2"/>
        <v>8271916</v>
      </c>
      <c r="AA53" s="247"/>
      <c r="AB53" s="163" t="s">
        <v>118</v>
      </c>
    </row>
    <row r="54" spans="1:28" ht="37.5" customHeight="1">
      <c r="A54" s="43"/>
      <c r="B54" s="59">
        <v>40</v>
      </c>
      <c r="C54" s="13" t="s">
        <v>42</v>
      </c>
      <c r="D54" s="11">
        <v>45660</v>
      </c>
      <c r="E54" s="4">
        <v>6147120</v>
      </c>
      <c r="F54" s="7">
        <v>6147120</v>
      </c>
      <c r="G54" s="8"/>
      <c r="H54" s="5"/>
      <c r="I54" s="21">
        <f t="shared" si="1"/>
        <v>0</v>
      </c>
      <c r="J54" s="8">
        <f t="shared" si="8"/>
        <v>6147120</v>
      </c>
      <c r="K54" s="121">
        <f t="shared" si="6"/>
        <v>0</v>
      </c>
      <c r="L54" s="12">
        <v>45661</v>
      </c>
      <c r="M54" s="6">
        <v>1</v>
      </c>
      <c r="N54" s="5"/>
      <c r="O54" s="5"/>
      <c r="P54" s="5"/>
      <c r="Q54" s="5"/>
      <c r="R54" s="20"/>
      <c r="S54" s="20"/>
      <c r="T54" s="5"/>
      <c r="U54" s="5"/>
      <c r="V54" s="5">
        <v>4302984</v>
      </c>
      <c r="W54" s="5"/>
      <c r="X54" s="5"/>
      <c r="Y54" s="56">
        <v>1844136</v>
      </c>
      <c r="Z54" s="247">
        <f t="shared" si="2"/>
        <v>6147120</v>
      </c>
      <c r="AA54" s="247">
        <f t="shared" si="4"/>
        <v>0</v>
      </c>
      <c r="AB54" s="46"/>
    </row>
    <row r="55" spans="1:28" ht="37.5" customHeight="1">
      <c r="A55" s="43"/>
      <c r="B55" s="59">
        <v>41</v>
      </c>
      <c r="C55" s="13" t="s">
        <v>43</v>
      </c>
      <c r="D55" s="11">
        <v>45661</v>
      </c>
      <c r="E55" s="4">
        <v>6264080</v>
      </c>
      <c r="F55" s="7">
        <v>5715920</v>
      </c>
      <c r="G55" s="8"/>
      <c r="H55" s="5"/>
      <c r="I55" s="21">
        <f t="shared" si="1"/>
        <v>0</v>
      </c>
      <c r="J55" s="8">
        <f t="shared" si="8"/>
        <v>5715920</v>
      </c>
      <c r="K55" s="121">
        <f t="shared" si="6"/>
        <v>0</v>
      </c>
      <c r="L55" s="12">
        <v>45662</v>
      </c>
      <c r="M55" s="6">
        <v>1</v>
      </c>
      <c r="N55" s="5"/>
      <c r="O55" s="5"/>
      <c r="P55" s="5"/>
      <c r="Q55" s="5"/>
      <c r="R55" s="20"/>
      <c r="S55" s="20"/>
      <c r="T55" s="5"/>
      <c r="U55" s="5"/>
      <c r="V55" s="5">
        <v>4001143.9999999995</v>
      </c>
      <c r="W55" s="5"/>
      <c r="X55" s="5"/>
      <c r="Y55" s="56">
        <v>1714776</v>
      </c>
      <c r="Z55" s="247">
        <f t="shared" si="2"/>
        <v>5715920</v>
      </c>
      <c r="AA55" s="247">
        <f t="shared" si="4"/>
        <v>0</v>
      </c>
      <c r="AB55" s="46"/>
    </row>
    <row r="56" spans="1:28" ht="37.5" customHeight="1">
      <c r="A56" s="43"/>
      <c r="B56" s="136">
        <v>42</v>
      </c>
      <c r="C56" s="132" t="s">
        <v>116</v>
      </c>
      <c r="D56" s="22">
        <v>45662</v>
      </c>
      <c r="E56" s="133">
        <v>7492650</v>
      </c>
      <c r="F56" s="134">
        <v>7492650</v>
      </c>
      <c r="G56" s="330">
        <v>7492650</v>
      </c>
      <c r="H56" s="144">
        <f>4286614+685963+918471+938141+86250</f>
        <v>6915439</v>
      </c>
      <c r="I56" s="144">
        <f t="shared" si="1"/>
        <v>577211</v>
      </c>
      <c r="J56" s="8"/>
      <c r="K56" s="121">
        <f t="shared" si="6"/>
        <v>0</v>
      </c>
      <c r="L56" s="22">
        <v>45662</v>
      </c>
      <c r="M56" s="149">
        <v>1</v>
      </c>
      <c r="N56" s="121"/>
      <c r="O56" s="121"/>
      <c r="P56" s="121"/>
      <c r="Q56" s="121"/>
      <c r="R56" s="121"/>
      <c r="S56" s="121"/>
      <c r="T56" s="121">
        <v>3206036</v>
      </c>
      <c r="U56" s="121"/>
      <c r="V56" s="121"/>
      <c r="W56" s="155">
        <v>577211</v>
      </c>
      <c r="X56" s="155"/>
      <c r="Y56" s="155"/>
      <c r="Z56" s="247">
        <f t="shared" si="2"/>
        <v>577211</v>
      </c>
      <c r="AA56" s="247">
        <f t="shared" si="4"/>
        <v>0</v>
      </c>
      <c r="AB56" s="136" t="s">
        <v>117</v>
      </c>
    </row>
    <row r="57" spans="1:28" ht="37.5" customHeight="1">
      <c r="A57" s="43"/>
      <c r="B57" s="137">
        <v>43</v>
      </c>
      <c r="C57" s="126" t="s">
        <v>33</v>
      </c>
      <c r="D57" s="127">
        <v>45662</v>
      </c>
      <c r="E57" s="128">
        <v>48330248</v>
      </c>
      <c r="F57" s="124">
        <v>41045103.102400005</v>
      </c>
      <c r="G57" s="115">
        <f>8700000+28910640</f>
        <v>37610640</v>
      </c>
      <c r="H57" s="115">
        <f>5677443+28910640*0.3</f>
        <v>14350635</v>
      </c>
      <c r="I57" s="115">
        <f t="shared" si="1"/>
        <v>23260005</v>
      </c>
      <c r="J57" s="8">
        <f>F57-G57</f>
        <v>3434463.1024000049</v>
      </c>
      <c r="K57" s="121">
        <f t="shared" si="6"/>
        <v>0</v>
      </c>
      <c r="L57" s="127">
        <v>45689</v>
      </c>
      <c r="M57" s="160">
        <v>1</v>
      </c>
      <c r="N57" s="114"/>
      <c r="O57" s="114"/>
      <c r="P57" s="114"/>
      <c r="Q57" s="114"/>
      <c r="R57" s="114"/>
      <c r="S57" s="114"/>
      <c r="T57" s="114">
        <v>22574806.706320003</v>
      </c>
      <c r="U57" s="114"/>
      <c r="V57" s="114">
        <v>3022537</v>
      </c>
      <c r="W57" s="168">
        <v>5313530.9307199996</v>
      </c>
      <c r="X57" s="168">
        <v>13901615.171680003</v>
      </c>
      <c r="Y57" s="168">
        <v>4456785</v>
      </c>
      <c r="Z57" s="247">
        <f t="shared" si="2"/>
        <v>26694468.102400005</v>
      </c>
      <c r="AA57" s="247">
        <f t="shared" si="4"/>
        <v>0</v>
      </c>
      <c r="AB57" s="163" t="s">
        <v>119</v>
      </c>
    </row>
    <row r="58" spans="1:28" ht="37.5" customHeight="1">
      <c r="A58" s="43"/>
      <c r="B58" s="136">
        <v>44</v>
      </c>
      <c r="C58" s="132" t="s">
        <v>24</v>
      </c>
      <c r="D58" s="136">
        <v>45689</v>
      </c>
      <c r="E58" s="133">
        <v>34860000</v>
      </c>
      <c r="F58" s="133">
        <v>19116375</v>
      </c>
      <c r="G58" s="148">
        <f>14660000*1.18</f>
        <v>17298800</v>
      </c>
      <c r="H58" s="148">
        <f>14660000*1.18*0.5</f>
        <v>8649400</v>
      </c>
      <c r="I58" s="148">
        <f t="shared" si="1"/>
        <v>8649400</v>
      </c>
      <c r="J58" s="8"/>
      <c r="K58" s="133">
        <f t="shared" si="6"/>
        <v>0</v>
      </c>
      <c r="L58" s="133">
        <v>45690</v>
      </c>
      <c r="M58" s="133">
        <v>1</v>
      </c>
      <c r="N58" s="133"/>
      <c r="O58" s="133"/>
      <c r="P58" s="133"/>
      <c r="Q58" s="133"/>
      <c r="R58" s="133"/>
      <c r="S58" s="133">
        <v>13381462.5</v>
      </c>
      <c r="T58" s="133"/>
      <c r="U58" s="133"/>
      <c r="V58" s="133"/>
      <c r="W58" s="133">
        <v>5734912.5</v>
      </c>
      <c r="X58" s="633">
        <v>2914487.5</v>
      </c>
      <c r="Y58" s="132"/>
      <c r="Z58" s="247">
        <f t="shared" si="2"/>
        <v>8649400</v>
      </c>
      <c r="AA58" s="247">
        <f t="shared" si="4"/>
        <v>0</v>
      </c>
      <c r="AB58" s="136" t="s">
        <v>117</v>
      </c>
    </row>
    <row r="59" spans="1:28" ht="37.5" customHeight="1">
      <c r="A59" s="43"/>
      <c r="B59" s="59">
        <v>45</v>
      </c>
      <c r="C59" s="13" t="s">
        <v>44</v>
      </c>
      <c r="D59" s="11">
        <v>45690</v>
      </c>
      <c r="E59" s="4">
        <v>11074630</v>
      </c>
      <c r="F59" s="7">
        <v>8223361</v>
      </c>
      <c r="G59" s="8"/>
      <c r="H59" s="5"/>
      <c r="I59" s="21">
        <f t="shared" si="1"/>
        <v>0</v>
      </c>
      <c r="J59" s="8">
        <f t="shared" si="8"/>
        <v>8223361</v>
      </c>
      <c r="K59" s="121">
        <f t="shared" si="6"/>
        <v>0</v>
      </c>
      <c r="L59" s="12">
        <v>45691</v>
      </c>
      <c r="M59" s="6">
        <v>1</v>
      </c>
      <c r="N59" s="5"/>
      <c r="O59" s="5"/>
      <c r="P59" s="5"/>
      <c r="Q59" s="5"/>
      <c r="R59" s="5"/>
      <c r="S59" s="5">
        <v>5756352.6999999993</v>
      </c>
      <c r="T59" s="5"/>
      <c r="U59" s="5"/>
      <c r="V59" s="5"/>
      <c r="W59" s="56">
        <v>2467008.2999999998</v>
      </c>
      <c r="X59" s="56">
        <v>5756352.7000000002</v>
      </c>
      <c r="Y59" s="56"/>
      <c r="Z59" s="247">
        <f t="shared" si="2"/>
        <v>8223361</v>
      </c>
      <c r="AA59" s="247">
        <f t="shared" si="4"/>
        <v>0</v>
      </c>
      <c r="AB59" s="46"/>
    </row>
    <row r="60" spans="1:28" ht="37.5" customHeight="1">
      <c r="A60" s="43"/>
      <c r="B60" s="59">
        <v>46</v>
      </c>
      <c r="C60" s="13" t="s">
        <v>0</v>
      </c>
      <c r="D60" s="11">
        <v>45691</v>
      </c>
      <c r="E60" s="4">
        <v>2463855</v>
      </c>
      <c r="F60" s="7">
        <v>2463855</v>
      </c>
      <c r="G60" s="8"/>
      <c r="H60" s="5"/>
      <c r="I60" s="21">
        <f t="shared" si="1"/>
        <v>0</v>
      </c>
      <c r="J60" s="8">
        <f t="shared" si="8"/>
        <v>2463855</v>
      </c>
      <c r="K60" s="121">
        <f t="shared" si="6"/>
        <v>0</v>
      </c>
      <c r="L60" s="12">
        <v>45692</v>
      </c>
      <c r="M60" s="6">
        <v>1</v>
      </c>
      <c r="N60" s="5"/>
      <c r="O60" s="5"/>
      <c r="P60" s="5"/>
      <c r="Q60" s="5"/>
      <c r="R60" s="5"/>
      <c r="S60" s="5">
        <v>1724698.5</v>
      </c>
      <c r="T60" s="5"/>
      <c r="U60" s="5"/>
      <c r="V60" s="5"/>
      <c r="W60" s="56">
        <v>1724698</v>
      </c>
      <c r="X60" s="56">
        <v>739156.5</v>
      </c>
      <c r="Y60" s="56"/>
      <c r="Z60" s="247">
        <f t="shared" si="2"/>
        <v>2463855</v>
      </c>
      <c r="AA60" s="247">
        <f t="shared" si="4"/>
        <v>0.5</v>
      </c>
      <c r="AB60" s="46"/>
    </row>
    <row r="61" spans="1:28" ht="37.5" customHeight="1">
      <c r="A61" s="43"/>
      <c r="B61" s="136">
        <v>47</v>
      </c>
      <c r="C61" s="145" t="s">
        <v>34</v>
      </c>
      <c r="D61" s="22">
        <v>45692</v>
      </c>
      <c r="E61" s="146">
        <v>21696000</v>
      </c>
      <c r="F61" s="147">
        <v>18650320</v>
      </c>
      <c r="G61" s="148">
        <f>18800*540+3348990</f>
        <v>13500990</v>
      </c>
      <c r="H61" s="148">
        <f>6768000+3196000</f>
        <v>9964000</v>
      </c>
      <c r="I61" s="144">
        <f t="shared" si="1"/>
        <v>3536990</v>
      </c>
      <c r="J61" s="148"/>
      <c r="K61" s="121">
        <f t="shared" si="6"/>
        <v>0</v>
      </c>
      <c r="L61" s="22">
        <v>45721</v>
      </c>
      <c r="M61" s="149">
        <v>1</v>
      </c>
      <c r="N61" s="121"/>
      <c r="O61" s="121"/>
      <c r="P61" s="121"/>
      <c r="Q61" s="121"/>
      <c r="R61" s="121"/>
      <c r="S61" s="121"/>
      <c r="T61" s="121">
        <v>3536990</v>
      </c>
      <c r="U61" s="121"/>
      <c r="V61" s="121"/>
      <c r="W61" s="155">
        <v>3536990</v>
      </c>
      <c r="X61" s="155"/>
      <c r="Y61" s="155"/>
      <c r="Z61" s="247">
        <f t="shared" si="2"/>
        <v>3536990</v>
      </c>
      <c r="AA61" s="247">
        <f t="shared" si="4"/>
        <v>0</v>
      </c>
      <c r="AB61" s="165" t="s">
        <v>117</v>
      </c>
    </row>
    <row r="62" spans="1:28" ht="37.5" customHeight="1">
      <c r="A62" s="43"/>
      <c r="B62" s="59">
        <v>48</v>
      </c>
      <c r="C62" s="13" t="s">
        <v>35</v>
      </c>
      <c r="D62" s="11">
        <v>45721</v>
      </c>
      <c r="E62" s="4">
        <v>2860230</v>
      </c>
      <c r="F62" s="7">
        <v>4858060</v>
      </c>
      <c r="G62" s="8"/>
      <c r="H62" s="5"/>
      <c r="I62" s="21">
        <f t="shared" si="1"/>
        <v>0</v>
      </c>
      <c r="J62" s="8">
        <f t="shared" ref="J62:J68" si="9">F62</f>
        <v>4858060</v>
      </c>
      <c r="K62" s="121">
        <f t="shared" si="6"/>
        <v>0</v>
      </c>
      <c r="L62" s="12">
        <v>45722</v>
      </c>
      <c r="M62" s="6">
        <v>1</v>
      </c>
      <c r="N62" s="5"/>
      <c r="O62" s="5"/>
      <c r="P62" s="5"/>
      <c r="Q62" s="5"/>
      <c r="R62" s="5"/>
      <c r="S62" s="5"/>
      <c r="T62" s="5">
        <v>3400642</v>
      </c>
      <c r="U62" s="5"/>
      <c r="V62" s="5"/>
      <c r="W62" s="56">
        <v>1457418</v>
      </c>
      <c r="X62" s="56">
        <v>3400642</v>
      </c>
      <c r="Y62" s="56"/>
      <c r="Z62" s="247">
        <f t="shared" si="2"/>
        <v>4858060</v>
      </c>
      <c r="AA62" s="247">
        <f t="shared" si="4"/>
        <v>0</v>
      </c>
      <c r="AB62" s="46"/>
    </row>
    <row r="63" spans="1:28" ht="37.5" customHeight="1">
      <c r="A63" s="43"/>
      <c r="B63" s="59">
        <v>49</v>
      </c>
      <c r="C63" s="13" t="s">
        <v>36</v>
      </c>
      <c r="D63" s="11">
        <v>45722</v>
      </c>
      <c r="E63" s="4">
        <v>4067570</v>
      </c>
      <c r="F63" s="7">
        <v>4869034.875</v>
      </c>
      <c r="G63" s="8"/>
      <c r="H63" s="5"/>
      <c r="I63" s="21">
        <f t="shared" si="1"/>
        <v>0</v>
      </c>
      <c r="J63" s="8">
        <f t="shared" si="9"/>
        <v>4869034.875</v>
      </c>
      <c r="K63" s="121">
        <f t="shared" si="6"/>
        <v>0</v>
      </c>
      <c r="L63" s="12">
        <v>45723</v>
      </c>
      <c r="M63" s="6">
        <v>1</v>
      </c>
      <c r="N63" s="5"/>
      <c r="O63" s="5"/>
      <c r="P63" s="5"/>
      <c r="Q63" s="5"/>
      <c r="R63" s="5"/>
      <c r="S63" s="5"/>
      <c r="T63" s="5">
        <v>3408324.4124999996</v>
      </c>
      <c r="U63" s="5"/>
      <c r="V63" s="5"/>
      <c r="W63" s="56">
        <v>3408324.4125000001</v>
      </c>
      <c r="X63" s="56">
        <v>1460710.4624999999</v>
      </c>
      <c r="Y63" s="56"/>
      <c r="Z63" s="247">
        <f t="shared" si="2"/>
        <v>4869034.875</v>
      </c>
      <c r="AA63" s="247">
        <f t="shared" si="4"/>
        <v>0</v>
      </c>
      <c r="AB63" s="46"/>
    </row>
    <row r="64" spans="1:28" ht="37.5" customHeight="1">
      <c r="A64" s="43"/>
      <c r="B64" s="59">
        <v>50</v>
      </c>
      <c r="C64" s="13" t="s">
        <v>37</v>
      </c>
      <c r="D64" s="11">
        <v>45723</v>
      </c>
      <c r="E64" s="4">
        <v>5200000</v>
      </c>
      <c r="F64" s="7">
        <v>4986000</v>
      </c>
      <c r="G64" s="8"/>
      <c r="H64" s="5"/>
      <c r="I64" s="21">
        <f t="shared" si="1"/>
        <v>0</v>
      </c>
      <c r="J64" s="8">
        <f t="shared" si="9"/>
        <v>4986000</v>
      </c>
      <c r="K64" s="121">
        <f t="shared" si="6"/>
        <v>0</v>
      </c>
      <c r="L64" s="12">
        <v>45724</v>
      </c>
      <c r="M64" s="6">
        <v>1</v>
      </c>
      <c r="N64" s="5"/>
      <c r="O64" s="5"/>
      <c r="P64" s="5"/>
      <c r="Q64" s="5"/>
      <c r="R64" s="5"/>
      <c r="S64" s="5"/>
      <c r="T64" s="5">
        <v>4986000</v>
      </c>
      <c r="U64" s="5"/>
      <c r="V64" s="5"/>
      <c r="W64" s="56"/>
      <c r="X64" s="56">
        <v>4986000</v>
      </c>
      <c r="Y64" s="56"/>
      <c r="Z64" s="247">
        <f t="shared" si="2"/>
        <v>4986000</v>
      </c>
      <c r="AA64" s="247">
        <f>Z64-V64-W64-X64-Y64</f>
        <v>0</v>
      </c>
      <c r="AB64" s="46"/>
    </row>
    <row r="65" spans="1:28" ht="37.5" customHeight="1">
      <c r="A65" s="43"/>
      <c r="B65" s="136">
        <v>51</v>
      </c>
      <c r="C65" s="132" t="s">
        <v>45</v>
      </c>
      <c r="D65" s="22">
        <v>45724</v>
      </c>
      <c r="E65" s="133">
        <v>46499716</v>
      </c>
      <c r="F65" s="134">
        <v>39391701.640000001</v>
      </c>
      <c r="G65" s="330">
        <v>28751340</v>
      </c>
      <c r="H65" s="144">
        <f>G65*0.3</f>
        <v>8625402</v>
      </c>
      <c r="I65" s="144">
        <f t="shared" si="1"/>
        <v>20125938</v>
      </c>
      <c r="J65" s="121">
        <v>3012500</v>
      </c>
      <c r="K65" s="121">
        <f t="shared" si="6"/>
        <v>0</v>
      </c>
      <c r="L65" s="22">
        <f>D65</f>
        <v>45724</v>
      </c>
      <c r="M65" s="149">
        <f>1-G65/E65</f>
        <v>0.38168783654506622</v>
      </c>
      <c r="N65" s="121"/>
      <c r="O65" s="121"/>
      <c r="P65" s="121"/>
      <c r="Q65" s="121"/>
      <c r="R65" s="121"/>
      <c r="S65" s="121">
        <v>27574191.147999998</v>
      </c>
      <c r="T65" s="121"/>
      <c r="U65" s="121"/>
      <c r="V65" s="121"/>
      <c r="W65" s="155">
        <v>11320927.507999999</v>
      </c>
      <c r="X65" s="155">
        <v>11817510.492000001</v>
      </c>
      <c r="Y65" s="155"/>
      <c r="Z65" s="247">
        <f t="shared" si="2"/>
        <v>23138438</v>
      </c>
      <c r="AA65" s="247">
        <f t="shared" si="4"/>
        <v>0</v>
      </c>
      <c r="AB65" s="165" t="s">
        <v>117</v>
      </c>
    </row>
    <row r="66" spans="1:28" ht="37.5" customHeight="1">
      <c r="A66" s="43"/>
      <c r="B66" s="59">
        <v>52</v>
      </c>
      <c r="C66" s="13" t="s">
        <v>46</v>
      </c>
      <c r="D66" s="11">
        <v>45724</v>
      </c>
      <c r="E66" s="4">
        <v>107570000</v>
      </c>
      <c r="F66" s="7">
        <v>99000000</v>
      </c>
      <c r="G66" s="8"/>
      <c r="H66" s="5"/>
      <c r="I66" s="21">
        <f t="shared" si="1"/>
        <v>0</v>
      </c>
      <c r="J66" s="8">
        <f t="shared" si="9"/>
        <v>99000000</v>
      </c>
      <c r="K66" s="121">
        <f t="shared" si="6"/>
        <v>0</v>
      </c>
      <c r="L66" s="12">
        <f>D66</f>
        <v>45724</v>
      </c>
      <c r="M66" s="6">
        <f>1-G66/E66</f>
        <v>1</v>
      </c>
      <c r="N66" s="5"/>
      <c r="O66" s="5"/>
      <c r="P66" s="5"/>
      <c r="Q66" s="5"/>
      <c r="R66" s="5"/>
      <c r="S66" s="5"/>
      <c r="T66" s="5"/>
      <c r="U66" s="5"/>
      <c r="V66" s="5">
        <v>33000000</v>
      </c>
      <c r="W66" s="56">
        <v>33000000</v>
      </c>
      <c r="X66" s="56">
        <v>33000000</v>
      </c>
      <c r="Y66" s="56"/>
      <c r="Z66" s="247">
        <f t="shared" si="2"/>
        <v>99000000</v>
      </c>
      <c r="AA66" s="247">
        <f t="shared" si="4"/>
        <v>0</v>
      </c>
      <c r="AB66" s="46"/>
    </row>
    <row r="67" spans="1:28" ht="37.5" customHeight="1">
      <c r="A67" s="43"/>
      <c r="B67" s="59">
        <v>53</v>
      </c>
      <c r="C67" s="13" t="s">
        <v>38</v>
      </c>
      <c r="D67" s="11">
        <v>45725</v>
      </c>
      <c r="E67" s="4">
        <v>6160000</v>
      </c>
      <c r="F67" s="7">
        <v>6160000</v>
      </c>
      <c r="G67" s="8"/>
      <c r="H67" s="5"/>
      <c r="I67" s="21">
        <f t="shared" si="1"/>
        <v>0</v>
      </c>
      <c r="J67" s="8">
        <f t="shared" si="9"/>
        <v>6160000</v>
      </c>
      <c r="K67" s="121">
        <f t="shared" si="6"/>
        <v>0</v>
      </c>
      <c r="L67" s="12">
        <f>D67</f>
        <v>45725</v>
      </c>
      <c r="M67" s="6">
        <f>1-G67/E67</f>
        <v>1</v>
      </c>
      <c r="N67" s="5"/>
      <c r="O67" s="5"/>
      <c r="P67" s="5"/>
      <c r="Q67" s="5"/>
      <c r="R67" s="5"/>
      <c r="S67" s="5"/>
      <c r="T67" s="5"/>
      <c r="U67" s="5"/>
      <c r="V67" s="5">
        <v>4312000</v>
      </c>
      <c r="W67" s="56"/>
      <c r="X67" s="56">
        <v>1848000</v>
      </c>
      <c r="Y67" s="56"/>
      <c r="Z67" s="247">
        <f t="shared" si="2"/>
        <v>6160000</v>
      </c>
      <c r="AA67" s="247">
        <f t="shared" si="4"/>
        <v>0</v>
      </c>
      <c r="AB67" s="46"/>
    </row>
    <row r="68" spans="1:28" ht="37.5" customHeight="1">
      <c r="A68" s="43"/>
      <c r="B68" s="59">
        <v>54</v>
      </c>
      <c r="C68" s="13" t="s">
        <v>39</v>
      </c>
      <c r="D68" s="11">
        <v>45726</v>
      </c>
      <c r="E68" s="4">
        <v>10000000</v>
      </c>
      <c r="F68" s="7">
        <v>8800000</v>
      </c>
      <c r="G68" s="8"/>
      <c r="H68" s="5"/>
      <c r="I68" s="21">
        <f t="shared" si="1"/>
        <v>0</v>
      </c>
      <c r="J68" s="8">
        <f t="shared" si="9"/>
        <v>8800000</v>
      </c>
      <c r="K68" s="121">
        <f t="shared" si="6"/>
        <v>0</v>
      </c>
      <c r="L68" s="12">
        <f>D68</f>
        <v>45726</v>
      </c>
      <c r="M68" s="6"/>
      <c r="N68" s="5"/>
      <c r="O68" s="5"/>
      <c r="P68" s="5"/>
      <c r="Q68" s="5"/>
      <c r="R68" s="5"/>
      <c r="S68" s="5"/>
      <c r="T68" s="5"/>
      <c r="U68" s="5"/>
      <c r="V68" s="5">
        <v>2933333.3333333335</v>
      </c>
      <c r="W68" s="56">
        <v>2933333.3333333335</v>
      </c>
      <c r="X68" s="56">
        <v>2933333.3333333335</v>
      </c>
      <c r="Y68" s="56"/>
      <c r="Z68" s="247">
        <f t="shared" si="2"/>
        <v>8800000</v>
      </c>
      <c r="AA68" s="247">
        <f t="shared" si="4"/>
        <v>-9.3132257461547852E-10</v>
      </c>
      <c r="AB68" s="46"/>
    </row>
    <row r="69" spans="1:28" ht="37.5" customHeight="1" thickBot="1">
      <c r="A69" s="43"/>
      <c r="B69" s="139">
        <v>55</v>
      </c>
      <c r="C69" s="140" t="s">
        <v>323</v>
      </c>
      <c r="D69" s="62">
        <v>45620</v>
      </c>
      <c r="E69" s="141">
        <v>30513600</v>
      </c>
      <c r="F69" s="141">
        <v>25640000</v>
      </c>
      <c r="G69" s="142">
        <v>23835258</v>
      </c>
      <c r="H69" s="143">
        <f>9534103+3378695+10000000</f>
        <v>22912798</v>
      </c>
      <c r="I69" s="142">
        <f t="shared" si="1"/>
        <v>922460</v>
      </c>
      <c r="J69" s="63">
        <f>18000*390</f>
        <v>7020000</v>
      </c>
      <c r="K69" s="169">
        <f t="shared" si="6"/>
        <v>0</v>
      </c>
      <c r="L69" s="62">
        <f>D69</f>
        <v>45620</v>
      </c>
      <c r="M69" s="170"/>
      <c r="N69" s="169"/>
      <c r="O69" s="169"/>
      <c r="P69" s="169"/>
      <c r="Q69" s="169"/>
      <c r="R69" s="157"/>
      <c r="S69" s="157"/>
      <c r="T69" s="157"/>
      <c r="U69" s="169"/>
      <c r="V69" s="169"/>
      <c r="W69" s="157">
        <v>5075203.2891566297</v>
      </c>
      <c r="X69" s="169">
        <v>2867256.7108433703</v>
      </c>
      <c r="Y69" s="171"/>
      <c r="Z69" s="247">
        <f t="shared" si="2"/>
        <v>7942460</v>
      </c>
      <c r="AA69" s="247">
        <f t="shared" si="4"/>
        <v>0</v>
      </c>
      <c r="AB69" s="165" t="s">
        <v>117</v>
      </c>
    </row>
    <row r="70" spans="1:28" ht="37.5" customHeight="1" thickBot="1">
      <c r="A70" s="43"/>
      <c r="B70" s="351"/>
      <c r="C70" s="337" t="s">
        <v>258</v>
      </c>
      <c r="D70" s="338"/>
      <c r="E70" s="636">
        <f>SUM(E8:E69)</f>
        <v>2797458501.4400001</v>
      </c>
      <c r="F70" s="636">
        <f t="shared" ref="F70:T70" si="10">SUM(F8:F69)</f>
        <v>2097165484.1419823</v>
      </c>
      <c r="G70" s="637">
        <f t="shared" si="10"/>
        <v>1510950414</v>
      </c>
      <c r="H70" s="637">
        <f t="shared" si="10"/>
        <v>882260281.5</v>
      </c>
      <c r="I70" s="637">
        <f t="shared" si="10"/>
        <v>630007596.5</v>
      </c>
      <c r="J70" s="636">
        <f>SUM(J8:J69)</f>
        <v>341259796.9774</v>
      </c>
      <c r="K70" s="636"/>
      <c r="L70" s="636">
        <f t="shared" si="10"/>
        <v>1552507</v>
      </c>
      <c r="M70" s="636">
        <f t="shared" si="10"/>
        <v>32.162292047126094</v>
      </c>
      <c r="N70" s="636">
        <f t="shared" si="10"/>
        <v>0</v>
      </c>
      <c r="O70" s="636">
        <f t="shared" si="10"/>
        <v>0</v>
      </c>
      <c r="P70" s="636">
        <f t="shared" si="10"/>
        <v>0</v>
      </c>
      <c r="Q70" s="636">
        <f t="shared" si="10"/>
        <v>0</v>
      </c>
      <c r="R70" s="636">
        <f t="shared" si="10"/>
        <v>0</v>
      </c>
      <c r="S70" s="636">
        <f t="shared" si="10"/>
        <v>164184478.88393012</v>
      </c>
      <c r="T70" s="636">
        <f t="shared" si="10"/>
        <v>260385091.35475013</v>
      </c>
      <c r="U70" s="636"/>
      <c r="V70" s="636">
        <f t="shared" ref="V70:Y70" si="11">SUM(V8:V69)</f>
        <v>332853902.84405464</v>
      </c>
      <c r="W70" s="636">
        <f t="shared" si="11"/>
        <v>316013676.58443129</v>
      </c>
      <c r="X70" s="636">
        <f t="shared" si="11"/>
        <v>286520438.8363626</v>
      </c>
      <c r="Y70" s="638">
        <f t="shared" si="11"/>
        <v>89399782.192909122</v>
      </c>
      <c r="Z70" s="247">
        <f t="shared" si="2"/>
        <v>971267393.47740006</v>
      </c>
      <c r="AA70" s="247">
        <f t="shared" si="4"/>
        <v>-53520406.980357647</v>
      </c>
      <c r="AB70" s="87"/>
    </row>
    <row r="71" spans="1:28" ht="37.5" customHeight="1">
      <c r="A71" s="43"/>
      <c r="B71" s="352"/>
      <c r="C71" s="336" t="s">
        <v>259</v>
      </c>
      <c r="D71" s="331"/>
      <c r="E71" s="608"/>
      <c r="F71" s="608"/>
      <c r="G71" s="609"/>
      <c r="H71" s="610"/>
      <c r="I71" s="609"/>
      <c r="J71" s="360"/>
      <c r="K71" s="360"/>
      <c r="L71" s="611"/>
      <c r="M71" s="612"/>
      <c r="N71" s="360"/>
      <c r="O71" s="360"/>
      <c r="P71" s="360"/>
      <c r="Q71" s="360"/>
      <c r="R71" s="361"/>
      <c r="S71" s="361"/>
      <c r="T71" s="361"/>
      <c r="U71" s="360"/>
      <c r="V71" s="361"/>
      <c r="W71" s="329"/>
      <c r="X71" s="329"/>
      <c r="Y71" s="329"/>
      <c r="Z71" s="247">
        <f t="shared" si="2"/>
        <v>0</v>
      </c>
      <c r="AA71" s="247">
        <f t="shared" si="4"/>
        <v>0</v>
      </c>
      <c r="AB71" s="617"/>
    </row>
    <row r="72" spans="1:28" ht="37.5" customHeight="1">
      <c r="A72" s="43"/>
      <c r="B72" s="136">
        <v>56</v>
      </c>
      <c r="C72" s="145" t="s">
        <v>260</v>
      </c>
      <c r="D72" s="22"/>
      <c r="E72" s="146"/>
      <c r="F72" s="146">
        <v>50500000</v>
      </c>
      <c r="G72" s="144">
        <v>50500000</v>
      </c>
      <c r="H72" s="148">
        <f>18750000+1406250+4217751</f>
        <v>24374001</v>
      </c>
      <c r="I72" s="144">
        <f t="shared" ref="I72:I75" si="12">G72-H72</f>
        <v>26125999</v>
      </c>
      <c r="J72" s="121"/>
      <c r="K72" s="121"/>
      <c r="L72" s="22"/>
      <c r="M72" s="149"/>
      <c r="N72" s="121"/>
      <c r="O72" s="121"/>
      <c r="P72" s="121"/>
      <c r="Q72" s="121"/>
      <c r="R72" s="121"/>
      <c r="S72" s="121">
        <f>G72*0.3</f>
        <v>15150000</v>
      </c>
      <c r="T72" s="121">
        <f>6200000</f>
        <v>6200000</v>
      </c>
      <c r="U72" s="121"/>
      <c r="V72" s="121"/>
      <c r="W72" s="121">
        <v>29150000</v>
      </c>
      <c r="X72" s="121"/>
      <c r="Y72" s="121"/>
      <c r="Z72" s="247">
        <f t="shared" si="2"/>
        <v>26125999</v>
      </c>
      <c r="AA72" s="247">
        <f t="shared" si="4"/>
        <v>-3024001</v>
      </c>
      <c r="AB72" s="87"/>
    </row>
    <row r="73" spans="1:28" ht="37.5" customHeight="1">
      <c r="A73" s="43"/>
      <c r="B73" s="358">
        <v>57</v>
      </c>
      <c r="C73" s="353" t="s">
        <v>261</v>
      </c>
      <c r="D73" s="12"/>
      <c r="E73" s="354"/>
      <c r="F73" s="354">
        <v>8800000</v>
      </c>
      <c r="G73" s="346"/>
      <c r="H73" s="355"/>
      <c r="I73" s="346">
        <f t="shared" si="12"/>
        <v>0</v>
      </c>
      <c r="J73" s="5">
        <f>F73</f>
        <v>8800000</v>
      </c>
      <c r="K73" s="5"/>
      <c r="L73" s="12"/>
      <c r="M73" s="356"/>
      <c r="N73" s="5"/>
      <c r="O73" s="5"/>
      <c r="P73" s="5"/>
      <c r="Q73" s="5"/>
      <c r="R73" s="5"/>
      <c r="S73" s="5"/>
      <c r="T73" s="5"/>
      <c r="U73" s="5"/>
      <c r="V73" s="5"/>
      <c r="W73" s="5"/>
      <c r="X73" s="5">
        <v>8800000</v>
      </c>
      <c r="Y73" s="5"/>
      <c r="Z73" s="247">
        <f t="shared" ref="Z73:Z76" si="13">I73+J73</f>
        <v>8800000</v>
      </c>
      <c r="AA73" s="247">
        <f t="shared" si="4"/>
        <v>0</v>
      </c>
      <c r="AB73" s="87"/>
    </row>
    <row r="74" spans="1:28" ht="37.5" customHeight="1">
      <c r="A74" s="43"/>
      <c r="B74" s="136">
        <v>58</v>
      </c>
      <c r="C74" s="342" t="s">
        <v>265</v>
      </c>
      <c r="D74" s="331"/>
      <c r="E74" s="332"/>
      <c r="F74" s="332">
        <v>4894000</v>
      </c>
      <c r="G74" s="295">
        <v>4894000</v>
      </c>
      <c r="H74" s="295">
        <v>4894000</v>
      </c>
      <c r="I74" s="295">
        <f>G74-H74</f>
        <v>0</v>
      </c>
      <c r="J74" s="333"/>
      <c r="K74" s="333"/>
      <c r="L74" s="331"/>
      <c r="M74" s="334"/>
      <c r="N74" s="333"/>
      <c r="O74" s="333"/>
      <c r="P74" s="333"/>
      <c r="Q74" s="333"/>
      <c r="R74" s="333"/>
      <c r="S74" s="333"/>
      <c r="T74" s="333"/>
      <c r="U74" s="333"/>
      <c r="V74" s="333"/>
      <c r="W74" s="333"/>
      <c r="X74" s="333">
        <v>325000</v>
      </c>
      <c r="Y74" s="335"/>
      <c r="Z74" s="247">
        <f t="shared" si="13"/>
        <v>0</v>
      </c>
      <c r="AA74" s="247">
        <f t="shared" ref="AA74:AA77" si="14">Z74-V74-W74-X74-Y74</f>
        <v>-325000</v>
      </c>
      <c r="AB74" s="87"/>
    </row>
    <row r="75" spans="1:28" ht="37.5" customHeight="1">
      <c r="A75" s="43"/>
      <c r="B75" s="139">
        <v>59</v>
      </c>
      <c r="C75" s="140" t="s">
        <v>268</v>
      </c>
      <c r="D75" s="62"/>
      <c r="E75" s="141"/>
      <c r="F75" s="141">
        <v>16200000</v>
      </c>
      <c r="G75" s="142">
        <v>16200000</v>
      </c>
      <c r="H75" s="143">
        <f>G75*0.7</f>
        <v>11340000</v>
      </c>
      <c r="I75" s="142">
        <f t="shared" si="12"/>
        <v>4860000</v>
      </c>
      <c r="J75" s="169"/>
      <c r="K75" s="169"/>
      <c r="L75" s="62"/>
      <c r="M75" s="170"/>
      <c r="N75" s="169"/>
      <c r="O75" s="169"/>
      <c r="P75" s="169"/>
      <c r="Q75" s="169"/>
      <c r="R75" s="169"/>
      <c r="S75" s="169"/>
      <c r="T75" s="169"/>
      <c r="U75" s="169"/>
      <c r="V75" s="169">
        <v>4860000</v>
      </c>
      <c r="W75" s="169"/>
      <c r="X75" s="169"/>
      <c r="Y75" s="169"/>
      <c r="Z75" s="247">
        <f t="shared" si="13"/>
        <v>4860000</v>
      </c>
      <c r="AA75" s="247">
        <f t="shared" si="14"/>
        <v>0</v>
      </c>
      <c r="AB75" s="616"/>
    </row>
    <row r="76" spans="1:28" ht="37.5" customHeight="1">
      <c r="A76" s="43"/>
      <c r="B76" s="748">
        <v>60</v>
      </c>
      <c r="C76" s="145" t="s">
        <v>325</v>
      </c>
      <c r="D76" s="22"/>
      <c r="E76" s="146"/>
      <c r="F76" s="142">
        <v>8744828</v>
      </c>
      <c r="G76" s="142">
        <v>8744828</v>
      </c>
      <c r="H76" s="142">
        <f>G76*0.4</f>
        <v>3497931.2</v>
      </c>
      <c r="I76" s="144">
        <f>G76-H76</f>
        <v>5246896.8</v>
      </c>
      <c r="J76" s="121"/>
      <c r="K76" s="121"/>
      <c r="L76" s="22"/>
      <c r="M76" s="149"/>
      <c r="N76" s="121"/>
      <c r="O76" s="121"/>
      <c r="P76" s="121"/>
      <c r="Q76" s="121"/>
      <c r="R76" s="121"/>
      <c r="S76" s="121"/>
      <c r="T76" s="121"/>
      <c r="U76" s="121"/>
      <c r="V76" s="121"/>
      <c r="W76" s="121">
        <f>J76*0.7</f>
        <v>0</v>
      </c>
      <c r="X76" s="121">
        <f>J76-W76</f>
        <v>0</v>
      </c>
      <c r="Y76" s="121"/>
      <c r="Z76" s="739">
        <f t="shared" si="13"/>
        <v>5246896.8</v>
      </c>
      <c r="AA76" s="247">
        <f t="shared" si="14"/>
        <v>5246896.8</v>
      </c>
      <c r="AB76" s="618"/>
    </row>
    <row r="77" spans="1:28" ht="37.5" customHeight="1">
      <c r="A77" s="43"/>
      <c r="B77" s="347">
        <v>61</v>
      </c>
      <c r="C77" s="353" t="s">
        <v>269</v>
      </c>
      <c r="D77" s="12"/>
      <c r="E77" s="354"/>
      <c r="F77" s="354">
        <v>14432000</v>
      </c>
      <c r="G77" s="346"/>
      <c r="H77" s="355"/>
      <c r="I77" s="346"/>
      <c r="J77" s="5">
        <f>F77</f>
        <v>14432000</v>
      </c>
      <c r="K77" s="5"/>
      <c r="L77" s="12"/>
      <c r="M77" s="356"/>
      <c r="N77" s="5"/>
      <c r="O77" s="5"/>
      <c r="P77" s="5"/>
      <c r="Q77" s="5"/>
      <c r="R77" s="5"/>
      <c r="S77" s="5"/>
      <c r="T77" s="5"/>
      <c r="U77" s="5"/>
      <c r="V77" s="5"/>
      <c r="W77" s="5">
        <f>J77*0.7</f>
        <v>10102400</v>
      </c>
      <c r="X77" s="5">
        <f>J77-W77</f>
        <v>4329600</v>
      </c>
      <c r="Y77" s="5"/>
      <c r="Z77" s="343"/>
      <c r="AA77" s="247">
        <f t="shared" si="14"/>
        <v>-14432000</v>
      </c>
      <c r="AB77" s="617"/>
    </row>
    <row r="78" spans="1:28" ht="37.5" customHeight="1">
      <c r="A78" s="43"/>
      <c r="B78" s="347">
        <v>62</v>
      </c>
      <c r="C78" s="753" t="s">
        <v>284</v>
      </c>
      <c r="D78" s="12"/>
      <c r="E78" s="354"/>
      <c r="F78" s="354">
        <v>29742999</v>
      </c>
      <c r="G78" s="346"/>
      <c r="H78" s="355"/>
      <c r="I78" s="346"/>
      <c r="J78" s="5">
        <f t="shared" ref="J78:J81" si="15">F78</f>
        <v>29742999</v>
      </c>
      <c r="K78" s="5"/>
      <c r="L78" s="12"/>
      <c r="M78" s="356"/>
      <c r="N78" s="5"/>
      <c r="O78" s="5"/>
      <c r="P78" s="5"/>
      <c r="Q78" s="5"/>
      <c r="R78" s="5"/>
      <c r="S78" s="5"/>
      <c r="T78" s="5"/>
      <c r="U78" s="5"/>
      <c r="V78" s="5"/>
      <c r="W78" s="5">
        <f>J78*0.7</f>
        <v>20820099.299999997</v>
      </c>
      <c r="X78" s="5">
        <f>J78-W78</f>
        <v>8922899.700000003</v>
      </c>
      <c r="Y78" s="5"/>
      <c r="Z78" s="343"/>
      <c r="AA78" s="343"/>
      <c r="AB78" s="738"/>
    </row>
    <row r="79" spans="1:28" ht="37.5" customHeight="1">
      <c r="A79" s="43"/>
      <c r="B79" s="347">
        <v>63</v>
      </c>
      <c r="C79" s="353" t="s">
        <v>326</v>
      </c>
      <c r="D79" s="12"/>
      <c r="E79" s="354"/>
      <c r="F79" s="354">
        <f>25349484-11880345</f>
        <v>13469139</v>
      </c>
      <c r="G79" s="346"/>
      <c r="H79" s="355"/>
      <c r="I79" s="346"/>
      <c r="J79" s="5">
        <f t="shared" si="15"/>
        <v>13469139</v>
      </c>
      <c r="K79" s="5"/>
      <c r="L79" s="12"/>
      <c r="M79" s="356"/>
      <c r="N79" s="5"/>
      <c r="O79" s="5"/>
      <c r="P79" s="5"/>
      <c r="Q79" s="5"/>
      <c r="R79" s="5"/>
      <c r="S79" s="5"/>
      <c r="T79" s="5"/>
      <c r="U79" s="5"/>
      <c r="V79" s="5"/>
      <c r="W79" s="5">
        <f>J79*0.7</f>
        <v>9428397.2999999989</v>
      </c>
      <c r="X79" s="5">
        <f>J79-W79</f>
        <v>4040741.7000000011</v>
      </c>
      <c r="Y79" s="5"/>
      <c r="Z79" s="343"/>
      <c r="AA79" s="343"/>
      <c r="AB79" s="738"/>
    </row>
    <row r="80" spans="1:28" ht="37.5" customHeight="1">
      <c r="A80" s="43"/>
      <c r="B80" s="347">
        <v>64</v>
      </c>
      <c r="C80" s="353" t="s">
        <v>285</v>
      </c>
      <c r="D80" s="12"/>
      <c r="E80" s="354"/>
      <c r="F80" s="354">
        <f>80000000*0.4+4000000</f>
        <v>36000000</v>
      </c>
      <c r="G80" s="346"/>
      <c r="H80" s="355"/>
      <c r="I80" s="346"/>
      <c r="J80" s="5">
        <f t="shared" si="15"/>
        <v>36000000</v>
      </c>
      <c r="K80" s="5"/>
      <c r="L80" s="12"/>
      <c r="M80" s="35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343"/>
      <c r="AA80" s="343"/>
      <c r="AB80" s="738"/>
    </row>
    <row r="81" spans="1:28" ht="37.5" customHeight="1">
      <c r="A81" s="43"/>
      <c r="B81" s="347">
        <v>65</v>
      </c>
      <c r="C81" s="353" t="s">
        <v>286</v>
      </c>
      <c r="D81" s="12"/>
      <c r="E81" s="354"/>
      <c r="F81" s="354">
        <f>40000000*0.4</f>
        <v>16000000</v>
      </c>
      <c r="G81" s="346"/>
      <c r="H81" s="355"/>
      <c r="I81" s="346"/>
      <c r="J81" s="5">
        <f t="shared" si="15"/>
        <v>16000000</v>
      </c>
      <c r="K81" s="5"/>
      <c r="L81" s="12"/>
      <c r="M81" s="35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343"/>
      <c r="AA81" s="343"/>
      <c r="AB81" s="738"/>
    </row>
    <row r="82" spans="1:28" ht="49.5" customHeight="1" thickBot="1">
      <c r="A82" s="43"/>
      <c r="B82" s="740" t="s">
        <v>68</v>
      </c>
      <c r="C82" s="745" t="s">
        <v>257</v>
      </c>
      <c r="D82" s="127"/>
      <c r="E82" s="746">
        <f>E70+E71+E72</f>
        <v>2797458501.4400001</v>
      </c>
      <c r="F82" s="746">
        <f>SUM(F70:F81)</f>
        <v>2295948450.1419821</v>
      </c>
      <c r="G82" s="746">
        <f>SUM(G70:G81)</f>
        <v>1591289242</v>
      </c>
      <c r="H82" s="746">
        <f>SUM(H70:H81)</f>
        <v>926366213.70000005</v>
      </c>
      <c r="I82" s="746">
        <f>SUM(I70:I81)</f>
        <v>666240492.29999995</v>
      </c>
      <c r="J82" s="746">
        <f>SUM(J70:J81)</f>
        <v>459703934.9774</v>
      </c>
      <c r="K82" s="746">
        <f t="shared" ref="K82:Y82" si="16">K70+K72+K73+K74+K75+K76+K77</f>
        <v>0</v>
      </c>
      <c r="L82" s="746">
        <f t="shared" si="16"/>
        <v>1552507</v>
      </c>
      <c r="M82" s="746">
        <f t="shared" si="16"/>
        <v>32.162292047126094</v>
      </c>
      <c r="N82" s="746">
        <f t="shared" si="16"/>
        <v>0</v>
      </c>
      <c r="O82" s="746">
        <f t="shared" si="16"/>
        <v>0</v>
      </c>
      <c r="P82" s="746">
        <f t="shared" si="16"/>
        <v>0</v>
      </c>
      <c r="Q82" s="746">
        <f t="shared" si="16"/>
        <v>0</v>
      </c>
      <c r="R82" s="746">
        <f t="shared" si="16"/>
        <v>0</v>
      </c>
      <c r="S82" s="746">
        <f t="shared" si="16"/>
        <v>179334478.88393012</v>
      </c>
      <c r="T82" s="746">
        <f t="shared" si="16"/>
        <v>266585091.35475013</v>
      </c>
      <c r="U82" s="746">
        <f t="shared" si="16"/>
        <v>0</v>
      </c>
      <c r="V82" s="746">
        <f t="shared" si="16"/>
        <v>337713902.84405464</v>
      </c>
      <c r="W82" s="746">
        <f t="shared" si="16"/>
        <v>355266076.58443129</v>
      </c>
      <c r="X82" s="746">
        <f t="shared" si="16"/>
        <v>299975038.8363626</v>
      </c>
      <c r="Y82" s="746">
        <f t="shared" si="16"/>
        <v>89399782.192909122</v>
      </c>
      <c r="Z82" s="747"/>
      <c r="AA82" s="747"/>
      <c r="AB82" s="124"/>
    </row>
    <row r="83" spans="1:28" ht="37.5" customHeight="1" thickBot="1">
      <c r="B83" s="30"/>
      <c r="C83" s="52"/>
      <c r="D83" s="51"/>
      <c r="E83" s="48"/>
      <c r="F83" s="48"/>
      <c r="G83" s="48"/>
      <c r="H83" s="48"/>
      <c r="I83" s="48"/>
      <c r="J83" s="48"/>
      <c r="K83" s="50"/>
      <c r="L83" s="48"/>
      <c r="M83" s="49"/>
      <c r="N83" s="48"/>
      <c r="O83" s="48"/>
      <c r="P83" s="48"/>
      <c r="Q83" s="48"/>
      <c r="R83" s="48"/>
      <c r="S83" s="48"/>
      <c r="T83" s="48"/>
      <c r="U83" s="47"/>
      <c r="V83" s="48"/>
      <c r="W83" s="48"/>
      <c r="X83" s="48"/>
      <c r="Y83" s="48"/>
      <c r="Z83" s="48"/>
      <c r="AA83" s="48"/>
      <c r="AB83" s="47"/>
    </row>
    <row r="84" spans="1:28" ht="37.5" customHeight="1"/>
  </sheetData>
  <mergeCells count="2">
    <mergeCell ref="C7:U7"/>
    <mergeCell ref="E31:E33"/>
  </mergeCells>
  <conditionalFormatting sqref="M6 M8:M57 M59:M69 M71:M81">
    <cfRule type="cellIs" dxfId="3" priority="2" operator="lessThan">
      <formula>0</formula>
    </cfRule>
  </conditionalFormatting>
  <conditionalFormatting sqref="P45">
    <cfRule type="cellIs" dxfId="2" priority="1" operator="lessThan">
      <formula>0</formula>
    </cfRule>
  </conditionalFormatting>
  <printOptions horizontalCentered="1"/>
  <pageMargins left="0.25" right="0.25" top="0.75" bottom="0.75" header="0.3" footer="0.3"/>
  <pageSetup paperSize="121" scale="41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043D-E820-41CC-88AB-436C6C8D5558}">
  <sheetPr>
    <pageSetUpPr fitToPage="1"/>
  </sheetPr>
  <dimension ref="B1:AA77"/>
  <sheetViews>
    <sheetView view="pageBreakPreview" topLeftCell="A64" zoomScale="55" zoomScaleNormal="100" zoomScaleSheetLayoutView="55" workbookViewId="0">
      <selection activeCell="C77" sqref="C77"/>
    </sheetView>
  </sheetViews>
  <sheetFormatPr defaultColWidth="9.140625" defaultRowHeight="12.75"/>
  <cols>
    <col min="1" max="1" width="9.140625" style="53"/>
    <col min="2" max="2" width="7.7109375" style="53" customWidth="1"/>
    <col min="3" max="3" width="93.7109375" style="53" customWidth="1"/>
    <col min="4" max="4" width="12.85546875" style="53" hidden="1" customWidth="1"/>
    <col min="5" max="5" width="32" style="53" customWidth="1"/>
    <col min="6" max="6" width="28" style="53" customWidth="1"/>
    <col min="7" max="7" width="26.140625" style="53" customWidth="1"/>
    <col min="8" max="8" width="24.85546875" style="53" customWidth="1"/>
    <col min="9" max="9" width="25.85546875" style="53" customWidth="1"/>
    <col min="10" max="10" width="31.28515625" style="53" customWidth="1"/>
    <col min="11" max="11" width="19.42578125" style="53" hidden="1" customWidth="1"/>
    <col min="12" max="15" width="24.42578125" style="53" hidden="1" customWidth="1"/>
    <col min="16" max="22" width="28.85546875" style="53" customWidth="1"/>
    <col min="23" max="23" width="61.140625" style="53" customWidth="1"/>
    <col min="24" max="16384" width="9.140625" style="53"/>
  </cols>
  <sheetData>
    <row r="1" spans="2:25" ht="13.5" thickBot="1"/>
    <row r="2" spans="2:25" ht="90" customHeight="1" thickBot="1">
      <c r="B2" s="898" t="s">
        <v>255</v>
      </c>
      <c r="C2" s="899"/>
      <c r="D2" s="899"/>
      <c r="E2" s="899"/>
      <c r="F2" s="903" t="s">
        <v>115</v>
      </c>
      <c r="G2" s="903"/>
      <c r="H2" s="903"/>
      <c r="I2" s="903"/>
      <c r="J2" s="903"/>
      <c r="K2" s="903"/>
      <c r="L2" s="903"/>
      <c r="M2" s="903"/>
      <c r="N2" s="904"/>
      <c r="O2" s="206"/>
      <c r="P2" s="206"/>
      <c r="Q2" s="206"/>
      <c r="R2" s="206"/>
      <c r="S2" s="206"/>
      <c r="T2" s="206"/>
      <c r="U2" s="206"/>
      <c r="V2" s="206"/>
      <c r="W2" s="318">
        <f ca="1">TODAY()</f>
        <v>46010</v>
      </c>
    </row>
    <row r="3" spans="2:25" ht="54">
      <c r="B3" s="57" t="s">
        <v>2</v>
      </c>
      <c r="C3" s="58" t="s">
        <v>297</v>
      </c>
      <c r="D3" s="58" t="s">
        <v>84</v>
      </c>
      <c r="E3" s="58" t="s">
        <v>50</v>
      </c>
      <c r="F3" s="58" t="s">
        <v>55</v>
      </c>
      <c r="G3" s="58" t="s">
        <v>62</v>
      </c>
      <c r="H3" s="58" t="s">
        <v>64</v>
      </c>
      <c r="I3" s="58" t="s">
        <v>128</v>
      </c>
      <c r="J3" s="58" t="s">
        <v>129</v>
      </c>
      <c r="K3" s="18">
        <v>45722</v>
      </c>
      <c r="L3" s="18">
        <v>45810</v>
      </c>
      <c r="M3" s="18">
        <v>45873</v>
      </c>
      <c r="N3" s="18">
        <v>45905</v>
      </c>
      <c r="O3" s="18">
        <v>45936</v>
      </c>
      <c r="P3" s="18">
        <v>45967</v>
      </c>
      <c r="Q3" s="18">
        <v>46000</v>
      </c>
      <c r="R3" s="18">
        <v>46023</v>
      </c>
      <c r="S3" s="18">
        <v>46055</v>
      </c>
      <c r="T3" s="18">
        <v>46082</v>
      </c>
      <c r="U3" s="18">
        <v>46113</v>
      </c>
      <c r="V3" s="18">
        <v>46143</v>
      </c>
      <c r="W3" s="40" t="s">
        <v>58</v>
      </c>
      <c r="Y3" s="314"/>
    </row>
    <row r="4" spans="2:25" ht="37.5" customHeight="1">
      <c r="B4" s="68" t="s">
        <v>68</v>
      </c>
      <c r="C4" s="19" t="s">
        <v>100</v>
      </c>
      <c r="D4" s="69">
        <v>45566</v>
      </c>
      <c r="E4" s="55">
        <v>49636205</v>
      </c>
      <c r="F4" s="55">
        <v>40291143</v>
      </c>
      <c r="G4" s="115">
        <v>40291143</v>
      </c>
      <c r="H4" s="115">
        <f>1394227+10296700+2000000+1500000+3600000+1229846+13155658+2273160</f>
        <v>35449591</v>
      </c>
      <c r="I4" s="114">
        <f>G4-H4</f>
        <v>4841552</v>
      </c>
      <c r="J4" s="5"/>
      <c r="K4" s="5"/>
      <c r="L4" s="114"/>
      <c r="M4" s="168">
        <f>I4</f>
        <v>4841552</v>
      </c>
      <c r="N4" s="56"/>
      <c r="O4" s="56"/>
      <c r="P4" s="56"/>
      <c r="Q4" s="56"/>
      <c r="R4" s="56"/>
      <c r="S4" s="56"/>
      <c r="T4" s="56"/>
      <c r="U4" s="56"/>
      <c r="V4" s="56"/>
      <c r="W4" s="81" t="s">
        <v>117</v>
      </c>
    </row>
    <row r="5" spans="2:25" ht="37.5" customHeight="1">
      <c r="B5" s="896" t="s">
        <v>101</v>
      </c>
      <c r="C5" s="897"/>
      <c r="D5" s="897"/>
      <c r="E5" s="897"/>
      <c r="F5" s="897"/>
      <c r="G5" s="897"/>
      <c r="H5" s="897"/>
      <c r="I5" s="897"/>
      <c r="J5" s="897"/>
      <c r="K5" s="897"/>
      <c r="L5" s="897"/>
      <c r="M5" s="888"/>
      <c r="N5" s="76"/>
      <c r="O5" s="76"/>
      <c r="P5" s="76"/>
      <c r="Q5" s="76"/>
      <c r="R5" s="76"/>
      <c r="S5" s="76"/>
      <c r="T5" s="76"/>
      <c r="U5" s="76"/>
      <c r="V5" s="76"/>
      <c r="W5" s="86"/>
    </row>
    <row r="6" spans="2:25" ht="37.5" customHeight="1">
      <c r="B6" s="175">
        <v>1</v>
      </c>
      <c r="C6" s="132" t="s">
        <v>6</v>
      </c>
      <c r="D6" s="176">
        <v>45536</v>
      </c>
      <c r="E6" s="121">
        <v>12735095</v>
      </c>
      <c r="F6" s="121">
        <v>9235361</v>
      </c>
      <c r="G6" s="135">
        <v>9235361</v>
      </c>
      <c r="H6" s="135">
        <f>3113135+82552+191097+2924289</f>
        <v>6311073</v>
      </c>
      <c r="I6" s="121">
        <f>G6-H6</f>
        <v>2924288</v>
      </c>
      <c r="J6" s="121">
        <f t="shared" ref="J6" si="0">F6-G6</f>
        <v>0</v>
      </c>
      <c r="K6" s="121"/>
      <c r="L6" s="121"/>
      <c r="M6" s="121">
        <v>2924288.5</v>
      </c>
      <c r="N6" s="177"/>
      <c r="O6" s="177"/>
      <c r="P6" s="121">
        <f>I6</f>
        <v>2924288</v>
      </c>
      <c r="Q6" s="177"/>
      <c r="R6" s="177"/>
      <c r="S6" s="177"/>
      <c r="T6" s="177"/>
      <c r="U6" s="177"/>
      <c r="V6" s="177"/>
      <c r="W6" s="165" t="s">
        <v>117</v>
      </c>
    </row>
    <row r="7" spans="2:25" ht="37.5" customHeight="1">
      <c r="B7" s="175">
        <v>2</v>
      </c>
      <c r="C7" s="132" t="s">
        <v>7</v>
      </c>
      <c r="D7" s="176">
        <v>45566</v>
      </c>
      <c r="E7" s="121">
        <v>77560123</v>
      </c>
      <c r="F7" s="121">
        <v>67811217</v>
      </c>
      <c r="G7" s="135">
        <v>74421345</v>
      </c>
      <c r="H7" s="135">
        <f>151606+(139397*19.5)+470*1450+2960465+3202560+1345600+9176789+4798256+6203045+8512749+5467708+1500000+1269000+1480800+3288000+1557690+18500000</f>
        <v>72814009.5</v>
      </c>
      <c r="I7" s="121">
        <f>G7-H7</f>
        <v>1607335.5</v>
      </c>
      <c r="J7" s="121"/>
      <c r="K7" s="121"/>
      <c r="L7" s="121"/>
      <c r="M7" s="155">
        <v>13318255.4166667</v>
      </c>
      <c r="N7" s="121">
        <v>7930808</v>
      </c>
      <c r="O7" s="155"/>
      <c r="P7" s="155">
        <f>I7</f>
        <v>1607335.5</v>
      </c>
      <c r="Q7" s="155"/>
      <c r="R7" s="155"/>
      <c r="S7" s="155"/>
      <c r="T7" s="155"/>
      <c r="U7" s="155"/>
      <c r="V7" s="155"/>
      <c r="W7" s="165" t="s">
        <v>117</v>
      </c>
    </row>
    <row r="8" spans="2:25" ht="37.5" customHeight="1">
      <c r="B8" s="175">
        <v>3</v>
      </c>
      <c r="C8" s="132" t="s">
        <v>8</v>
      </c>
      <c r="D8" s="183" t="s">
        <v>102</v>
      </c>
      <c r="E8" s="121">
        <v>26773680.210000001</v>
      </c>
      <c r="F8" s="121">
        <v>18313647</v>
      </c>
      <c r="G8" s="115">
        <f>4774150+402740+5130440+2760000</f>
        <v>13067330</v>
      </c>
      <c r="H8" s="115">
        <f>G8*0.1+1187577+326004+2453463*0.6</f>
        <v>4292391.8</v>
      </c>
      <c r="I8" s="114">
        <f>G8-H8</f>
        <v>8774938.1999999993</v>
      </c>
      <c r="J8" s="8">
        <f>F8-G8</f>
        <v>5246317</v>
      </c>
      <c r="K8" s="185"/>
      <c r="L8" s="114"/>
      <c r="M8" s="114">
        <v>6104549.083333333</v>
      </c>
      <c r="N8" s="114">
        <v>6104549.083333333</v>
      </c>
      <c r="O8" s="114">
        <v>6104549.083333333</v>
      </c>
      <c r="P8" s="114">
        <f>I8/2+2600000</f>
        <v>6987469.0999999996</v>
      </c>
      <c r="Q8" s="114">
        <f>P8</f>
        <v>6987469.0999999996</v>
      </c>
      <c r="R8" s="114"/>
      <c r="S8" s="114"/>
      <c r="T8" s="168"/>
      <c r="U8" s="168"/>
      <c r="V8" s="168"/>
      <c r="W8" s="163" t="s">
        <v>145</v>
      </c>
    </row>
    <row r="9" spans="2:25" ht="37.5" customHeight="1">
      <c r="B9" s="175">
        <v>4</v>
      </c>
      <c r="C9" s="132" t="s">
        <v>9</v>
      </c>
      <c r="D9" s="183" t="s">
        <v>102</v>
      </c>
      <c r="E9" s="121">
        <v>21137725</v>
      </c>
      <c r="F9" s="121">
        <v>15669062</v>
      </c>
      <c r="G9" s="115">
        <f>3273209+410040+9175367</f>
        <v>12858616</v>
      </c>
      <c r="H9" s="115">
        <f>G9*0.1+218071+1629613+126698+8000+2159406+463839+828000+2453463*0.4</f>
        <v>7700873.7999999998</v>
      </c>
      <c r="I9" s="114">
        <f>G9-H9</f>
        <v>5157742.2</v>
      </c>
      <c r="J9" s="8">
        <f>F9-G9</f>
        <v>2810446</v>
      </c>
      <c r="K9" s="185"/>
      <c r="L9" s="114"/>
      <c r="M9" s="114">
        <v>5223020.833333333</v>
      </c>
      <c r="N9" s="114">
        <v>5223020.833333333</v>
      </c>
      <c r="O9" s="114">
        <v>5223020.833333333</v>
      </c>
      <c r="P9" s="114">
        <f>I9/2+1400000</f>
        <v>3978871.1</v>
      </c>
      <c r="Q9" s="114">
        <f>P9</f>
        <v>3978871.1</v>
      </c>
      <c r="R9" s="114"/>
      <c r="S9" s="114"/>
      <c r="T9" s="168"/>
      <c r="U9" s="168"/>
      <c r="V9" s="168"/>
      <c r="W9" s="163" t="s">
        <v>145</v>
      </c>
    </row>
    <row r="10" spans="2:25" ht="37.5" customHeight="1">
      <c r="B10" s="175">
        <v>5</v>
      </c>
      <c r="C10" s="132" t="s">
        <v>48</v>
      </c>
      <c r="D10" s="178" t="s">
        <v>103</v>
      </c>
      <c r="E10" s="121">
        <v>55044200</v>
      </c>
      <c r="F10" s="121">
        <v>11666143</v>
      </c>
      <c r="G10" s="121">
        <f>F10</f>
        <v>11666143</v>
      </c>
      <c r="H10" s="115">
        <f>1264419+212935</f>
        <v>1477354</v>
      </c>
      <c r="I10" s="121">
        <f>G10-H10</f>
        <v>10188789</v>
      </c>
      <c r="J10" s="121">
        <f t="shared" ref="J10:J76" si="1">F10-G10</f>
        <v>0</v>
      </c>
      <c r="K10" s="179"/>
      <c r="L10" s="121"/>
      <c r="M10" s="121">
        <v>1944357.1666666667</v>
      </c>
      <c r="N10" s="121">
        <v>1944357.1666666667</v>
      </c>
      <c r="O10" s="121">
        <v>1944357.1666666667</v>
      </c>
      <c r="P10" s="121">
        <v>3944357.1666666698</v>
      </c>
      <c r="Q10" s="121">
        <v>3944357.1666666698</v>
      </c>
      <c r="R10" s="121">
        <v>1944357.1666666667</v>
      </c>
      <c r="S10" s="180"/>
      <c r="T10" s="180"/>
      <c r="U10" s="180"/>
      <c r="V10" s="180"/>
      <c r="W10" s="181"/>
    </row>
    <row r="11" spans="2:25" ht="37.5" customHeight="1">
      <c r="B11" s="175">
        <v>6</v>
      </c>
      <c r="C11" s="132" t="s">
        <v>10</v>
      </c>
      <c r="D11" s="178" t="s">
        <v>104</v>
      </c>
      <c r="E11" s="121">
        <v>28000000</v>
      </c>
      <c r="F11" s="121">
        <v>21356000</v>
      </c>
      <c r="G11" s="121">
        <v>21356000</v>
      </c>
      <c r="H11" s="121">
        <v>11203560</v>
      </c>
      <c r="I11" s="179"/>
      <c r="J11" s="121">
        <f>F11-G11</f>
        <v>0</v>
      </c>
      <c r="K11" s="179"/>
      <c r="L11" s="179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1"/>
    </row>
    <row r="12" spans="2:25" ht="37.5" customHeight="1">
      <c r="B12" s="175">
        <v>7</v>
      </c>
      <c r="C12" s="132" t="s">
        <v>11</v>
      </c>
      <c r="D12" s="178" t="s">
        <v>105</v>
      </c>
      <c r="E12" s="121">
        <v>5851000</v>
      </c>
      <c r="F12" s="121">
        <v>5364800</v>
      </c>
      <c r="G12" s="121">
        <v>5364800</v>
      </c>
      <c r="H12" s="121">
        <v>1592000</v>
      </c>
      <c r="I12" s="121">
        <f>G12-H12</f>
        <v>3772800</v>
      </c>
      <c r="J12" s="121"/>
      <c r="K12" s="179"/>
      <c r="L12" s="121"/>
      <c r="M12" s="121">
        <v>2185920</v>
      </c>
      <c r="N12" s="121">
        <v>1592600</v>
      </c>
      <c r="O12" s="121"/>
      <c r="P12" s="121">
        <f>I12</f>
        <v>3772800</v>
      </c>
      <c r="Q12" s="180"/>
      <c r="R12" s="180"/>
      <c r="S12" s="180"/>
      <c r="T12" s="180"/>
      <c r="U12" s="180"/>
      <c r="V12" s="180"/>
      <c r="W12" s="181"/>
    </row>
    <row r="13" spans="2:25" ht="37.5" customHeight="1">
      <c r="B13" s="175">
        <v>8</v>
      </c>
      <c r="C13" s="132" t="s">
        <v>12</v>
      </c>
      <c r="D13" s="178" t="s">
        <v>105</v>
      </c>
      <c r="E13" s="121">
        <v>45095450</v>
      </c>
      <c r="F13" s="121">
        <v>34785601</v>
      </c>
      <c r="G13" s="121">
        <v>34785601</v>
      </c>
      <c r="H13" s="121">
        <f>1860000+2504004</f>
        <v>4364004</v>
      </c>
      <c r="I13" s="121">
        <f t="shared" ref="I13:I15" si="2">G13-H13</f>
        <v>30421597</v>
      </c>
      <c r="J13" s="121"/>
      <c r="K13" s="179"/>
      <c r="L13" s="121"/>
      <c r="M13" s="121">
        <f>8696400.25-1860000</f>
        <v>6836400.25</v>
      </c>
      <c r="N13" s="121">
        <v>8696400.25</v>
      </c>
      <c r="O13" s="121">
        <v>8696400.25</v>
      </c>
      <c r="P13" s="121">
        <v>8696400.25</v>
      </c>
      <c r="Q13" s="121">
        <v>8696400.25</v>
      </c>
      <c r="R13" s="121">
        <v>8696400.25</v>
      </c>
      <c r="S13" s="180"/>
      <c r="T13" s="180"/>
      <c r="U13" s="180"/>
      <c r="V13" s="180"/>
      <c r="W13" s="181"/>
    </row>
    <row r="14" spans="2:25" ht="37.5" customHeight="1">
      <c r="B14" s="164">
        <v>10</v>
      </c>
      <c r="C14" s="135" t="s">
        <v>14</v>
      </c>
      <c r="D14" s="178" t="s">
        <v>106</v>
      </c>
      <c r="E14" s="121">
        <v>21992008</v>
      </c>
      <c r="F14" s="121">
        <v>14221499</v>
      </c>
      <c r="G14" s="135">
        <f>11030060+1848250</f>
        <v>12878310</v>
      </c>
      <c r="H14" s="135">
        <f>G14*0.1</f>
        <v>1287831</v>
      </c>
      <c r="I14" s="121">
        <f t="shared" si="2"/>
        <v>11590479</v>
      </c>
      <c r="J14" s="121"/>
      <c r="K14" s="179"/>
      <c r="L14" s="207"/>
      <c r="M14" s="207">
        <v>643915.5</v>
      </c>
      <c r="N14" s="208">
        <v>643915.5</v>
      </c>
      <c r="O14" s="208">
        <v>1931746.5</v>
      </c>
      <c r="P14" s="208">
        <v>2575662</v>
      </c>
      <c r="Q14" s="208">
        <v>2575662</v>
      </c>
      <c r="R14" s="208">
        <v>3931746.5</v>
      </c>
      <c r="S14" s="208">
        <v>3287831</v>
      </c>
      <c r="T14" s="208"/>
      <c r="U14" s="208"/>
      <c r="V14" s="208"/>
      <c r="W14" s="181"/>
    </row>
    <row r="15" spans="2:25" ht="37.5" customHeight="1">
      <c r="B15" s="164">
        <v>11</v>
      </c>
      <c r="C15" s="135" t="s">
        <v>52</v>
      </c>
      <c r="D15" s="178" t="s">
        <v>106</v>
      </c>
      <c r="E15" s="121">
        <v>27128000</v>
      </c>
      <c r="F15" s="121">
        <v>17542773</v>
      </c>
      <c r="G15" s="135">
        <v>16256850</v>
      </c>
      <c r="H15" s="135">
        <f>G15*0.1+352371</f>
        <v>1978056</v>
      </c>
      <c r="I15" s="121">
        <f t="shared" si="2"/>
        <v>14278794</v>
      </c>
      <c r="J15" s="121"/>
      <c r="K15" s="179"/>
      <c r="L15" s="207"/>
      <c r="M15" s="207">
        <v>793266.33333333337</v>
      </c>
      <c r="N15" s="207">
        <v>793266.33333333337</v>
      </c>
      <c r="O15" s="207">
        <v>2379799</v>
      </c>
      <c r="P15" s="207">
        <v>2379799</v>
      </c>
      <c r="Q15" s="207">
        <v>3379799</v>
      </c>
      <c r="R15" s="207">
        <v>3379799</v>
      </c>
      <c r="S15" s="207">
        <v>3379799</v>
      </c>
      <c r="T15" s="208">
        <v>1793266.33333333</v>
      </c>
      <c r="U15" s="208"/>
      <c r="V15" s="208"/>
      <c r="W15" s="165" t="s">
        <v>117</v>
      </c>
    </row>
    <row r="16" spans="2:25" ht="37.5" customHeight="1">
      <c r="B16" s="175">
        <v>12</v>
      </c>
      <c r="C16" s="132" t="s">
        <v>15</v>
      </c>
      <c r="D16" s="178" t="s">
        <v>106</v>
      </c>
      <c r="E16" s="121">
        <v>11326915</v>
      </c>
      <c r="F16" s="121">
        <v>12130712</v>
      </c>
      <c r="G16" s="135">
        <f>F16</f>
        <v>12130712</v>
      </c>
      <c r="H16" s="187"/>
      <c r="I16" s="121">
        <f>G16</f>
        <v>12130712</v>
      </c>
      <c r="J16" s="287">
        <f t="shared" si="1"/>
        <v>0</v>
      </c>
      <c r="K16" s="179"/>
      <c r="L16" s="179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1"/>
    </row>
    <row r="17" spans="2:23" ht="37.5" customHeight="1">
      <c r="B17" s="175">
        <v>13</v>
      </c>
      <c r="C17" s="132" t="s">
        <v>16</v>
      </c>
      <c r="D17" s="178" t="s">
        <v>106</v>
      </c>
      <c r="E17" s="121">
        <v>6947660</v>
      </c>
      <c r="F17" s="121">
        <v>4500000</v>
      </c>
      <c r="G17" s="135">
        <v>4293868</v>
      </c>
      <c r="H17" s="187"/>
      <c r="I17" s="121">
        <v>4293868</v>
      </c>
      <c r="J17" s="287">
        <f t="shared" si="1"/>
        <v>206132</v>
      </c>
      <c r="K17" s="179"/>
      <c r="L17" s="179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1"/>
    </row>
    <row r="18" spans="2:23" ht="37.5" customHeight="1">
      <c r="B18" s="175">
        <v>14</v>
      </c>
      <c r="C18" s="132" t="s">
        <v>107</v>
      </c>
      <c r="D18" s="178" t="s">
        <v>106</v>
      </c>
      <c r="E18" s="121">
        <v>21654600</v>
      </c>
      <c r="F18" s="121">
        <v>14003308</v>
      </c>
      <c r="G18" s="135">
        <f>F18</f>
        <v>14003308</v>
      </c>
      <c r="H18" s="187"/>
      <c r="I18" s="121">
        <v>11369213</v>
      </c>
      <c r="J18" s="287">
        <f t="shared" si="1"/>
        <v>0</v>
      </c>
      <c r="K18" s="179"/>
      <c r="L18" s="179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1"/>
    </row>
    <row r="19" spans="2:23" ht="37.5" customHeight="1">
      <c r="B19" s="102">
        <v>15</v>
      </c>
      <c r="C19" s="13" t="s">
        <v>49</v>
      </c>
      <c r="D19" s="71" t="s">
        <v>106</v>
      </c>
      <c r="E19" s="55">
        <v>13159810</v>
      </c>
      <c r="F19" s="55">
        <v>8510010</v>
      </c>
      <c r="G19" s="72"/>
      <c r="H19" s="72"/>
      <c r="I19" s="54"/>
      <c r="J19" s="286">
        <f t="shared" si="1"/>
        <v>8510010</v>
      </c>
      <c r="K19" s="54"/>
      <c r="L19" s="5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6"/>
    </row>
    <row r="20" spans="2:23" ht="37.5" customHeight="1">
      <c r="B20" s="175">
        <v>16</v>
      </c>
      <c r="C20" s="132" t="s">
        <v>47</v>
      </c>
      <c r="D20" s="178" t="s">
        <v>106</v>
      </c>
      <c r="E20" s="121">
        <v>21076800</v>
      </c>
      <c r="F20" s="121">
        <v>13629664</v>
      </c>
      <c r="G20" s="135">
        <v>14000000</v>
      </c>
      <c r="H20" s="121">
        <f>4200000+3295229</f>
        <v>7495229</v>
      </c>
      <c r="I20" s="121">
        <f t="shared" ref="I20" si="3">G20-H20</f>
        <v>6504771</v>
      </c>
      <c r="J20" s="287"/>
      <c r="K20" s="179"/>
      <c r="L20" s="179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1"/>
    </row>
    <row r="21" spans="2:23" ht="37.5" customHeight="1">
      <c r="B21" s="182">
        <v>17</v>
      </c>
      <c r="C21" s="126" t="s">
        <v>25</v>
      </c>
      <c r="D21" s="184"/>
      <c r="E21" s="114"/>
      <c r="F21" s="741">
        <v>7500000</v>
      </c>
      <c r="G21" s="741">
        <v>4952283</v>
      </c>
      <c r="H21" s="741">
        <f>3380342+1111460</f>
        <v>4491802</v>
      </c>
      <c r="I21" s="741">
        <f>G21-H21</f>
        <v>460481</v>
      </c>
      <c r="J21" s="285">
        <f t="shared" si="1"/>
        <v>2547717</v>
      </c>
      <c r="K21" s="224"/>
      <c r="L21" s="223"/>
      <c r="M21" s="223">
        <v>1666666.6666666667</v>
      </c>
      <c r="N21" s="223">
        <v>1666666.6666666667</v>
      </c>
      <c r="O21" s="223">
        <v>1666666.6666666667</v>
      </c>
      <c r="P21" s="223">
        <v>1250000</v>
      </c>
      <c r="Q21" s="223">
        <v>1250000</v>
      </c>
      <c r="R21" s="186"/>
      <c r="S21" s="186"/>
      <c r="T21" s="186"/>
      <c r="U21" s="186"/>
      <c r="V21" s="186"/>
      <c r="W21" s="163" t="s">
        <v>145</v>
      </c>
    </row>
    <row r="22" spans="2:23" ht="37.5" customHeight="1">
      <c r="B22" s="175">
        <v>18</v>
      </c>
      <c r="C22" s="132" t="s">
        <v>51</v>
      </c>
      <c r="D22" s="178" t="s">
        <v>106</v>
      </c>
      <c r="E22" s="121">
        <v>50927365.5</v>
      </c>
      <c r="F22" s="121">
        <v>32933030</v>
      </c>
      <c r="G22" s="187"/>
      <c r="H22" s="187"/>
      <c r="I22" s="179"/>
      <c r="J22" s="286">
        <f t="shared" si="1"/>
        <v>32933030</v>
      </c>
      <c r="K22" s="179"/>
      <c r="L22" s="179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1"/>
    </row>
    <row r="23" spans="2:23" ht="37.5" customHeight="1">
      <c r="B23" s="175">
        <v>19</v>
      </c>
      <c r="C23" s="132" t="s">
        <v>54</v>
      </c>
      <c r="D23" s="178" t="s">
        <v>106</v>
      </c>
      <c r="E23" s="121">
        <v>22324236.5</v>
      </c>
      <c r="F23" s="121">
        <v>11436340</v>
      </c>
      <c r="G23" s="187"/>
      <c r="H23" s="187"/>
      <c r="I23" s="179"/>
      <c r="J23" s="286">
        <f t="shared" si="1"/>
        <v>11436340</v>
      </c>
      <c r="K23" s="179"/>
      <c r="L23" s="179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1"/>
    </row>
    <row r="24" spans="2:23" ht="37.5" customHeight="1">
      <c r="B24" s="175">
        <v>20</v>
      </c>
      <c r="C24" s="132" t="s">
        <v>17</v>
      </c>
      <c r="D24" s="178" t="s">
        <v>106</v>
      </c>
      <c r="E24" s="121">
        <v>11332805</v>
      </c>
      <c r="F24" s="121">
        <v>22692700</v>
      </c>
      <c r="G24" s="187"/>
      <c r="H24" s="187"/>
      <c r="I24" s="179"/>
      <c r="J24" s="286">
        <f t="shared" si="1"/>
        <v>22692700</v>
      </c>
      <c r="K24" s="179"/>
      <c r="L24" s="179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1"/>
    </row>
    <row r="25" spans="2:23" ht="37.5" customHeight="1">
      <c r="B25" s="175">
        <v>21</v>
      </c>
      <c r="C25" s="132" t="s">
        <v>26</v>
      </c>
      <c r="D25" s="178" t="s">
        <v>108</v>
      </c>
      <c r="E25" s="121">
        <v>14218500</v>
      </c>
      <c r="F25" s="121">
        <v>7469930</v>
      </c>
      <c r="G25" s="187"/>
      <c r="H25" s="187"/>
      <c r="I25" s="179"/>
      <c r="J25" s="286">
        <f t="shared" si="1"/>
        <v>7469930</v>
      </c>
      <c r="K25" s="193"/>
      <c r="L25" s="193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5"/>
    </row>
    <row r="26" spans="2:23" ht="37.5" customHeight="1">
      <c r="B26" s="175">
        <v>22</v>
      </c>
      <c r="C26" s="132" t="s">
        <v>21</v>
      </c>
      <c r="D26" s="178" t="s">
        <v>108</v>
      </c>
      <c r="E26" s="121">
        <v>60712000</v>
      </c>
      <c r="F26" s="114">
        <v>44687500</v>
      </c>
      <c r="G26" s="114">
        <v>33292000</v>
      </c>
      <c r="H26" s="593">
        <f>4200000+600000</f>
        <v>4800000</v>
      </c>
      <c r="I26" s="114">
        <f>G26-H26</f>
        <v>28492000</v>
      </c>
      <c r="J26" s="286"/>
      <c r="K26" s="179"/>
      <c r="L26" s="179"/>
      <c r="M26" s="121"/>
      <c r="N26" s="180">
        <v>19065384.615384616</v>
      </c>
      <c r="O26" s="180"/>
      <c r="P26" s="121"/>
      <c r="Q26" s="207">
        <v>14226615.384615384</v>
      </c>
      <c r="R26" s="207"/>
      <c r="S26" s="207"/>
      <c r="T26" s="207"/>
      <c r="U26" s="208"/>
      <c r="V26" s="180"/>
      <c r="W26" s="181"/>
    </row>
    <row r="27" spans="2:23" ht="37.5" customHeight="1">
      <c r="B27" s="102" t="s">
        <v>135</v>
      </c>
      <c r="C27" s="13" t="s">
        <v>85</v>
      </c>
      <c r="D27" s="71" t="s">
        <v>109</v>
      </c>
      <c r="E27" s="900">
        <v>97040526</v>
      </c>
      <c r="F27" s="900">
        <v>91826667</v>
      </c>
      <c r="G27" s="72"/>
      <c r="H27" s="72"/>
      <c r="I27" s="54"/>
      <c r="J27" s="905">
        <f t="shared" si="1"/>
        <v>91826667</v>
      </c>
      <c r="K27" s="54"/>
      <c r="L27" s="303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6"/>
    </row>
    <row r="28" spans="2:23" ht="37.5" customHeight="1">
      <c r="B28" s="102" t="s">
        <v>88</v>
      </c>
      <c r="C28" s="13" t="s">
        <v>87</v>
      </c>
      <c r="D28" s="71"/>
      <c r="E28" s="901"/>
      <c r="F28" s="901"/>
      <c r="G28" s="72"/>
      <c r="H28" s="304"/>
      <c r="I28" s="54"/>
      <c r="J28" s="906"/>
      <c r="K28" s="54"/>
      <c r="L28" s="5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6"/>
    </row>
    <row r="29" spans="2:23" ht="37.5" customHeight="1">
      <c r="B29" s="102" t="s">
        <v>88</v>
      </c>
      <c r="C29" s="13" t="s">
        <v>322</v>
      </c>
      <c r="D29" s="71"/>
      <c r="E29" s="902"/>
      <c r="F29" s="902"/>
      <c r="G29" s="72"/>
      <c r="H29" s="304"/>
      <c r="I29" s="54"/>
      <c r="J29" s="907"/>
      <c r="K29" s="54"/>
      <c r="L29" s="5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6"/>
    </row>
    <row r="30" spans="2:23" ht="37.5" customHeight="1">
      <c r="B30" s="102">
        <v>25</v>
      </c>
      <c r="C30" s="13" t="s">
        <v>19</v>
      </c>
      <c r="D30" s="71" t="s">
        <v>109</v>
      </c>
      <c r="E30" s="55">
        <v>44903000</v>
      </c>
      <c r="F30" s="55">
        <v>31464928</v>
      </c>
      <c r="G30" s="72"/>
      <c r="H30" s="72"/>
      <c r="I30" s="54"/>
      <c r="J30" s="286">
        <f t="shared" si="1"/>
        <v>31464928</v>
      </c>
      <c r="K30" s="73"/>
      <c r="L30" s="5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6"/>
    </row>
    <row r="31" spans="2:23" ht="37.5" customHeight="1">
      <c r="B31" s="102">
        <v>26</v>
      </c>
      <c r="C31" s="13" t="s">
        <v>20</v>
      </c>
      <c r="D31" s="71" t="s">
        <v>109</v>
      </c>
      <c r="E31" s="55">
        <f>23695163+7000000</f>
        <v>30695163</v>
      </c>
      <c r="F31" s="55">
        <f>19322872+7000000</f>
        <v>26322872</v>
      </c>
      <c r="G31" s="72"/>
      <c r="H31" s="72"/>
      <c r="I31" s="54"/>
      <c r="J31" s="286">
        <f t="shared" si="1"/>
        <v>26322872</v>
      </c>
      <c r="K31" s="54"/>
      <c r="L31" s="5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6"/>
    </row>
    <row r="32" spans="2:23" ht="37.5" customHeight="1">
      <c r="B32" s="102" t="s">
        <v>79</v>
      </c>
      <c r="C32" s="13" t="s">
        <v>133</v>
      </c>
      <c r="D32" s="71" t="s">
        <v>109</v>
      </c>
      <c r="E32" s="55">
        <v>58348355</v>
      </c>
      <c r="F32" s="55">
        <f>37731936-F33</f>
        <v>28494951</v>
      </c>
      <c r="G32" s="72"/>
      <c r="H32" s="72"/>
      <c r="I32" s="54"/>
      <c r="J32" s="286">
        <f t="shared" si="1"/>
        <v>28494951</v>
      </c>
      <c r="K32" s="54"/>
      <c r="L32" s="5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6"/>
    </row>
    <row r="33" spans="2:23" ht="37.5" customHeight="1">
      <c r="B33" s="175" t="s">
        <v>134</v>
      </c>
      <c r="C33" s="132" t="s">
        <v>132</v>
      </c>
      <c r="D33" s="178"/>
      <c r="E33" s="121"/>
      <c r="F33" s="121">
        <v>9236985</v>
      </c>
      <c r="G33" s="188">
        <v>8105205</v>
      </c>
      <c r="H33" s="188">
        <v>2026300</v>
      </c>
      <c r="I33" s="188">
        <f>G33-H33</f>
        <v>6078905</v>
      </c>
      <c r="J33" s="287"/>
      <c r="K33" s="179"/>
      <c r="L33" s="179"/>
      <c r="M33" s="180"/>
      <c r="N33" s="121"/>
      <c r="O33" s="121">
        <v>2026301.6666666667</v>
      </c>
      <c r="P33" s="121">
        <v>2026301.6666666667</v>
      </c>
      <c r="Q33" s="121">
        <v>2026301.6666666667</v>
      </c>
      <c r="R33" s="180"/>
      <c r="S33" s="180"/>
      <c r="T33" s="180"/>
      <c r="U33" s="180"/>
      <c r="V33" s="180"/>
      <c r="W33" s="181"/>
    </row>
    <row r="34" spans="2:23" ht="37.5" customHeight="1">
      <c r="B34" s="102">
        <v>28</v>
      </c>
      <c r="C34" s="13" t="s">
        <v>137</v>
      </c>
      <c r="D34" s="71" t="s">
        <v>109</v>
      </c>
      <c r="E34" s="900">
        <v>201253640</v>
      </c>
      <c r="F34" s="900">
        <v>140144021</v>
      </c>
      <c r="G34" s="72"/>
      <c r="H34" s="72"/>
      <c r="I34" s="54"/>
      <c r="J34" s="286">
        <f t="shared" si="1"/>
        <v>140144021</v>
      </c>
      <c r="K34" s="54"/>
      <c r="L34" s="5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6"/>
    </row>
    <row r="35" spans="2:23" ht="37.5" customHeight="1">
      <c r="B35" s="102" t="s">
        <v>138</v>
      </c>
      <c r="C35" s="13" t="s">
        <v>136</v>
      </c>
      <c r="D35" s="71"/>
      <c r="E35" s="902"/>
      <c r="F35" s="902"/>
      <c r="G35" s="72"/>
      <c r="H35" s="72"/>
      <c r="I35" s="54"/>
      <c r="J35" s="286">
        <f t="shared" si="1"/>
        <v>0</v>
      </c>
      <c r="K35" s="54"/>
      <c r="L35" s="5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6"/>
    </row>
    <row r="36" spans="2:23" ht="37.5" customHeight="1">
      <c r="B36" s="102">
        <v>29</v>
      </c>
      <c r="C36" s="13" t="s">
        <v>28</v>
      </c>
      <c r="D36" s="71" t="s">
        <v>109</v>
      </c>
      <c r="E36" s="55">
        <v>38302485</v>
      </c>
      <c r="F36" s="55">
        <v>28768940</v>
      </c>
      <c r="G36" s="72"/>
      <c r="H36" s="72"/>
      <c r="I36" s="54"/>
      <c r="J36" s="286">
        <f t="shared" si="1"/>
        <v>28768940</v>
      </c>
      <c r="K36" s="54"/>
      <c r="L36" s="5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6"/>
    </row>
    <row r="37" spans="2:23" ht="37.5" customHeight="1">
      <c r="B37" s="102" t="s">
        <v>139</v>
      </c>
      <c r="C37" s="13" t="s">
        <v>141</v>
      </c>
      <c r="D37" s="71" t="s">
        <v>110</v>
      </c>
      <c r="E37" s="900">
        <v>302206050</v>
      </c>
      <c r="F37" s="900">
        <v>195426579</v>
      </c>
      <c r="G37" s="72"/>
      <c r="H37" s="72"/>
      <c r="I37" s="54"/>
      <c r="J37" s="286">
        <f t="shared" si="1"/>
        <v>195426579</v>
      </c>
      <c r="K37" s="54"/>
      <c r="L37" s="5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6"/>
    </row>
    <row r="38" spans="2:23" ht="37.5" customHeight="1">
      <c r="B38" s="102" t="s">
        <v>140</v>
      </c>
      <c r="C38" s="13" t="s">
        <v>142</v>
      </c>
      <c r="D38" s="71"/>
      <c r="E38" s="902"/>
      <c r="F38" s="902"/>
      <c r="G38" s="72"/>
      <c r="H38" s="72"/>
      <c r="I38" s="54"/>
      <c r="J38" s="286">
        <f t="shared" si="1"/>
        <v>0</v>
      </c>
      <c r="K38" s="54"/>
      <c r="L38" s="5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6"/>
    </row>
    <row r="39" spans="2:23" ht="37.5" customHeight="1">
      <c r="B39" s="175">
        <v>31</v>
      </c>
      <c r="C39" s="132" t="s">
        <v>267</v>
      </c>
      <c r="D39" s="602" t="s">
        <v>110</v>
      </c>
      <c r="E39" s="121">
        <f>26853260-7000000</f>
        <v>19853260</v>
      </c>
      <c r="F39" s="121">
        <f>19365108-7000000</f>
        <v>12365108</v>
      </c>
      <c r="G39" s="121">
        <f>9950000*1.18</f>
        <v>11741000</v>
      </c>
      <c r="H39" s="121">
        <f>G39*0.5</f>
        <v>5870500</v>
      </c>
      <c r="I39" s="121">
        <f>G39-H39</f>
        <v>5870500</v>
      </c>
      <c r="J39" s="287"/>
      <c r="K39" s="603"/>
      <c r="L39" s="603"/>
      <c r="M39" s="604"/>
      <c r="N39" s="605"/>
      <c r="O39" s="605"/>
      <c r="P39" s="605"/>
      <c r="Q39" s="605">
        <v>5870500</v>
      </c>
      <c r="R39" s="121">
        <v>5870500</v>
      </c>
      <c r="S39" s="605"/>
      <c r="T39" s="605"/>
      <c r="U39" s="605"/>
      <c r="V39" s="605"/>
      <c r="W39" s="594"/>
    </row>
    <row r="40" spans="2:23" ht="37.5" customHeight="1">
      <c r="B40" s="102">
        <v>32</v>
      </c>
      <c r="C40" s="13" t="s">
        <v>22</v>
      </c>
      <c r="D40" s="71" t="s">
        <v>110</v>
      </c>
      <c r="E40" s="55">
        <v>105066341.84</v>
      </c>
      <c r="F40" s="55">
        <v>67942901</v>
      </c>
      <c r="G40" s="72"/>
      <c r="H40" s="72"/>
      <c r="I40" s="54"/>
      <c r="J40" s="286">
        <f t="shared" si="1"/>
        <v>67942901</v>
      </c>
      <c r="K40" s="54"/>
      <c r="L40" s="5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6"/>
    </row>
    <row r="41" spans="2:23" ht="37.5" customHeight="1">
      <c r="B41" s="102">
        <v>33</v>
      </c>
      <c r="C41" s="13" t="s">
        <v>40</v>
      </c>
      <c r="D41" s="71" t="s">
        <v>110</v>
      </c>
      <c r="E41" s="55">
        <v>4000000</v>
      </c>
      <c r="F41" s="55">
        <v>4000000</v>
      </c>
      <c r="G41" s="72"/>
      <c r="H41" s="72"/>
      <c r="I41" s="54"/>
      <c r="J41" s="286">
        <f t="shared" si="1"/>
        <v>4000000</v>
      </c>
      <c r="K41" s="54"/>
      <c r="L41" s="5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6"/>
    </row>
    <row r="42" spans="2:23" ht="37.5" customHeight="1">
      <c r="B42" s="102">
        <v>34</v>
      </c>
      <c r="C42" s="13" t="s">
        <v>23</v>
      </c>
      <c r="D42" s="72"/>
      <c r="E42" s="55"/>
      <c r="F42" s="55"/>
      <c r="G42" s="72"/>
      <c r="H42" s="72"/>
      <c r="I42" s="54"/>
      <c r="J42" s="286">
        <f t="shared" si="1"/>
        <v>0</v>
      </c>
      <c r="K42" s="54"/>
      <c r="L42" s="5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6"/>
    </row>
    <row r="43" spans="2:23" ht="37.5" customHeight="1">
      <c r="B43" s="102">
        <v>35</v>
      </c>
      <c r="C43" s="13" t="s">
        <v>41</v>
      </c>
      <c r="D43" s="71" t="s">
        <v>111</v>
      </c>
      <c r="E43" s="55">
        <v>5087280</v>
      </c>
      <c r="F43" s="55">
        <v>5087280</v>
      </c>
      <c r="G43" s="72"/>
      <c r="H43" s="72"/>
      <c r="I43" s="54"/>
      <c r="J43" s="286">
        <f t="shared" si="1"/>
        <v>5087280</v>
      </c>
      <c r="K43" s="54"/>
      <c r="L43" s="54"/>
      <c r="M43" s="84"/>
      <c r="N43" s="84"/>
      <c r="O43" s="84"/>
      <c r="P43" s="84"/>
      <c r="Q43" s="84"/>
      <c r="R43" s="5"/>
      <c r="S43" s="84"/>
      <c r="T43" s="84"/>
      <c r="U43" s="84"/>
      <c r="V43" s="84"/>
      <c r="W43" s="86"/>
    </row>
    <row r="44" spans="2:23" ht="37.5" customHeight="1">
      <c r="B44" s="102" t="s">
        <v>91</v>
      </c>
      <c r="C44" s="13" t="s">
        <v>29</v>
      </c>
      <c r="D44" s="71" t="s">
        <v>111</v>
      </c>
      <c r="E44" s="900">
        <v>98101000</v>
      </c>
      <c r="F44" s="900">
        <v>95256396</v>
      </c>
      <c r="G44" s="72"/>
      <c r="H44" s="72"/>
      <c r="I44" s="54"/>
      <c r="J44" s="286">
        <f t="shared" si="1"/>
        <v>95256396</v>
      </c>
      <c r="K44" s="54"/>
      <c r="L44" s="5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6"/>
    </row>
    <row r="45" spans="2:23" ht="37.5" customHeight="1">
      <c r="B45" s="102" t="s">
        <v>93</v>
      </c>
      <c r="C45" s="13" t="s">
        <v>144</v>
      </c>
      <c r="D45" s="71"/>
      <c r="E45" s="901"/>
      <c r="F45" s="901"/>
      <c r="G45" s="72"/>
      <c r="H45" s="72"/>
      <c r="I45" s="54"/>
      <c r="J45" s="286">
        <f t="shared" si="1"/>
        <v>0</v>
      </c>
      <c r="K45" s="54"/>
      <c r="L45" s="5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6"/>
    </row>
    <row r="46" spans="2:23" ht="37.5" customHeight="1">
      <c r="B46" s="102" t="s">
        <v>143</v>
      </c>
      <c r="C46" s="13" t="s">
        <v>94</v>
      </c>
      <c r="D46" s="71"/>
      <c r="E46" s="902"/>
      <c r="F46" s="902"/>
      <c r="G46" s="72"/>
      <c r="H46" s="72"/>
      <c r="I46" s="54"/>
      <c r="J46" s="286">
        <f t="shared" si="1"/>
        <v>0</v>
      </c>
      <c r="K46" s="54"/>
      <c r="L46" s="5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6"/>
    </row>
    <row r="47" spans="2:23" ht="37.5" customHeight="1">
      <c r="B47" s="102">
        <v>37</v>
      </c>
      <c r="C47" s="13" t="s">
        <v>30</v>
      </c>
      <c r="D47" s="71" t="s">
        <v>111</v>
      </c>
      <c r="E47" s="55">
        <v>2145530</v>
      </c>
      <c r="F47" s="55">
        <v>2145530</v>
      </c>
      <c r="G47" s="72"/>
      <c r="H47" s="72"/>
      <c r="I47" s="54"/>
      <c r="J47" s="286">
        <f t="shared" si="1"/>
        <v>2145530</v>
      </c>
      <c r="K47" s="54"/>
      <c r="L47" s="5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6"/>
    </row>
    <row r="48" spans="2:23" ht="37.5" customHeight="1">
      <c r="B48" s="102">
        <v>38</v>
      </c>
      <c r="C48" s="13" t="s">
        <v>31</v>
      </c>
      <c r="D48" s="71" t="s">
        <v>111</v>
      </c>
      <c r="E48" s="55">
        <v>10380086.5</v>
      </c>
      <c r="F48" s="55">
        <v>11568440</v>
      </c>
      <c r="G48" s="72"/>
      <c r="H48" s="72"/>
      <c r="I48" s="54"/>
      <c r="J48" s="286">
        <f t="shared" si="1"/>
        <v>11568440</v>
      </c>
      <c r="K48" s="54"/>
      <c r="L48" s="5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6"/>
    </row>
    <row r="49" spans="2:23" ht="37.5" customHeight="1">
      <c r="B49" s="102">
        <v>39</v>
      </c>
      <c r="C49" s="13" t="s">
        <v>32</v>
      </c>
      <c r="D49" s="71" t="s">
        <v>111</v>
      </c>
      <c r="E49" s="55">
        <v>12695189</v>
      </c>
      <c r="F49" s="55">
        <v>18963188</v>
      </c>
      <c r="G49" s="72"/>
      <c r="H49" s="72"/>
      <c r="I49" s="54"/>
      <c r="J49" s="286">
        <f t="shared" si="1"/>
        <v>18963188</v>
      </c>
      <c r="K49" s="54"/>
      <c r="L49" s="5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6"/>
    </row>
    <row r="50" spans="2:23" ht="37.5" customHeight="1">
      <c r="B50" s="102">
        <v>40</v>
      </c>
      <c r="C50" s="13" t="s">
        <v>42</v>
      </c>
      <c r="D50" s="71" t="s">
        <v>111</v>
      </c>
      <c r="E50" s="55">
        <v>6147120</v>
      </c>
      <c r="F50" s="55">
        <v>6147120</v>
      </c>
      <c r="G50" s="72"/>
      <c r="H50" s="72"/>
      <c r="I50" s="54"/>
      <c r="J50" s="286">
        <f t="shared" si="1"/>
        <v>6147120</v>
      </c>
      <c r="K50" s="54"/>
      <c r="L50" s="5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6"/>
    </row>
    <row r="51" spans="2:23" ht="37.5" customHeight="1">
      <c r="B51" s="102">
        <v>41</v>
      </c>
      <c r="C51" s="13" t="s">
        <v>43</v>
      </c>
      <c r="D51" s="71" t="s">
        <v>111</v>
      </c>
      <c r="E51" s="55">
        <v>4598000</v>
      </c>
      <c r="F51" s="55">
        <v>5715920</v>
      </c>
      <c r="G51" s="72"/>
      <c r="H51" s="72"/>
      <c r="I51" s="54"/>
      <c r="J51" s="286">
        <f t="shared" si="1"/>
        <v>5715920</v>
      </c>
      <c r="K51" s="54"/>
      <c r="L51" s="5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6"/>
    </row>
    <row r="52" spans="2:23" ht="37.5" customHeight="1">
      <c r="B52" s="102">
        <v>42</v>
      </c>
      <c r="C52" s="13" t="s">
        <v>116</v>
      </c>
      <c r="D52" s="71" t="s">
        <v>111</v>
      </c>
      <c r="E52" s="55">
        <v>7492650</v>
      </c>
      <c r="F52" s="55">
        <v>7492650</v>
      </c>
      <c r="G52" s="72"/>
      <c r="H52" s="72"/>
      <c r="I52" s="54"/>
      <c r="J52" s="286">
        <f t="shared" si="1"/>
        <v>7492650</v>
      </c>
      <c r="K52" s="54"/>
      <c r="L52" s="5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6"/>
    </row>
    <row r="53" spans="2:23" ht="37.5" customHeight="1">
      <c r="B53" s="102">
        <v>45</v>
      </c>
      <c r="C53" s="13" t="s">
        <v>44</v>
      </c>
      <c r="D53" s="71" t="s">
        <v>112</v>
      </c>
      <c r="E53" s="55">
        <v>8663440</v>
      </c>
      <c r="F53" s="55">
        <v>6602358</v>
      </c>
      <c r="G53" s="72"/>
      <c r="H53" s="72"/>
      <c r="I53" s="54"/>
      <c r="J53" s="286">
        <f t="shared" si="1"/>
        <v>6602358</v>
      </c>
      <c r="K53" s="54"/>
      <c r="L53" s="5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6"/>
    </row>
    <row r="54" spans="2:23" ht="37.5" customHeight="1">
      <c r="B54" s="102">
        <v>46</v>
      </c>
      <c r="C54" s="13" t="s">
        <v>0</v>
      </c>
      <c r="D54" s="71" t="s">
        <v>112</v>
      </c>
      <c r="E54" s="55">
        <v>2463855</v>
      </c>
      <c r="F54" s="55">
        <v>2463855</v>
      </c>
      <c r="G54" s="72"/>
      <c r="H54" s="72"/>
      <c r="I54" s="54"/>
      <c r="J54" s="286">
        <f t="shared" si="1"/>
        <v>2463855</v>
      </c>
      <c r="K54" s="54"/>
      <c r="L54" s="5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6"/>
    </row>
    <row r="55" spans="2:23" ht="37.5" customHeight="1">
      <c r="B55" s="102">
        <v>47</v>
      </c>
      <c r="C55" s="13" t="s">
        <v>34</v>
      </c>
      <c r="D55" s="71" t="s">
        <v>112</v>
      </c>
      <c r="E55" s="55">
        <v>12799500</v>
      </c>
      <c r="F55" s="55">
        <v>14030080</v>
      </c>
      <c r="G55" s="72"/>
      <c r="H55" s="72"/>
      <c r="I55" s="54"/>
      <c r="J55" s="286">
        <f t="shared" si="1"/>
        <v>14030080</v>
      </c>
      <c r="K55" s="54"/>
      <c r="L55" s="5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6"/>
    </row>
    <row r="56" spans="2:23" ht="37.5" customHeight="1">
      <c r="B56" s="102">
        <v>48</v>
      </c>
      <c r="C56" s="13" t="s">
        <v>35</v>
      </c>
      <c r="D56" s="71" t="s">
        <v>112</v>
      </c>
      <c r="E56" s="55">
        <v>1537470</v>
      </c>
      <c r="F56" s="55">
        <v>1537470</v>
      </c>
      <c r="G56" s="72"/>
      <c r="H56" s="72"/>
      <c r="I56" s="54"/>
      <c r="J56" s="286">
        <f t="shared" si="1"/>
        <v>1537470</v>
      </c>
      <c r="K56" s="54"/>
      <c r="L56" s="5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6"/>
    </row>
    <row r="57" spans="2:23" ht="37.5" customHeight="1">
      <c r="B57" s="102">
        <v>49</v>
      </c>
      <c r="C57" s="13" t="s">
        <v>36</v>
      </c>
      <c r="D57" s="71" t="s">
        <v>112</v>
      </c>
      <c r="E57" s="55">
        <v>2339725</v>
      </c>
      <c r="F57" s="55">
        <v>2339725</v>
      </c>
      <c r="G57" s="72"/>
      <c r="H57" s="72"/>
      <c r="I57" s="54"/>
      <c r="J57" s="286">
        <f t="shared" si="1"/>
        <v>2339725</v>
      </c>
      <c r="K57" s="54"/>
      <c r="L57" s="5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6"/>
    </row>
    <row r="58" spans="2:23" ht="37.5" customHeight="1">
      <c r="B58" s="102">
        <v>50</v>
      </c>
      <c r="C58" s="13" t="s">
        <v>37</v>
      </c>
      <c r="D58" s="71" t="s">
        <v>112</v>
      </c>
      <c r="E58" s="55">
        <v>2050000</v>
      </c>
      <c r="F58" s="55">
        <v>2050000</v>
      </c>
      <c r="G58" s="72"/>
      <c r="H58" s="72"/>
      <c r="I58" s="54"/>
      <c r="J58" s="286">
        <f t="shared" si="1"/>
        <v>2050000</v>
      </c>
      <c r="K58" s="54"/>
      <c r="L58" s="5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6"/>
    </row>
    <row r="59" spans="2:23" ht="37.5" customHeight="1">
      <c r="B59" s="102">
        <v>51</v>
      </c>
      <c r="C59" s="13" t="s">
        <v>113</v>
      </c>
      <c r="D59" s="71" t="s">
        <v>112</v>
      </c>
      <c r="E59" s="55">
        <v>34320000</v>
      </c>
      <c r="F59" s="55">
        <v>27391702</v>
      </c>
      <c r="G59" s="72"/>
      <c r="H59" s="72"/>
      <c r="I59" s="54"/>
      <c r="J59" s="286">
        <f t="shared" si="1"/>
        <v>27391702</v>
      </c>
      <c r="K59" s="54"/>
      <c r="L59" s="5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6"/>
    </row>
    <row r="60" spans="2:23" ht="37.5" customHeight="1">
      <c r="B60" s="102">
        <v>52</v>
      </c>
      <c r="C60" s="13" t="s">
        <v>46</v>
      </c>
      <c r="D60" s="71" t="s">
        <v>114</v>
      </c>
      <c r="E60" s="55">
        <v>68880000</v>
      </c>
      <c r="F60" s="55">
        <v>54012569</v>
      </c>
      <c r="G60" s="72"/>
      <c r="H60" s="72"/>
      <c r="I60" s="54"/>
      <c r="J60" s="286">
        <f t="shared" si="1"/>
        <v>54012569</v>
      </c>
      <c r="K60" s="54"/>
      <c r="L60" s="21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6"/>
    </row>
    <row r="61" spans="2:23" ht="37.5" customHeight="1">
      <c r="B61" s="102">
        <v>53</v>
      </c>
      <c r="C61" s="13" t="s">
        <v>38</v>
      </c>
      <c r="D61" s="71" t="s">
        <v>114</v>
      </c>
      <c r="E61" s="55">
        <v>3920000</v>
      </c>
      <c r="F61" s="55">
        <v>3920000</v>
      </c>
      <c r="G61" s="72"/>
      <c r="H61" s="72"/>
      <c r="I61" s="54"/>
      <c r="J61" s="286">
        <f t="shared" si="1"/>
        <v>3920000</v>
      </c>
      <c r="K61" s="54"/>
      <c r="L61" s="5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6"/>
    </row>
    <row r="62" spans="2:23" ht="37.5" customHeight="1">
      <c r="B62" s="102">
        <v>54</v>
      </c>
      <c r="C62" s="13" t="s">
        <v>39</v>
      </c>
      <c r="D62" s="72"/>
      <c r="E62" s="55">
        <v>6000000</v>
      </c>
      <c r="F62" s="55">
        <v>6000000</v>
      </c>
      <c r="G62" s="72"/>
      <c r="H62" s="72"/>
      <c r="I62" s="54"/>
      <c r="J62" s="286">
        <f t="shared" si="1"/>
        <v>6000000</v>
      </c>
      <c r="K62" s="54"/>
      <c r="L62" s="5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6"/>
    </row>
    <row r="63" spans="2:23" ht="37.5" customHeight="1" thickBot="1">
      <c r="B63" s="595">
        <v>55</v>
      </c>
      <c r="C63" s="596" t="s">
        <v>323</v>
      </c>
      <c r="D63" s="597"/>
      <c r="E63" s="169"/>
      <c r="F63" s="169"/>
      <c r="G63" s="121">
        <v>21000000</v>
      </c>
      <c r="H63" s="121">
        <v>4960775</v>
      </c>
      <c r="I63" s="121">
        <f>G63-H63</f>
        <v>16039225</v>
      </c>
      <c r="J63" s="287"/>
      <c r="K63" s="599"/>
      <c r="L63" s="599"/>
      <c r="M63" s="601"/>
      <c r="N63" s="601"/>
      <c r="O63" s="601"/>
      <c r="P63" s="121">
        <v>7123656</v>
      </c>
      <c r="Q63" s="121">
        <v>7123656</v>
      </c>
      <c r="R63" s="121">
        <v>2123656</v>
      </c>
      <c r="S63" s="601"/>
      <c r="T63" s="601"/>
      <c r="U63" s="601"/>
      <c r="V63" s="601"/>
      <c r="W63" s="86"/>
    </row>
    <row r="64" spans="2:23" ht="37.5" customHeight="1" thickBot="1">
      <c r="B64" s="189"/>
      <c r="C64" s="363" t="s">
        <v>257</v>
      </c>
      <c r="D64" s="117"/>
      <c r="E64" s="101">
        <f>SUM(E6:E63)</f>
        <v>1746287639.55</v>
      </c>
      <c r="F64" s="237">
        <f t="shared" ref="F64:V64" si="4">SUM(F6:F63)</f>
        <v>1304177532</v>
      </c>
      <c r="G64" s="238">
        <f t="shared" si="4"/>
        <v>335408732</v>
      </c>
      <c r="H64" s="238">
        <f t="shared" si="4"/>
        <v>142665759.09999999</v>
      </c>
      <c r="I64" s="238">
        <f t="shared" si="4"/>
        <v>179956437.90000001</v>
      </c>
      <c r="J64" s="236">
        <f t="shared" si="4"/>
        <v>980968764</v>
      </c>
      <c r="K64" s="101">
        <f t="shared" si="4"/>
        <v>0</v>
      </c>
      <c r="L64" s="101">
        <f t="shared" si="4"/>
        <v>0</v>
      </c>
      <c r="M64" s="234">
        <f t="shared" si="4"/>
        <v>41640639.75000003</v>
      </c>
      <c r="N64" s="234">
        <f t="shared" si="4"/>
        <v>53660968.448717944</v>
      </c>
      <c r="O64" s="234">
        <f t="shared" si="4"/>
        <v>29972841.166666668</v>
      </c>
      <c r="P64" s="234">
        <f t="shared" si="4"/>
        <v>47266939.783333331</v>
      </c>
      <c r="Q64" s="234">
        <f t="shared" si="4"/>
        <v>60059631.667948715</v>
      </c>
      <c r="R64" s="234">
        <f t="shared" si="4"/>
        <v>25946458.916666664</v>
      </c>
      <c r="S64" s="234">
        <f t="shared" si="4"/>
        <v>6667630</v>
      </c>
      <c r="T64" s="234">
        <f t="shared" si="4"/>
        <v>1793266.33333333</v>
      </c>
      <c r="U64" s="234">
        <f t="shared" si="4"/>
        <v>0</v>
      </c>
      <c r="V64" s="234">
        <f t="shared" si="4"/>
        <v>0</v>
      </c>
      <c r="W64" s="86"/>
    </row>
    <row r="65" spans="2:27" ht="37.5" customHeight="1">
      <c r="B65" s="189"/>
      <c r="C65" s="364" t="s">
        <v>259</v>
      </c>
      <c r="D65" s="117"/>
      <c r="E65" s="190"/>
      <c r="F65" s="190"/>
      <c r="G65" s="117"/>
      <c r="H65" s="117"/>
      <c r="I65" s="5"/>
      <c r="J65" s="286">
        <f t="shared" si="1"/>
        <v>0</v>
      </c>
      <c r="K65" s="98"/>
      <c r="L65" s="98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86"/>
    </row>
    <row r="66" spans="2:27" ht="37.5" customHeight="1" thickBot="1">
      <c r="B66" s="59">
        <v>56</v>
      </c>
      <c r="C66" s="353" t="s">
        <v>260</v>
      </c>
      <c r="D66" s="117"/>
      <c r="E66" s="190"/>
      <c r="F66" s="190">
        <v>35000000</v>
      </c>
      <c r="G66" s="117"/>
      <c r="H66" s="117"/>
      <c r="I66" s="5"/>
      <c r="J66" s="286">
        <f t="shared" si="1"/>
        <v>35000000</v>
      </c>
      <c r="K66" s="98"/>
      <c r="L66" s="98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606"/>
    </row>
    <row r="67" spans="2:27" ht="37.5" customHeight="1" thickBot="1">
      <c r="B67" s="358">
        <v>57</v>
      </c>
      <c r="C67" s="353" t="s">
        <v>261</v>
      </c>
      <c r="D67" s="117"/>
      <c r="E67" s="190"/>
      <c r="F67" s="237">
        <v>6000000</v>
      </c>
      <c r="G67" s="117"/>
      <c r="H67" s="117"/>
      <c r="I67" s="5"/>
      <c r="J67" s="286">
        <f t="shared" si="1"/>
        <v>6000000</v>
      </c>
      <c r="K67" s="98"/>
      <c r="L67" s="98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606"/>
    </row>
    <row r="68" spans="2:27" ht="37.5" customHeight="1" thickBot="1">
      <c r="B68" s="136">
        <v>58</v>
      </c>
      <c r="C68" s="342" t="s">
        <v>265</v>
      </c>
      <c r="D68" s="597"/>
      <c r="E68" s="169"/>
      <c r="F68" s="225">
        <v>3731700</v>
      </c>
      <c r="G68" s="146">
        <v>3731700</v>
      </c>
      <c r="H68" s="144">
        <f>2731700+1500000*0.275</f>
        <v>3144200</v>
      </c>
      <c r="I68" s="749">
        <v>0</v>
      </c>
      <c r="J68" s="286">
        <f t="shared" si="1"/>
        <v>0</v>
      </c>
      <c r="K68" s="599"/>
      <c r="L68" s="599"/>
      <c r="M68" s="601"/>
      <c r="N68" s="601"/>
      <c r="O68" s="601"/>
      <c r="P68" s="601"/>
      <c r="Q68" s="601"/>
      <c r="R68" s="601"/>
      <c r="S68" s="601"/>
      <c r="T68" s="601"/>
      <c r="U68" s="601"/>
      <c r="V68" s="601"/>
      <c r="W68" s="606"/>
    </row>
    <row r="69" spans="2:27" ht="37.5" customHeight="1">
      <c r="B69" s="358">
        <v>59</v>
      </c>
      <c r="C69" s="614" t="s">
        <v>324</v>
      </c>
      <c r="D69" s="12"/>
      <c r="E69" s="173"/>
      <c r="F69" s="742"/>
      <c r="G69" s="742"/>
      <c r="H69" s="365"/>
      <c r="I69" s="5"/>
      <c r="J69" s="286">
        <f t="shared" si="1"/>
        <v>0</v>
      </c>
      <c r="K69" s="5"/>
      <c r="L69" s="12"/>
      <c r="M69" s="356"/>
      <c r="N69" s="5"/>
      <c r="O69" s="5"/>
      <c r="P69" s="5"/>
      <c r="Q69" s="5"/>
      <c r="R69" s="5"/>
      <c r="S69" s="5">
        <f>H69*0.3</f>
        <v>0</v>
      </c>
      <c r="T69" s="5"/>
      <c r="U69" s="5"/>
      <c r="V69" s="5"/>
      <c r="W69" s="5"/>
      <c r="X69" s="5"/>
      <c r="Y69" s="5"/>
      <c r="Z69" s="357"/>
      <c r="AA69" s="87"/>
    </row>
    <row r="70" spans="2:27" ht="37.5" customHeight="1">
      <c r="B70" s="748">
        <v>60</v>
      </c>
      <c r="C70" s="145" t="s">
        <v>325</v>
      </c>
      <c r="D70" s="22"/>
      <c r="E70" s="172"/>
      <c r="F70" s="146">
        <v>2420155</v>
      </c>
      <c r="G70" s="146">
        <v>2420155</v>
      </c>
      <c r="H70" s="146">
        <f>G70*0.4</f>
        <v>968062</v>
      </c>
      <c r="I70" s="147">
        <f>G70-H70</f>
        <v>1452093</v>
      </c>
      <c r="J70" s="286"/>
      <c r="K70" s="121"/>
      <c r="L70" s="22"/>
      <c r="M70" s="149"/>
      <c r="N70" s="121"/>
      <c r="O70" s="121"/>
      <c r="P70" s="121"/>
      <c r="Q70" s="121"/>
      <c r="R70" s="121"/>
      <c r="S70" s="121"/>
      <c r="T70" s="121"/>
      <c r="U70" s="121"/>
      <c r="V70" s="121"/>
      <c r="W70" s="5"/>
      <c r="X70" s="5"/>
      <c r="Y70" s="5"/>
      <c r="Z70" s="359"/>
      <c r="AA70" s="87"/>
    </row>
    <row r="71" spans="2:27" ht="37.5" customHeight="1">
      <c r="B71" s="615">
        <v>61</v>
      </c>
      <c r="C71" s="613" t="s">
        <v>269</v>
      </c>
      <c r="D71" s="331"/>
      <c r="E71" s="607"/>
      <c r="F71" s="354">
        <f>14432000*0.7</f>
        <v>10102400</v>
      </c>
      <c r="G71" s="608"/>
      <c r="H71" s="609"/>
      <c r="I71" s="5"/>
      <c r="J71" s="286">
        <f t="shared" si="1"/>
        <v>10102400</v>
      </c>
      <c r="K71" s="360"/>
      <c r="L71" s="611"/>
      <c r="M71" s="612"/>
      <c r="N71" s="360"/>
      <c r="O71" s="360"/>
      <c r="P71" s="5"/>
      <c r="Q71" s="5"/>
      <c r="R71" s="5"/>
      <c r="S71" s="5"/>
      <c r="T71" s="5"/>
      <c r="U71" s="5"/>
      <c r="V71" s="5"/>
      <c r="W71" s="360"/>
      <c r="X71" s="360"/>
      <c r="Y71" s="361"/>
      <c r="Z71" s="362"/>
      <c r="AA71" s="87"/>
    </row>
    <row r="72" spans="2:27" ht="37.5" customHeight="1">
      <c r="B72" s="347">
        <v>62</v>
      </c>
      <c r="C72" s="353" t="s">
        <v>284</v>
      </c>
      <c r="D72" s="12"/>
      <c r="E72" s="173"/>
      <c r="F72" s="354">
        <f>29742999*0.7</f>
        <v>20820099.299999997</v>
      </c>
      <c r="G72" s="354"/>
      <c r="H72" s="346"/>
      <c r="I72" s="5"/>
      <c r="J72" s="286">
        <f t="shared" si="1"/>
        <v>20820099.299999997</v>
      </c>
      <c r="K72" s="5">
        <f>G72</f>
        <v>0</v>
      </c>
      <c r="L72" s="611"/>
      <c r="M72" s="743"/>
      <c r="N72" s="361"/>
      <c r="O72" s="361"/>
      <c r="P72" s="5"/>
      <c r="Q72" s="5"/>
      <c r="R72" s="5"/>
      <c r="S72" s="5"/>
      <c r="T72" s="5"/>
      <c r="U72" s="5"/>
      <c r="V72" s="5"/>
      <c r="W72" s="361"/>
      <c r="X72" s="329"/>
      <c r="Y72" s="329"/>
      <c r="Z72" s="362"/>
      <c r="AA72" s="744"/>
    </row>
    <row r="73" spans="2:27" ht="37.5" customHeight="1">
      <c r="B73" s="347">
        <v>63</v>
      </c>
      <c r="C73" s="353" t="s">
        <v>326</v>
      </c>
      <c r="D73" s="12"/>
      <c r="E73" s="173"/>
      <c r="F73" s="354">
        <f>(25349484-11880345)*0.7</f>
        <v>9428397.2999999989</v>
      </c>
      <c r="G73" s="354"/>
      <c r="H73" s="346"/>
      <c r="I73" s="5"/>
      <c r="J73" s="286">
        <f t="shared" si="1"/>
        <v>9428397.2999999989</v>
      </c>
      <c r="K73" s="5">
        <f>G73</f>
        <v>0</v>
      </c>
      <c r="L73" s="611"/>
      <c r="M73" s="743"/>
      <c r="N73" s="361"/>
      <c r="O73" s="361"/>
      <c r="P73" s="5"/>
      <c r="Q73" s="5"/>
      <c r="R73" s="5"/>
      <c r="S73" s="5"/>
      <c r="T73" s="5"/>
      <c r="U73" s="5"/>
      <c r="V73" s="5"/>
      <c r="W73" s="361"/>
      <c r="X73" s="329"/>
      <c r="Y73" s="329"/>
      <c r="Z73" s="362"/>
      <c r="AA73" s="744"/>
    </row>
    <row r="74" spans="2:27" ht="37.5" customHeight="1">
      <c r="B74" s="347">
        <v>64</v>
      </c>
      <c r="C74" s="353" t="s">
        <v>287</v>
      </c>
      <c r="D74" s="12"/>
      <c r="E74" s="173"/>
      <c r="F74" s="354">
        <f>80000000*0.3+2500000</f>
        <v>26500000</v>
      </c>
      <c r="G74" s="354"/>
      <c r="H74" s="346"/>
      <c r="I74" s="5"/>
      <c r="J74" s="286">
        <f t="shared" si="1"/>
        <v>26500000</v>
      </c>
      <c r="K74" s="5"/>
      <c r="L74" s="611"/>
      <c r="M74" s="743"/>
      <c r="N74" s="361"/>
      <c r="O74" s="361"/>
      <c r="P74" s="5"/>
      <c r="Q74" s="5"/>
      <c r="R74" s="5"/>
      <c r="S74" s="5"/>
      <c r="T74" s="5"/>
      <c r="U74" s="5"/>
      <c r="V74" s="5"/>
      <c r="W74" s="361"/>
      <c r="X74" s="329"/>
      <c r="Y74" s="329"/>
      <c r="Z74" s="362"/>
      <c r="AA74" s="744"/>
    </row>
    <row r="75" spans="2:27" ht="37.5" customHeight="1">
      <c r="B75" s="347">
        <v>65</v>
      </c>
      <c r="C75" s="353" t="s">
        <v>288</v>
      </c>
      <c r="D75" s="12"/>
      <c r="E75" s="173"/>
      <c r="F75" s="354">
        <f>40000000*0.3</f>
        <v>12000000</v>
      </c>
      <c r="G75" s="354"/>
      <c r="H75" s="346"/>
      <c r="I75" s="5"/>
      <c r="J75" s="286">
        <f t="shared" si="1"/>
        <v>12000000</v>
      </c>
      <c r="K75" s="5"/>
      <c r="L75" s="611"/>
      <c r="M75" s="743"/>
      <c r="N75" s="361"/>
      <c r="O75" s="361"/>
      <c r="P75" s="5"/>
      <c r="Q75" s="5"/>
      <c r="R75" s="5"/>
      <c r="S75" s="5"/>
      <c r="T75" s="5"/>
      <c r="U75" s="5"/>
      <c r="V75" s="5"/>
      <c r="W75" s="361"/>
      <c r="X75" s="329"/>
      <c r="Y75" s="329"/>
      <c r="Z75" s="362"/>
      <c r="AA75" s="744"/>
    </row>
    <row r="76" spans="2:27" ht="37.5" customHeight="1" thickBot="1">
      <c r="B76" s="893"/>
      <c r="C76" s="894"/>
      <c r="D76" s="894"/>
      <c r="E76" s="894"/>
      <c r="F76" s="894"/>
      <c r="G76" s="894"/>
      <c r="H76" s="895"/>
      <c r="I76" s="5"/>
      <c r="J76" s="286">
        <f t="shared" si="1"/>
        <v>0</v>
      </c>
      <c r="K76" s="98"/>
      <c r="L76" s="98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86"/>
    </row>
    <row r="77" spans="2:27" ht="33.75" customHeight="1" thickBot="1">
      <c r="B77" s="99"/>
      <c r="C77" s="745" t="s">
        <v>257</v>
      </c>
      <c r="D77" s="100"/>
      <c r="E77" s="101">
        <f>E64+E69+E70+E71</f>
        <v>1746287639.55</v>
      </c>
      <c r="F77" s="237">
        <f>SUM(F64:F75)</f>
        <v>1430180283.5999999</v>
      </c>
      <c r="G77" s="238">
        <f>G64+G68+G70+G71</f>
        <v>341560587</v>
      </c>
      <c r="H77" s="238">
        <f>H64+H69+H70+H71+H68</f>
        <v>146778021.09999999</v>
      </c>
      <c r="I77" s="238">
        <f t="shared" ref="I77:V77" si="5">I64+I69+I70+I71</f>
        <v>181408530.90000001</v>
      </c>
      <c r="J77" s="236">
        <f t="shared" si="5"/>
        <v>991071164</v>
      </c>
      <c r="K77" s="101">
        <f t="shared" si="5"/>
        <v>0</v>
      </c>
      <c r="L77" s="101">
        <f t="shared" si="5"/>
        <v>0</v>
      </c>
      <c r="M77" s="234">
        <f t="shared" si="5"/>
        <v>41640639.75000003</v>
      </c>
      <c r="N77" s="234">
        <f t="shared" si="5"/>
        <v>53660968.448717944</v>
      </c>
      <c r="O77" s="234">
        <f t="shared" si="5"/>
        <v>29972841.166666668</v>
      </c>
      <c r="P77" s="234">
        <f t="shared" si="5"/>
        <v>47266939.783333331</v>
      </c>
      <c r="Q77" s="234">
        <f t="shared" si="5"/>
        <v>60059631.667948715</v>
      </c>
      <c r="R77" s="234">
        <f t="shared" si="5"/>
        <v>25946458.916666664</v>
      </c>
      <c r="S77" s="234">
        <f t="shared" si="5"/>
        <v>6667630</v>
      </c>
      <c r="T77" s="234">
        <f t="shared" si="5"/>
        <v>1793266.33333333</v>
      </c>
      <c r="U77" s="234">
        <f t="shared" si="5"/>
        <v>0</v>
      </c>
      <c r="V77" s="235">
        <f t="shared" si="5"/>
        <v>0</v>
      </c>
      <c r="W77" s="97"/>
    </row>
  </sheetData>
  <mergeCells count="13">
    <mergeCell ref="B76:H76"/>
    <mergeCell ref="B5:M5"/>
    <mergeCell ref="B2:E2"/>
    <mergeCell ref="E27:E29"/>
    <mergeCell ref="F27:F29"/>
    <mergeCell ref="E34:E35"/>
    <mergeCell ref="F34:F35"/>
    <mergeCell ref="E37:E38"/>
    <mergeCell ref="F37:F38"/>
    <mergeCell ref="E44:E46"/>
    <mergeCell ref="F44:F46"/>
    <mergeCell ref="F2:N2"/>
    <mergeCell ref="J27:J29"/>
  </mergeCells>
  <phoneticPr fontId="25" type="noConversion"/>
  <conditionalFormatting sqref="M69:M75">
    <cfRule type="cellIs" dxfId="1" priority="1" operator="lessThan">
      <formula>0</formula>
    </cfRule>
  </conditionalFormatting>
  <pageMargins left="0.7" right="0.7" top="0.75" bottom="0.75" header="0.3" footer="0.3"/>
  <pageSetup paperSize="8" scale="2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81943-401C-4F94-9CC5-C924F20606D2}">
  <sheetPr>
    <pageSetUpPr fitToPage="1"/>
  </sheetPr>
  <dimension ref="B1:Y77"/>
  <sheetViews>
    <sheetView view="pageBreakPreview" topLeftCell="A49" zoomScale="60" zoomScaleNormal="100" workbookViewId="0">
      <selection activeCell="F71" sqref="F71"/>
    </sheetView>
  </sheetViews>
  <sheetFormatPr defaultColWidth="9.140625" defaultRowHeight="12.75"/>
  <cols>
    <col min="1" max="1" width="9.140625" style="53"/>
    <col min="2" max="2" width="7.7109375" style="53" customWidth="1"/>
    <col min="3" max="3" width="85.7109375" style="53" customWidth="1"/>
    <col min="4" max="4" width="12.85546875" style="53" hidden="1" customWidth="1"/>
    <col min="5" max="9" width="26.28515625" style="53" customWidth="1"/>
    <col min="10" max="10" width="28.140625" style="53" customWidth="1"/>
    <col min="11" max="14" width="26.28515625" style="53" hidden="1" customWidth="1"/>
    <col min="15" max="23" width="28.7109375" style="53" customWidth="1"/>
    <col min="24" max="24" width="19.42578125" style="53" customWidth="1"/>
    <col min="25" max="25" width="61.140625" style="53" customWidth="1"/>
    <col min="26" max="16384" width="9.140625" style="53"/>
  </cols>
  <sheetData>
    <row r="1" spans="2:25" ht="13.5" thickBot="1"/>
    <row r="2" spans="2:25" ht="54" customHeight="1" thickBot="1">
      <c r="B2" s="908" t="s">
        <v>255</v>
      </c>
      <c r="C2" s="909"/>
      <c r="D2" s="909"/>
      <c r="E2" s="909"/>
      <c r="F2" s="910" t="s">
        <v>123</v>
      </c>
      <c r="G2" s="911"/>
      <c r="H2" s="911"/>
      <c r="I2" s="911"/>
      <c r="J2" s="911"/>
      <c r="K2" s="911"/>
      <c r="L2" s="911"/>
      <c r="M2" s="911"/>
      <c r="N2" s="911"/>
      <c r="O2" s="911"/>
      <c r="P2" s="911"/>
      <c r="Q2" s="911"/>
      <c r="R2" s="912"/>
      <c r="S2" s="67"/>
      <c r="T2" s="67"/>
      <c r="U2" s="67"/>
      <c r="V2" s="67"/>
      <c r="W2" s="67"/>
      <c r="X2" s="75"/>
      <c r="Y2" s="318">
        <f ca="1">TODAY()</f>
        <v>46010</v>
      </c>
    </row>
    <row r="3" spans="2:25" ht="72.75" thickBot="1">
      <c r="B3" s="34" t="s">
        <v>97</v>
      </c>
      <c r="C3" s="35" t="s">
        <v>297</v>
      </c>
      <c r="D3" s="35" t="s">
        <v>98</v>
      </c>
      <c r="E3" s="35" t="s">
        <v>99</v>
      </c>
      <c r="F3" s="35" t="s">
        <v>318</v>
      </c>
      <c r="G3" s="35" t="s">
        <v>62</v>
      </c>
      <c r="H3" s="35" t="s">
        <v>64</v>
      </c>
      <c r="I3" s="35" t="s">
        <v>128</v>
      </c>
      <c r="J3" s="35" t="s">
        <v>129</v>
      </c>
      <c r="K3" s="214">
        <v>45810</v>
      </c>
      <c r="L3" s="214">
        <v>45873</v>
      </c>
      <c r="M3" s="214">
        <v>45905</v>
      </c>
      <c r="N3" s="214">
        <v>45937</v>
      </c>
      <c r="O3" s="214">
        <v>45969</v>
      </c>
      <c r="P3" s="214">
        <v>46001</v>
      </c>
      <c r="Q3" s="214">
        <v>46033</v>
      </c>
      <c r="R3" s="214">
        <v>46065</v>
      </c>
      <c r="S3" s="214">
        <v>46097</v>
      </c>
      <c r="T3" s="214">
        <v>46129</v>
      </c>
      <c r="U3" s="214">
        <v>46161</v>
      </c>
      <c r="V3" s="214">
        <v>46193</v>
      </c>
      <c r="W3" s="214">
        <v>46194</v>
      </c>
      <c r="X3" s="214">
        <v>46226</v>
      </c>
      <c r="Y3" s="40">
        <f ca="1">TODAY()</f>
        <v>46010</v>
      </c>
    </row>
    <row r="4" spans="2:25" ht="33.75" customHeight="1">
      <c r="B4" s="197" t="s">
        <v>68</v>
      </c>
      <c r="C4" s="199" t="s">
        <v>124</v>
      </c>
      <c r="D4" s="200">
        <v>45748</v>
      </c>
      <c r="E4" s="199">
        <v>49636205</v>
      </c>
      <c r="F4" s="199">
        <v>49134722</v>
      </c>
      <c r="G4" s="199">
        <f>26076554+25500000-3242095</f>
        <v>48334459</v>
      </c>
      <c r="H4" s="199">
        <f>13268250+2400000+6214336+3197000+138159+339801+6603058+12000000</f>
        <v>44160604</v>
      </c>
      <c r="I4" s="201">
        <f>G4-H4</f>
        <v>4173855</v>
      </c>
      <c r="J4" s="198"/>
      <c r="K4" s="88"/>
      <c r="L4" s="88"/>
      <c r="M4" s="88"/>
      <c r="N4" s="88"/>
      <c r="O4" s="198">
        <v>4550108</v>
      </c>
      <c r="P4" s="198"/>
      <c r="Q4" s="198"/>
      <c r="R4" s="88"/>
      <c r="S4" s="5"/>
      <c r="T4" s="5"/>
      <c r="U4" s="5"/>
      <c r="V4" s="5"/>
      <c r="W4" s="5"/>
      <c r="X4" s="56"/>
      <c r="Y4" s="87"/>
    </row>
    <row r="5" spans="2:25" ht="33.75" customHeight="1">
      <c r="B5" s="896" t="s">
        <v>125</v>
      </c>
      <c r="C5" s="897"/>
      <c r="D5" s="897"/>
      <c r="E5" s="897"/>
      <c r="F5" s="897"/>
      <c r="G5" s="897"/>
      <c r="H5" s="897"/>
      <c r="I5" s="897"/>
      <c r="J5" s="897"/>
      <c r="K5" s="897"/>
      <c r="L5" s="897"/>
      <c r="M5" s="897"/>
      <c r="N5" s="897"/>
      <c r="O5" s="897"/>
      <c r="P5" s="897"/>
      <c r="Q5" s="897"/>
      <c r="R5" s="897"/>
      <c r="S5" s="897"/>
      <c r="T5" s="897"/>
      <c r="U5" s="897"/>
      <c r="V5" s="897"/>
      <c r="W5" s="897"/>
      <c r="X5" s="888"/>
      <c r="Y5" s="86"/>
    </row>
    <row r="6" spans="2:25" ht="24" customHeight="1">
      <c r="B6" s="175">
        <v>1</v>
      </c>
      <c r="C6" s="132" t="s">
        <v>6</v>
      </c>
      <c r="D6" s="176">
        <v>45536</v>
      </c>
      <c r="E6" s="121">
        <v>12735095</v>
      </c>
      <c r="F6" s="121">
        <v>9235361</v>
      </c>
      <c r="G6" s="135">
        <v>9308278</v>
      </c>
      <c r="H6" s="135">
        <v>8200000</v>
      </c>
      <c r="I6" s="135">
        <f>G6-H6</f>
        <v>1108278</v>
      </c>
      <c r="J6" s="135"/>
      <c r="K6" s="147"/>
      <c r="L6" s="147"/>
      <c r="M6" s="147"/>
      <c r="N6" s="147"/>
      <c r="O6" s="676">
        <v>1108278</v>
      </c>
      <c r="P6" s="21"/>
      <c r="Q6" s="21"/>
      <c r="R6" s="5"/>
      <c r="S6" s="5"/>
      <c r="T6" s="5"/>
      <c r="U6" s="5"/>
      <c r="V6" s="5"/>
      <c r="W6" s="70"/>
      <c r="X6" s="83"/>
      <c r="Y6" s="87"/>
    </row>
    <row r="7" spans="2:25" ht="24" customHeight="1">
      <c r="B7" s="175">
        <v>2</v>
      </c>
      <c r="C7" s="132" t="s">
        <v>7</v>
      </c>
      <c r="D7" s="176">
        <v>45566</v>
      </c>
      <c r="E7" s="121">
        <v>77560123</v>
      </c>
      <c r="F7" s="121">
        <v>67811217</v>
      </c>
      <c r="G7" s="115">
        <v>74421345</v>
      </c>
      <c r="H7" s="115">
        <v>6852212</v>
      </c>
      <c r="I7" s="115">
        <f>G7-H7</f>
        <v>67569133</v>
      </c>
      <c r="J7" s="115"/>
      <c r="K7" s="115"/>
      <c r="L7" s="115"/>
      <c r="M7" s="115"/>
      <c r="N7" s="115"/>
      <c r="O7" s="115">
        <v>13550108</v>
      </c>
      <c r="P7" s="115">
        <v>13550108</v>
      </c>
      <c r="Q7" s="115">
        <v>13550108</v>
      </c>
      <c r="R7" s="115">
        <v>13550108</v>
      </c>
      <c r="S7" s="115">
        <v>13550108</v>
      </c>
      <c r="T7" s="5"/>
      <c r="U7" s="5"/>
      <c r="V7" s="5"/>
      <c r="W7" s="5"/>
      <c r="X7" s="56"/>
      <c r="Y7" s="87"/>
    </row>
    <row r="8" spans="2:25" ht="24" customHeight="1">
      <c r="B8" s="639">
        <v>3</v>
      </c>
      <c r="C8" s="115" t="s">
        <v>8</v>
      </c>
      <c r="D8" s="183" t="s">
        <v>102</v>
      </c>
      <c r="E8" s="114">
        <v>26773680.210000001</v>
      </c>
      <c r="F8" s="114">
        <v>18313647</v>
      </c>
      <c r="G8" s="687">
        <f>F8*0.45</f>
        <v>8241141.1500000004</v>
      </c>
      <c r="H8" s="688"/>
      <c r="I8" s="687">
        <f>G8</f>
        <v>8241141.1500000004</v>
      </c>
      <c r="J8" s="640">
        <f>F8-G8</f>
        <v>10072505.85</v>
      </c>
      <c r="K8" s="640"/>
      <c r="L8" s="640"/>
      <c r="M8" s="640"/>
      <c r="N8" s="640"/>
      <c r="O8" s="640">
        <v>3102759.3333333335</v>
      </c>
      <c r="P8" s="640">
        <v>3102759.3333333335</v>
      </c>
      <c r="Q8" s="640">
        <v>3102759.3333333335</v>
      </c>
      <c r="R8" s="640"/>
      <c r="S8" s="640">
        <f t="shared" ref="S8:S55" si="0">R8/6</f>
        <v>0</v>
      </c>
      <c r="T8" s="193"/>
      <c r="U8" s="193"/>
      <c r="V8" s="193"/>
      <c r="W8" s="193"/>
      <c r="X8" s="204"/>
      <c r="Y8" s="205"/>
    </row>
    <row r="9" spans="2:25" ht="24" customHeight="1">
      <c r="B9" s="639">
        <v>4</v>
      </c>
      <c r="C9" s="115" t="s">
        <v>9</v>
      </c>
      <c r="D9" s="183" t="s">
        <v>102</v>
      </c>
      <c r="E9" s="114">
        <v>21137725</v>
      </c>
      <c r="F9" s="114">
        <v>15669062</v>
      </c>
      <c r="G9" s="687">
        <f>F9*0.45</f>
        <v>7051077.9000000004</v>
      </c>
      <c r="H9" s="688"/>
      <c r="I9" s="687">
        <f>G9</f>
        <v>7051077.9000000004</v>
      </c>
      <c r="J9" s="640">
        <f>F9-G9</f>
        <v>8617984.0999999996</v>
      </c>
      <c r="K9" s="640"/>
      <c r="L9" s="640"/>
      <c r="M9" s="640"/>
      <c r="N9" s="640"/>
      <c r="O9" s="640">
        <f>G9/3</f>
        <v>2350359.3000000003</v>
      </c>
      <c r="P9" s="640">
        <v>2350359.3000000003</v>
      </c>
      <c r="Q9" s="640">
        <v>2350359.3000000003</v>
      </c>
      <c r="R9" s="640"/>
      <c r="S9" s="640">
        <f t="shared" si="0"/>
        <v>0</v>
      </c>
      <c r="T9" s="193"/>
      <c r="U9" s="193"/>
      <c r="V9" s="193"/>
      <c r="W9" s="193"/>
      <c r="X9" s="204"/>
      <c r="Y9" s="205"/>
    </row>
    <row r="10" spans="2:25" ht="24" customHeight="1">
      <c r="B10" s="175">
        <v>5</v>
      </c>
      <c r="C10" s="132" t="s">
        <v>48</v>
      </c>
      <c r="D10" s="178" t="s">
        <v>103</v>
      </c>
      <c r="E10" s="121">
        <v>55044200</v>
      </c>
      <c r="F10" s="121">
        <v>11666143</v>
      </c>
      <c r="G10" s="135">
        <v>11666143</v>
      </c>
      <c r="H10" s="689"/>
      <c r="I10" s="135">
        <f>G10</f>
        <v>11666143</v>
      </c>
      <c r="J10" s="202"/>
      <c r="K10" s="202"/>
      <c r="L10" s="147"/>
      <c r="M10" s="147"/>
      <c r="N10" s="147"/>
      <c r="O10" s="147">
        <v>2333229</v>
      </c>
      <c r="P10" s="147">
        <v>2333229</v>
      </c>
      <c r="Q10" s="147">
        <v>2333229</v>
      </c>
      <c r="R10" s="147">
        <v>2333229</v>
      </c>
      <c r="S10" s="147">
        <v>2333229</v>
      </c>
      <c r="T10" s="702"/>
      <c r="U10" s="193"/>
      <c r="V10" s="193"/>
      <c r="W10" s="193"/>
      <c r="X10" s="204"/>
      <c r="Y10" s="205"/>
    </row>
    <row r="11" spans="2:25" ht="24" customHeight="1">
      <c r="B11" s="102">
        <v>6</v>
      </c>
      <c r="C11" s="13" t="s">
        <v>10</v>
      </c>
      <c r="D11" s="191" t="s">
        <v>104</v>
      </c>
      <c r="E11" s="5">
        <v>28000000</v>
      </c>
      <c r="F11" s="5">
        <v>21356000</v>
      </c>
      <c r="G11" s="690"/>
      <c r="H11" s="690"/>
      <c r="I11" s="690"/>
      <c r="J11" s="196">
        <f t="shared" ref="J11:J62" si="1">F11</f>
        <v>21356000</v>
      </c>
      <c r="K11" s="196"/>
      <c r="L11" s="196"/>
      <c r="M11" s="196"/>
      <c r="N11" s="196"/>
      <c r="O11" s="676"/>
      <c r="P11" s="676"/>
      <c r="Q11" s="676"/>
      <c r="R11" s="676"/>
      <c r="S11" s="701"/>
      <c r="T11" s="193"/>
      <c r="U11" s="193"/>
      <c r="V11" s="193"/>
      <c r="W11" s="193"/>
      <c r="X11" s="204"/>
      <c r="Y11" s="205"/>
    </row>
    <row r="12" spans="2:25" ht="24" customHeight="1">
      <c r="B12" s="175">
        <v>7</v>
      </c>
      <c r="C12" s="132" t="s">
        <v>11</v>
      </c>
      <c r="D12" s="178" t="s">
        <v>105</v>
      </c>
      <c r="E12" s="121">
        <v>5851000</v>
      </c>
      <c r="F12" s="121">
        <v>5364800</v>
      </c>
      <c r="G12" s="140">
        <v>5364800</v>
      </c>
      <c r="H12" s="135">
        <f>2163265+2064324</f>
        <v>4227589</v>
      </c>
      <c r="I12" s="135">
        <f t="shared" ref="I12:I15" si="2">G12-H12</f>
        <v>1137211</v>
      </c>
      <c r="J12" s="202"/>
      <c r="K12" s="202"/>
      <c r="L12" s="202"/>
      <c r="M12" s="202"/>
      <c r="N12" s="202"/>
      <c r="O12" s="202">
        <f>I12</f>
        <v>1137211</v>
      </c>
      <c r="P12" s="202"/>
      <c r="Q12" s="202"/>
      <c r="R12" s="179"/>
      <c r="S12" s="203">
        <f t="shared" si="0"/>
        <v>0</v>
      </c>
      <c r="T12" s="179"/>
      <c r="U12" s="193"/>
      <c r="V12" s="193"/>
      <c r="W12" s="193"/>
      <c r="X12" s="204"/>
      <c r="Y12" s="205"/>
    </row>
    <row r="13" spans="2:25" ht="24" customHeight="1">
      <c r="B13" s="175">
        <v>8</v>
      </c>
      <c r="C13" s="132" t="s">
        <v>12</v>
      </c>
      <c r="D13" s="178" t="s">
        <v>105</v>
      </c>
      <c r="E13" s="121">
        <v>45095450</v>
      </c>
      <c r="F13" s="121">
        <v>34785601</v>
      </c>
      <c r="G13" s="140">
        <v>34785601</v>
      </c>
      <c r="H13" s="689"/>
      <c r="I13" s="135">
        <f t="shared" si="2"/>
        <v>34785601</v>
      </c>
      <c r="J13" s="202"/>
      <c r="K13" s="202"/>
      <c r="L13" s="202"/>
      <c r="M13" s="202"/>
      <c r="N13" s="202"/>
      <c r="O13" s="202"/>
      <c r="P13" s="202">
        <f>I13/5</f>
        <v>6957120.2000000002</v>
      </c>
      <c r="Q13" s="202">
        <f t="shared" ref="Q13:S13" si="3">P13</f>
        <v>6957120.2000000002</v>
      </c>
      <c r="R13" s="202">
        <f t="shared" si="3"/>
        <v>6957120.2000000002</v>
      </c>
      <c r="S13" s="202">
        <f t="shared" si="3"/>
        <v>6957120.2000000002</v>
      </c>
      <c r="T13" s="202">
        <f>S13</f>
        <v>6957120.2000000002</v>
      </c>
      <c r="U13" s="193"/>
      <c r="V13" s="193"/>
      <c r="W13" s="193"/>
      <c r="X13" s="204"/>
      <c r="Y13" s="205"/>
    </row>
    <row r="14" spans="2:25" ht="24" customHeight="1">
      <c r="B14" s="639">
        <v>10</v>
      </c>
      <c r="C14" s="115" t="s">
        <v>14</v>
      </c>
      <c r="D14" s="183" t="s">
        <v>106</v>
      </c>
      <c r="E14" s="114">
        <v>21992008</v>
      </c>
      <c r="F14" s="114">
        <v>14221499</v>
      </c>
      <c r="G14" s="687">
        <f>F14*0.45</f>
        <v>6399674.5499999998</v>
      </c>
      <c r="H14" s="687"/>
      <c r="I14" s="687">
        <f t="shared" si="2"/>
        <v>6399674.5499999998</v>
      </c>
      <c r="J14" s="640">
        <f>F14-G14</f>
        <v>7821824.4500000002</v>
      </c>
      <c r="K14" s="640"/>
      <c r="L14" s="640"/>
      <c r="M14" s="640"/>
      <c r="N14" s="640"/>
      <c r="O14" s="640">
        <f>J14/3</f>
        <v>2607274.8166666669</v>
      </c>
      <c r="P14" s="640">
        <v>2607274.8166666669</v>
      </c>
      <c r="Q14" s="640">
        <v>2607274.8166666669</v>
      </c>
      <c r="R14" s="640">
        <v>2607274.8166666669</v>
      </c>
      <c r="S14" s="640">
        <v>2607274.8166666669</v>
      </c>
      <c r="T14" s="640">
        <v>1607274.8166666699</v>
      </c>
      <c r="U14" s="676"/>
      <c r="V14" s="193"/>
      <c r="W14" s="193"/>
      <c r="X14" s="204"/>
      <c r="Y14" s="205"/>
    </row>
    <row r="15" spans="2:25" ht="24" customHeight="1">
      <c r="B15" s="639">
        <v>11</v>
      </c>
      <c r="C15" s="115" t="s">
        <v>52</v>
      </c>
      <c r="D15" s="183" t="s">
        <v>106</v>
      </c>
      <c r="E15" s="114">
        <v>27128000</v>
      </c>
      <c r="F15" s="114">
        <v>17542773</v>
      </c>
      <c r="G15" s="687">
        <f>F15*0.45</f>
        <v>7894247.8500000006</v>
      </c>
      <c r="H15" s="687"/>
      <c r="I15" s="687">
        <f t="shared" si="2"/>
        <v>7894247.8500000006</v>
      </c>
      <c r="J15" s="640">
        <f>F15-G15</f>
        <v>9648525.1499999985</v>
      </c>
      <c r="K15" s="640"/>
      <c r="L15" s="640"/>
      <c r="M15" s="640"/>
      <c r="N15" s="640"/>
      <c r="O15" s="640">
        <f>J15/3</f>
        <v>3216175.0499999993</v>
      </c>
      <c r="P15" s="640">
        <v>3216175.0499999993</v>
      </c>
      <c r="Q15" s="640">
        <v>3216175.0499999993</v>
      </c>
      <c r="R15" s="640">
        <v>3216175.0499999993</v>
      </c>
      <c r="S15" s="640">
        <v>3216175.0499999993</v>
      </c>
      <c r="T15" s="640">
        <v>3216175.0499999993</v>
      </c>
      <c r="U15" s="193"/>
      <c r="V15" s="193"/>
      <c r="W15" s="193"/>
      <c r="X15" s="204"/>
      <c r="Y15" s="205"/>
    </row>
    <row r="16" spans="2:25" ht="24" customHeight="1">
      <c r="B16" s="102">
        <v>12</v>
      </c>
      <c r="C16" s="13" t="s">
        <v>15</v>
      </c>
      <c r="D16" s="191" t="s">
        <v>106</v>
      </c>
      <c r="E16" s="5">
        <v>11326915</v>
      </c>
      <c r="F16" s="5">
        <v>12130712</v>
      </c>
      <c r="G16" s="192"/>
      <c r="H16" s="192"/>
      <c r="I16" s="192"/>
      <c r="J16" s="196">
        <f t="shared" si="1"/>
        <v>12130712</v>
      </c>
      <c r="K16" s="196"/>
      <c r="L16" s="196"/>
      <c r="M16" s="196"/>
      <c r="N16" s="196"/>
      <c r="O16" s="676"/>
      <c r="P16" s="676"/>
      <c r="Q16" s="676"/>
      <c r="R16" s="193"/>
      <c r="S16" s="701">
        <f t="shared" si="0"/>
        <v>0</v>
      </c>
      <c r="T16" s="193"/>
      <c r="U16" s="193"/>
      <c r="V16" s="193"/>
      <c r="W16" s="193"/>
      <c r="X16" s="204"/>
      <c r="Y16" s="205"/>
    </row>
    <row r="17" spans="2:25" ht="24" customHeight="1">
      <c r="B17" s="102">
        <v>13</v>
      </c>
      <c r="C17" s="13" t="s">
        <v>16</v>
      </c>
      <c r="D17" s="191" t="s">
        <v>106</v>
      </c>
      <c r="E17" s="5">
        <v>6947660</v>
      </c>
      <c r="F17" s="5">
        <v>4500000</v>
      </c>
      <c r="G17" s="192"/>
      <c r="H17" s="192"/>
      <c r="I17" s="192"/>
      <c r="J17" s="196">
        <f t="shared" si="1"/>
        <v>4500000</v>
      </c>
      <c r="K17" s="196"/>
      <c r="L17" s="196"/>
      <c r="M17" s="196"/>
      <c r="N17" s="196"/>
      <c r="O17" s="676"/>
      <c r="P17" s="676"/>
      <c r="Q17" s="676"/>
      <c r="R17" s="193"/>
      <c r="S17" s="701">
        <f t="shared" si="0"/>
        <v>0</v>
      </c>
      <c r="T17" s="193"/>
      <c r="U17" s="193"/>
      <c r="V17" s="193"/>
      <c r="W17" s="193"/>
      <c r="X17" s="204"/>
      <c r="Y17" s="205"/>
    </row>
    <row r="18" spans="2:25" ht="24" customHeight="1">
      <c r="B18" s="102">
        <v>14</v>
      </c>
      <c r="C18" s="13" t="s">
        <v>107</v>
      </c>
      <c r="D18" s="191" t="s">
        <v>106</v>
      </c>
      <c r="E18" s="5">
        <v>21654600</v>
      </c>
      <c r="F18" s="5">
        <v>14003308</v>
      </c>
      <c r="G18" s="192"/>
      <c r="H18" s="192"/>
      <c r="I18" s="192"/>
      <c r="J18" s="196">
        <f t="shared" si="1"/>
        <v>14003308</v>
      </c>
      <c r="K18" s="196"/>
      <c r="L18" s="196"/>
      <c r="M18" s="196"/>
      <c r="N18" s="196"/>
      <c r="O18" s="676"/>
      <c r="P18" s="676"/>
      <c r="Q18" s="676"/>
      <c r="R18" s="193"/>
      <c r="S18" s="73">
        <f t="shared" si="0"/>
        <v>0</v>
      </c>
      <c r="T18" s="54"/>
      <c r="U18" s="54"/>
      <c r="V18" s="54"/>
      <c r="W18" s="54"/>
      <c r="X18" s="84"/>
      <c r="Y18" s="86"/>
    </row>
    <row r="19" spans="2:25" ht="24" customHeight="1">
      <c r="B19" s="102">
        <v>15</v>
      </c>
      <c r="C19" s="13" t="s">
        <v>49</v>
      </c>
      <c r="D19" s="191" t="s">
        <v>106</v>
      </c>
      <c r="E19" s="5">
        <v>13159810</v>
      </c>
      <c r="F19" s="5">
        <v>8510010</v>
      </c>
      <c r="G19" s="192"/>
      <c r="H19" s="192"/>
      <c r="I19" s="192"/>
      <c r="J19" s="196">
        <f t="shared" si="1"/>
        <v>8510010</v>
      </c>
      <c r="K19" s="196"/>
      <c r="L19" s="196"/>
      <c r="M19" s="196"/>
      <c r="N19" s="196"/>
      <c r="O19" s="676"/>
      <c r="P19" s="676"/>
      <c r="Q19" s="676"/>
      <c r="R19" s="193"/>
      <c r="S19" s="73">
        <f t="shared" si="0"/>
        <v>0</v>
      </c>
      <c r="T19" s="54"/>
      <c r="U19" s="54"/>
      <c r="V19" s="54"/>
      <c r="W19" s="54"/>
      <c r="X19" s="84"/>
      <c r="Y19" s="86"/>
    </row>
    <row r="20" spans="2:25" ht="24" customHeight="1">
      <c r="B20" s="102">
        <v>16</v>
      </c>
      <c r="C20" s="13" t="s">
        <v>47</v>
      </c>
      <c r="D20" s="191" t="s">
        <v>106</v>
      </c>
      <c r="E20" s="5">
        <v>21076800</v>
      </c>
      <c r="F20" s="5">
        <v>13629664</v>
      </c>
      <c r="G20" s="192"/>
      <c r="H20" s="192"/>
      <c r="I20" s="192"/>
      <c r="J20" s="196">
        <f t="shared" si="1"/>
        <v>13629664</v>
      </c>
      <c r="K20" s="196"/>
      <c r="L20" s="196"/>
      <c r="M20" s="196"/>
      <c r="N20" s="196"/>
      <c r="O20" s="676"/>
      <c r="P20" s="676"/>
      <c r="Q20" s="676"/>
      <c r="R20" s="193"/>
      <c r="S20" s="73">
        <f t="shared" si="0"/>
        <v>0</v>
      </c>
      <c r="T20" s="54"/>
      <c r="U20" s="54"/>
      <c r="V20" s="54"/>
      <c r="W20" s="54"/>
      <c r="X20" s="84"/>
      <c r="Y20" s="86"/>
    </row>
    <row r="21" spans="2:25" ht="24" customHeight="1">
      <c r="B21" s="102">
        <v>17</v>
      </c>
      <c r="C21" s="13" t="s">
        <v>25</v>
      </c>
      <c r="D21" s="192"/>
      <c r="E21" s="5"/>
      <c r="F21" s="5">
        <v>7500000</v>
      </c>
      <c r="G21" s="192"/>
      <c r="H21" s="192"/>
      <c r="I21" s="192"/>
      <c r="J21" s="196">
        <f t="shared" si="1"/>
        <v>7500000</v>
      </c>
      <c r="K21" s="196"/>
      <c r="L21" s="196"/>
      <c r="M21" s="196"/>
      <c r="N21" s="196"/>
      <c r="O21" s="676"/>
      <c r="P21" s="676"/>
      <c r="Q21" s="676"/>
      <c r="R21" s="193"/>
      <c r="S21" s="73">
        <f t="shared" si="0"/>
        <v>0</v>
      </c>
      <c r="T21" s="54"/>
      <c r="U21" s="54"/>
      <c r="V21" s="54"/>
      <c r="W21" s="54"/>
      <c r="X21" s="84"/>
      <c r="Y21" s="86"/>
    </row>
    <row r="22" spans="2:25" ht="24" customHeight="1">
      <c r="B22" s="102">
        <v>18</v>
      </c>
      <c r="C22" s="13" t="s">
        <v>51</v>
      </c>
      <c r="D22" s="191" t="s">
        <v>106</v>
      </c>
      <c r="E22" s="5">
        <v>50927365.5</v>
      </c>
      <c r="F22" s="5">
        <v>32933030</v>
      </c>
      <c r="G22" s="192"/>
      <c r="H22" s="192"/>
      <c r="I22" s="192"/>
      <c r="J22" s="196">
        <f t="shared" si="1"/>
        <v>32933030</v>
      </c>
      <c r="K22" s="196"/>
      <c r="L22" s="196"/>
      <c r="M22" s="196"/>
      <c r="N22" s="196"/>
      <c r="O22" s="676"/>
      <c r="P22" s="676"/>
      <c r="Q22" s="676"/>
      <c r="R22" s="193"/>
      <c r="S22" s="73">
        <f t="shared" si="0"/>
        <v>0</v>
      </c>
      <c r="T22" s="54"/>
      <c r="U22" s="54"/>
      <c r="V22" s="54"/>
      <c r="W22" s="54"/>
      <c r="X22" s="84"/>
      <c r="Y22" s="86"/>
    </row>
    <row r="23" spans="2:25" ht="24" customHeight="1">
      <c r="B23" s="102">
        <v>19</v>
      </c>
      <c r="C23" s="13" t="s">
        <v>54</v>
      </c>
      <c r="D23" s="191" t="s">
        <v>106</v>
      </c>
      <c r="E23" s="5">
        <v>22324236.5</v>
      </c>
      <c r="F23" s="5">
        <v>11436340</v>
      </c>
      <c r="G23" s="192"/>
      <c r="H23" s="192"/>
      <c r="I23" s="192"/>
      <c r="J23" s="196">
        <f t="shared" si="1"/>
        <v>11436340</v>
      </c>
      <c r="K23" s="196"/>
      <c r="L23" s="196"/>
      <c r="M23" s="196"/>
      <c r="N23" s="196"/>
      <c r="O23" s="676"/>
      <c r="P23" s="676"/>
      <c r="Q23" s="676"/>
      <c r="R23" s="193"/>
      <c r="S23" s="73">
        <f t="shared" si="0"/>
        <v>0</v>
      </c>
      <c r="T23" s="54"/>
      <c r="U23" s="54"/>
      <c r="V23" s="54"/>
      <c r="W23" s="54"/>
      <c r="X23" s="84"/>
      <c r="Y23" s="86"/>
    </row>
    <row r="24" spans="2:25" ht="24" customHeight="1">
      <c r="B24" s="102">
        <v>20</v>
      </c>
      <c r="C24" s="13" t="s">
        <v>17</v>
      </c>
      <c r="D24" s="191" t="s">
        <v>106</v>
      </c>
      <c r="E24" s="5">
        <v>11332805</v>
      </c>
      <c r="F24" s="5">
        <v>22692700</v>
      </c>
      <c r="G24" s="192"/>
      <c r="H24" s="192"/>
      <c r="I24" s="192"/>
      <c r="J24" s="196">
        <f t="shared" si="1"/>
        <v>22692700</v>
      </c>
      <c r="K24" s="196"/>
      <c r="L24" s="196"/>
      <c r="M24" s="196"/>
      <c r="N24" s="196"/>
      <c r="O24" s="676"/>
      <c r="P24" s="676"/>
      <c r="Q24" s="676"/>
      <c r="R24" s="193"/>
      <c r="S24" s="73">
        <f t="shared" si="0"/>
        <v>0</v>
      </c>
      <c r="T24" s="54"/>
      <c r="U24" s="54"/>
      <c r="V24" s="54"/>
      <c r="W24" s="54"/>
      <c r="X24" s="84"/>
      <c r="Y24" s="86"/>
    </row>
    <row r="25" spans="2:25" ht="24" customHeight="1">
      <c r="B25" s="102">
        <v>21</v>
      </c>
      <c r="C25" s="13" t="s">
        <v>26</v>
      </c>
      <c r="D25" s="191" t="s">
        <v>108</v>
      </c>
      <c r="E25" s="5">
        <v>14218500</v>
      </c>
      <c r="F25" s="5">
        <v>7469930</v>
      </c>
      <c r="G25" s="192"/>
      <c r="H25" s="192"/>
      <c r="I25" s="192"/>
      <c r="J25" s="196">
        <f t="shared" si="1"/>
        <v>7469930</v>
      </c>
      <c r="K25" s="196"/>
      <c r="L25" s="196"/>
      <c r="M25" s="196"/>
      <c r="N25" s="196"/>
      <c r="O25" s="676"/>
      <c r="P25" s="676"/>
      <c r="Q25" s="676"/>
      <c r="R25" s="193"/>
      <c r="S25" s="73">
        <f t="shared" si="0"/>
        <v>0</v>
      </c>
      <c r="T25" s="54"/>
      <c r="U25" s="54"/>
      <c r="V25" s="54"/>
      <c r="W25" s="54"/>
      <c r="X25" s="84"/>
      <c r="Y25" s="86"/>
    </row>
    <row r="26" spans="2:25" ht="24" customHeight="1">
      <c r="B26" s="691">
        <v>22</v>
      </c>
      <c r="C26" s="692" t="s">
        <v>21</v>
      </c>
      <c r="D26" s="693" t="s">
        <v>108</v>
      </c>
      <c r="E26" s="694">
        <v>60712000</v>
      </c>
      <c r="F26" s="694">
        <v>44687500</v>
      </c>
      <c r="G26" s="694">
        <v>33292000</v>
      </c>
      <c r="H26" s="694"/>
      <c r="I26" s="694">
        <f>G26-H26</f>
        <v>33292000</v>
      </c>
      <c r="J26" s="695"/>
      <c r="K26" s="696"/>
      <c r="L26" s="696"/>
      <c r="M26" s="696"/>
      <c r="N26" s="694"/>
      <c r="O26" s="696">
        <v>13224000</v>
      </c>
      <c r="P26" s="696"/>
      <c r="Q26" s="696">
        <v>11934000</v>
      </c>
      <c r="R26" s="696">
        <v>7934000</v>
      </c>
      <c r="S26" s="696"/>
      <c r="T26" s="696"/>
      <c r="U26" s="697"/>
      <c r="V26" s="697"/>
      <c r="W26" s="697"/>
      <c r="X26" s="698"/>
      <c r="Y26" s="699"/>
    </row>
    <row r="27" spans="2:25" ht="24" customHeight="1">
      <c r="B27" s="102" t="s">
        <v>135</v>
      </c>
      <c r="C27" s="13" t="s">
        <v>85</v>
      </c>
      <c r="D27" s="191" t="s">
        <v>109</v>
      </c>
      <c r="E27" s="915">
        <v>97040526</v>
      </c>
      <c r="F27" s="915">
        <v>91826667</v>
      </c>
      <c r="G27" s="192"/>
      <c r="H27" s="192"/>
      <c r="I27" s="192"/>
      <c r="J27" s="196">
        <f t="shared" si="1"/>
        <v>91826667</v>
      </c>
      <c r="K27" s="217"/>
      <c r="L27" s="217"/>
      <c r="M27" s="217"/>
      <c r="N27" s="217"/>
      <c r="O27" s="677"/>
      <c r="P27" s="677"/>
      <c r="Q27" s="677"/>
      <c r="R27" s="193"/>
      <c r="S27" s="73">
        <f t="shared" si="0"/>
        <v>0</v>
      </c>
      <c r="T27" s="54"/>
      <c r="U27" s="54"/>
      <c r="V27" s="54"/>
      <c r="W27" s="54"/>
      <c r="X27" s="84"/>
      <c r="Y27" s="86"/>
    </row>
    <row r="28" spans="2:25" ht="24" customHeight="1">
      <c r="B28" s="102" t="s">
        <v>88</v>
      </c>
      <c r="C28" s="13" t="s">
        <v>87</v>
      </c>
      <c r="D28" s="191"/>
      <c r="E28" s="916"/>
      <c r="F28" s="916"/>
      <c r="G28" s="192"/>
      <c r="H28" s="192"/>
      <c r="I28" s="192"/>
      <c r="J28" s="196">
        <f t="shared" si="1"/>
        <v>0</v>
      </c>
      <c r="K28" s="217"/>
      <c r="L28" s="217"/>
      <c r="M28" s="217"/>
      <c r="N28" s="217"/>
      <c r="O28" s="677"/>
      <c r="P28" s="677"/>
      <c r="Q28" s="677"/>
      <c r="R28" s="193"/>
      <c r="S28" s="73">
        <f t="shared" si="0"/>
        <v>0</v>
      </c>
      <c r="T28" s="54"/>
      <c r="U28" s="54"/>
      <c r="V28" s="54"/>
      <c r="W28" s="54"/>
      <c r="X28" s="84"/>
      <c r="Y28" s="86"/>
    </row>
    <row r="29" spans="2:25" ht="24" customHeight="1">
      <c r="B29" s="102" t="s">
        <v>88</v>
      </c>
      <c r="C29" s="13" t="s">
        <v>322</v>
      </c>
      <c r="D29" s="191"/>
      <c r="E29" s="917"/>
      <c r="F29" s="917"/>
      <c r="G29" s="192"/>
      <c r="H29" s="192"/>
      <c r="I29" s="192"/>
      <c r="J29" s="196">
        <f t="shared" si="1"/>
        <v>0</v>
      </c>
      <c r="K29" s="217"/>
      <c r="L29" s="217"/>
      <c r="M29" s="217"/>
      <c r="N29" s="217"/>
      <c r="O29" s="677"/>
      <c r="P29" s="677"/>
      <c r="Q29" s="677"/>
      <c r="R29" s="193"/>
      <c r="S29" s="73">
        <f t="shared" si="0"/>
        <v>0</v>
      </c>
      <c r="T29" s="54"/>
      <c r="U29" s="54"/>
      <c r="V29" s="54"/>
      <c r="W29" s="54"/>
      <c r="X29" s="84"/>
      <c r="Y29" s="86"/>
    </row>
    <row r="30" spans="2:25" ht="24" customHeight="1">
      <c r="B30" s="102">
        <v>25</v>
      </c>
      <c r="C30" s="13" t="s">
        <v>19</v>
      </c>
      <c r="D30" s="191" t="s">
        <v>109</v>
      </c>
      <c r="E30" s="5">
        <v>44903000</v>
      </c>
      <c r="F30" s="5">
        <v>31464928</v>
      </c>
      <c r="G30" s="192"/>
      <c r="H30" s="192"/>
      <c r="I30" s="192"/>
      <c r="J30" s="196">
        <f t="shared" si="1"/>
        <v>31464928</v>
      </c>
      <c r="K30" s="217"/>
      <c r="L30" s="217"/>
      <c r="M30" s="217"/>
      <c r="N30" s="217"/>
      <c r="O30" s="677"/>
      <c r="P30" s="677"/>
      <c r="Q30" s="677"/>
      <c r="R30" s="193"/>
      <c r="S30" s="73">
        <f t="shared" si="0"/>
        <v>0</v>
      </c>
      <c r="T30" s="54"/>
      <c r="U30" s="54"/>
      <c r="V30" s="54"/>
      <c r="W30" s="54"/>
      <c r="X30" s="84"/>
      <c r="Y30" s="86"/>
    </row>
    <row r="31" spans="2:25" ht="24" customHeight="1">
      <c r="B31" s="102">
        <v>26</v>
      </c>
      <c r="C31" s="13" t="s">
        <v>20</v>
      </c>
      <c r="D31" s="71" t="s">
        <v>109</v>
      </c>
      <c r="E31" s="55">
        <v>33695162.5</v>
      </c>
      <c r="F31" s="55">
        <f>23695163+7000000</f>
        <v>30695163</v>
      </c>
      <c r="G31" s="55"/>
      <c r="H31" s="72"/>
      <c r="I31" s="54"/>
      <c r="J31" s="286">
        <f t="shared" ref="J31" si="4">F31-G31</f>
        <v>30695163</v>
      </c>
      <c r="K31" s="217"/>
      <c r="L31" s="217"/>
      <c r="M31" s="217"/>
      <c r="N31" s="217"/>
      <c r="O31" s="677"/>
      <c r="P31" s="677"/>
      <c r="Q31" s="677"/>
      <c r="R31" s="193"/>
      <c r="S31" s="73">
        <f t="shared" si="0"/>
        <v>0</v>
      </c>
      <c r="T31" s="54"/>
      <c r="U31" s="54"/>
      <c r="V31" s="54"/>
      <c r="W31" s="54"/>
      <c r="X31" s="84"/>
      <c r="Y31" s="86"/>
    </row>
    <row r="32" spans="2:25" ht="24" customHeight="1">
      <c r="B32" s="102" t="s">
        <v>79</v>
      </c>
      <c r="C32" s="13" t="s">
        <v>133</v>
      </c>
      <c r="D32" s="191" t="s">
        <v>109</v>
      </c>
      <c r="E32" s="5">
        <v>58348355</v>
      </c>
      <c r="F32" s="5">
        <f>37731936-F33</f>
        <v>28494951</v>
      </c>
      <c r="G32" s="192"/>
      <c r="H32" s="192"/>
      <c r="I32" s="192"/>
      <c r="J32" s="196">
        <f t="shared" si="1"/>
        <v>28494951</v>
      </c>
      <c r="K32" s="217"/>
      <c r="L32" s="217"/>
      <c r="M32" s="217"/>
      <c r="N32" s="217"/>
      <c r="O32" s="677"/>
      <c r="P32" s="677"/>
      <c r="Q32" s="677"/>
      <c r="R32" s="193"/>
      <c r="S32" s="73">
        <f t="shared" si="0"/>
        <v>0</v>
      </c>
      <c r="T32" s="54"/>
      <c r="U32" s="54"/>
      <c r="V32" s="54"/>
      <c r="W32" s="54"/>
      <c r="X32" s="84"/>
      <c r="Y32" s="86"/>
    </row>
    <row r="33" spans="2:25" ht="24" customHeight="1">
      <c r="B33" s="175" t="s">
        <v>134</v>
      </c>
      <c r="C33" s="132" t="s">
        <v>132</v>
      </c>
      <c r="D33" s="178"/>
      <c r="E33" s="121"/>
      <c r="F33" s="121">
        <v>9236985</v>
      </c>
      <c r="G33" s="188">
        <v>8105205</v>
      </c>
      <c r="H33" s="188">
        <v>2026300</v>
      </c>
      <c r="I33" s="188">
        <f>G33-H33</f>
        <v>6078905</v>
      </c>
      <c r="J33" s="202"/>
      <c r="K33" s="216"/>
      <c r="L33" s="216"/>
      <c r="M33" s="216"/>
      <c r="N33" s="219"/>
      <c r="O33" s="219"/>
      <c r="P33" s="219">
        <v>2026301.6666666667</v>
      </c>
      <c r="Q33" s="216">
        <v>2026301.6666666667</v>
      </c>
      <c r="R33" s="216">
        <v>2026301.6666666667</v>
      </c>
      <c r="S33" s="203"/>
      <c r="T33" s="179"/>
      <c r="U33" s="179"/>
      <c r="V33" s="179"/>
      <c r="W33" s="179"/>
      <c r="X33" s="180"/>
      <c r="Y33" s="181"/>
    </row>
    <row r="34" spans="2:25" ht="24" customHeight="1">
      <c r="B34" s="102">
        <v>28</v>
      </c>
      <c r="C34" s="13" t="s">
        <v>137</v>
      </c>
      <c r="D34" s="191" t="s">
        <v>109</v>
      </c>
      <c r="E34" s="915">
        <v>201253640</v>
      </c>
      <c r="F34" s="915">
        <v>140144021</v>
      </c>
      <c r="G34" s="192"/>
      <c r="H34" s="192"/>
      <c r="I34" s="192"/>
      <c r="J34" s="196">
        <f t="shared" si="1"/>
        <v>140144021</v>
      </c>
      <c r="K34" s="196"/>
      <c r="L34" s="196"/>
      <c r="M34" s="196"/>
      <c r="N34" s="196"/>
      <c r="O34" s="676"/>
      <c r="P34" s="676"/>
      <c r="Q34" s="676"/>
      <c r="R34" s="193"/>
      <c r="S34" s="73">
        <f t="shared" si="0"/>
        <v>0</v>
      </c>
      <c r="T34" s="54"/>
      <c r="U34" s="54"/>
      <c r="V34" s="54"/>
      <c r="W34" s="54"/>
      <c r="X34" s="84"/>
      <c r="Y34" s="86"/>
    </row>
    <row r="35" spans="2:25" ht="24" customHeight="1">
      <c r="B35" s="102" t="s">
        <v>138</v>
      </c>
      <c r="C35" s="13" t="s">
        <v>136</v>
      </c>
      <c r="D35" s="191"/>
      <c r="E35" s="917"/>
      <c r="F35" s="917"/>
      <c r="G35" s="192"/>
      <c r="H35" s="192"/>
      <c r="I35" s="192"/>
      <c r="J35" s="196">
        <f t="shared" si="1"/>
        <v>0</v>
      </c>
      <c r="K35" s="196"/>
      <c r="L35" s="196"/>
      <c r="M35" s="196"/>
      <c r="N35" s="196"/>
      <c r="O35" s="676"/>
      <c r="P35" s="676"/>
      <c r="Q35" s="676"/>
      <c r="R35" s="193"/>
      <c r="S35" s="73">
        <f t="shared" si="0"/>
        <v>0</v>
      </c>
      <c r="T35" s="54"/>
      <c r="U35" s="54"/>
      <c r="V35" s="54"/>
      <c r="W35" s="54"/>
      <c r="X35" s="84"/>
      <c r="Y35" s="86"/>
    </row>
    <row r="36" spans="2:25" ht="24" customHeight="1">
      <c r="B36" s="102">
        <v>29</v>
      </c>
      <c r="C36" s="13" t="s">
        <v>28</v>
      </c>
      <c r="D36" s="191" t="s">
        <v>109</v>
      </c>
      <c r="E36" s="5">
        <v>38302485</v>
      </c>
      <c r="F36" s="5">
        <v>28768940</v>
      </c>
      <c r="G36" s="192"/>
      <c r="H36" s="192"/>
      <c r="I36" s="192"/>
      <c r="J36" s="196">
        <f t="shared" si="1"/>
        <v>28768940</v>
      </c>
      <c r="K36" s="196"/>
      <c r="L36" s="196"/>
      <c r="M36" s="196"/>
      <c r="N36" s="196"/>
      <c r="O36" s="676"/>
      <c r="P36" s="676"/>
      <c r="Q36" s="676"/>
      <c r="R36" s="193"/>
      <c r="S36" s="73">
        <f t="shared" si="0"/>
        <v>0</v>
      </c>
      <c r="T36" s="54"/>
      <c r="U36" s="54"/>
      <c r="V36" s="54"/>
      <c r="W36" s="54"/>
      <c r="X36" s="84"/>
      <c r="Y36" s="86"/>
    </row>
    <row r="37" spans="2:25" ht="24" customHeight="1">
      <c r="B37" s="102" t="s">
        <v>139</v>
      </c>
      <c r="C37" s="13" t="s">
        <v>141</v>
      </c>
      <c r="D37" s="191" t="s">
        <v>110</v>
      </c>
      <c r="E37" s="915">
        <v>302206050</v>
      </c>
      <c r="F37" s="915">
        <v>195426579</v>
      </c>
      <c r="G37" s="192"/>
      <c r="H37" s="192"/>
      <c r="I37" s="192"/>
      <c r="J37" s="196">
        <f t="shared" si="1"/>
        <v>195426579</v>
      </c>
      <c r="K37" s="196"/>
      <c r="L37" s="196"/>
      <c r="M37" s="196"/>
      <c r="N37" s="196"/>
      <c r="O37" s="676"/>
      <c r="P37" s="676"/>
      <c r="Q37" s="676"/>
      <c r="R37" s="193"/>
      <c r="S37" s="73">
        <f t="shared" si="0"/>
        <v>0</v>
      </c>
      <c r="T37" s="54"/>
      <c r="U37" s="54"/>
      <c r="V37" s="54"/>
      <c r="W37" s="54"/>
      <c r="X37" s="84"/>
      <c r="Y37" s="86"/>
    </row>
    <row r="38" spans="2:25" ht="24" customHeight="1">
      <c r="B38" s="102" t="s">
        <v>140</v>
      </c>
      <c r="C38" s="13" t="s">
        <v>142</v>
      </c>
      <c r="D38" s="191"/>
      <c r="E38" s="917"/>
      <c r="F38" s="917"/>
      <c r="G38" s="192"/>
      <c r="H38" s="192"/>
      <c r="I38" s="192"/>
      <c r="J38" s="196">
        <f t="shared" si="1"/>
        <v>0</v>
      </c>
      <c r="K38" s="196"/>
      <c r="L38" s="196"/>
      <c r="M38" s="196"/>
      <c r="N38" s="196"/>
      <c r="O38" s="676"/>
      <c r="P38" s="676"/>
      <c r="Q38" s="676"/>
      <c r="R38" s="193"/>
      <c r="S38" s="73">
        <f t="shared" si="0"/>
        <v>0</v>
      </c>
      <c r="T38" s="54"/>
      <c r="U38" s="54"/>
      <c r="V38" s="54"/>
      <c r="W38" s="54"/>
      <c r="X38" s="84"/>
      <c r="Y38" s="86"/>
    </row>
    <row r="39" spans="2:25" ht="24" customHeight="1">
      <c r="B39" s="175">
        <v>31</v>
      </c>
      <c r="C39" s="132" t="s">
        <v>267</v>
      </c>
      <c r="D39" s="178" t="s">
        <v>110</v>
      </c>
      <c r="E39" s="121">
        <f>26853260-7000000</f>
        <v>19853260</v>
      </c>
      <c r="F39" s="121">
        <f>19365108-7000000</f>
        <v>12365108</v>
      </c>
      <c r="G39" s="121">
        <f>9950000*1.18</f>
        <v>11741000</v>
      </c>
      <c r="H39" s="121">
        <f>G39*0.5</f>
        <v>5870500</v>
      </c>
      <c r="I39" s="121">
        <f>G39-H39</f>
        <v>5870500</v>
      </c>
      <c r="J39" s="202"/>
      <c r="K39" s="202"/>
      <c r="L39" s="202"/>
      <c r="M39" s="202"/>
      <c r="N39" s="202"/>
      <c r="O39" s="202"/>
      <c r="P39" s="202"/>
      <c r="Q39" s="202"/>
      <c r="R39" s="121">
        <v>5870500</v>
      </c>
      <c r="S39" s="203"/>
      <c r="T39" s="179"/>
      <c r="U39" s="179"/>
      <c r="V39" s="179"/>
      <c r="W39" s="179"/>
      <c r="X39" s="180"/>
      <c r="Y39" s="181"/>
    </row>
    <row r="40" spans="2:25" ht="24" customHeight="1">
      <c r="B40" s="102">
        <v>32</v>
      </c>
      <c r="C40" s="13" t="s">
        <v>22</v>
      </c>
      <c r="D40" s="191" t="s">
        <v>110</v>
      </c>
      <c r="E40" s="5">
        <v>105066341.84</v>
      </c>
      <c r="F40" s="5">
        <v>67942901</v>
      </c>
      <c r="G40" s="192"/>
      <c r="H40" s="192"/>
      <c r="I40" s="192"/>
      <c r="J40" s="196">
        <f t="shared" si="1"/>
        <v>67942901</v>
      </c>
      <c r="K40" s="196"/>
      <c r="L40" s="196"/>
      <c r="M40" s="196"/>
      <c r="N40" s="196"/>
      <c r="O40" s="676"/>
      <c r="P40" s="676"/>
      <c r="Q40" s="676"/>
      <c r="R40" s="193"/>
      <c r="S40" s="73">
        <f t="shared" si="0"/>
        <v>0</v>
      </c>
      <c r="T40" s="54"/>
      <c r="U40" s="54"/>
      <c r="V40" s="54"/>
      <c r="W40" s="54"/>
      <c r="X40" s="84"/>
      <c r="Y40" s="86"/>
    </row>
    <row r="41" spans="2:25" ht="24" customHeight="1">
      <c r="B41" s="102">
        <v>33</v>
      </c>
      <c r="C41" s="13" t="s">
        <v>40</v>
      </c>
      <c r="D41" s="191" t="s">
        <v>110</v>
      </c>
      <c r="E41" s="5">
        <v>4000000</v>
      </c>
      <c r="F41" s="5">
        <v>4000000</v>
      </c>
      <c r="G41" s="192"/>
      <c r="H41" s="192"/>
      <c r="I41" s="192"/>
      <c r="J41" s="196">
        <f t="shared" si="1"/>
        <v>4000000</v>
      </c>
      <c r="K41" s="196"/>
      <c r="L41" s="196"/>
      <c r="M41" s="196"/>
      <c r="N41" s="196"/>
      <c r="O41" s="676"/>
      <c r="P41" s="676"/>
      <c r="Q41" s="676"/>
      <c r="R41" s="193"/>
      <c r="S41" s="73">
        <f t="shared" si="0"/>
        <v>0</v>
      </c>
      <c r="T41" s="54"/>
      <c r="U41" s="54"/>
      <c r="V41" s="54"/>
      <c r="W41" s="54"/>
      <c r="X41" s="84"/>
      <c r="Y41" s="86"/>
    </row>
    <row r="42" spans="2:25" ht="24" customHeight="1">
      <c r="B42" s="102">
        <v>34</v>
      </c>
      <c r="C42" s="13" t="s">
        <v>23</v>
      </c>
      <c r="D42" s="192"/>
      <c r="E42" s="5"/>
      <c r="F42" s="5"/>
      <c r="G42" s="192"/>
      <c r="H42" s="192"/>
      <c r="I42" s="192"/>
      <c r="J42" s="196">
        <f t="shared" si="1"/>
        <v>0</v>
      </c>
      <c r="K42" s="196"/>
      <c r="L42" s="196"/>
      <c r="M42" s="196"/>
      <c r="N42" s="196"/>
      <c r="O42" s="676"/>
      <c r="P42" s="676"/>
      <c r="Q42" s="676"/>
      <c r="R42" s="193"/>
      <c r="S42" s="73">
        <f t="shared" si="0"/>
        <v>0</v>
      </c>
      <c r="T42" s="54"/>
      <c r="U42" s="54"/>
      <c r="V42" s="54"/>
      <c r="W42" s="54"/>
      <c r="X42" s="84"/>
      <c r="Y42" s="86"/>
    </row>
    <row r="43" spans="2:25" ht="24" customHeight="1">
      <c r="B43" s="102">
        <v>35</v>
      </c>
      <c r="C43" s="13" t="s">
        <v>41</v>
      </c>
      <c r="D43" s="191" t="s">
        <v>111</v>
      </c>
      <c r="E43" s="5">
        <v>5087280</v>
      </c>
      <c r="F43" s="5">
        <v>5087280</v>
      </c>
      <c r="G43" s="192"/>
      <c r="H43" s="192"/>
      <c r="I43" s="192"/>
      <c r="J43" s="196">
        <f t="shared" si="1"/>
        <v>5087280</v>
      </c>
      <c r="K43" s="196"/>
      <c r="L43" s="196"/>
      <c r="M43" s="196"/>
      <c r="N43" s="196"/>
      <c r="O43" s="676"/>
      <c r="P43" s="676"/>
      <c r="Q43" s="676"/>
      <c r="R43" s="193"/>
      <c r="S43" s="73">
        <f t="shared" si="0"/>
        <v>0</v>
      </c>
      <c r="T43" s="54"/>
      <c r="U43" s="54"/>
      <c r="V43" s="54"/>
      <c r="W43" s="54"/>
      <c r="X43" s="84"/>
      <c r="Y43" s="86"/>
    </row>
    <row r="44" spans="2:25" ht="24" customHeight="1">
      <c r="B44" s="102" t="s">
        <v>91</v>
      </c>
      <c r="C44" s="13" t="s">
        <v>29</v>
      </c>
      <c r="D44" s="191" t="s">
        <v>111</v>
      </c>
      <c r="E44" s="915">
        <v>98101000</v>
      </c>
      <c r="F44" s="915">
        <v>95256396</v>
      </c>
      <c r="G44" s="192"/>
      <c r="H44" s="192"/>
      <c r="I44" s="192"/>
      <c r="J44" s="196">
        <f t="shared" si="1"/>
        <v>95256396</v>
      </c>
      <c r="K44" s="196"/>
      <c r="L44" s="196"/>
      <c r="M44" s="196"/>
      <c r="N44" s="196"/>
      <c r="O44" s="676"/>
      <c r="P44" s="676"/>
      <c r="Q44" s="676"/>
      <c r="R44" s="193"/>
      <c r="S44" s="73">
        <f t="shared" si="0"/>
        <v>0</v>
      </c>
      <c r="T44" s="54"/>
      <c r="U44" s="54"/>
      <c r="V44" s="54"/>
      <c r="W44" s="54"/>
      <c r="X44" s="84"/>
      <c r="Y44" s="86"/>
    </row>
    <row r="45" spans="2:25" ht="24" customHeight="1">
      <c r="B45" s="102" t="s">
        <v>93</v>
      </c>
      <c r="C45" s="13" t="s">
        <v>144</v>
      </c>
      <c r="D45" s="191"/>
      <c r="E45" s="916"/>
      <c r="F45" s="916"/>
      <c r="G45" s="192"/>
      <c r="H45" s="192"/>
      <c r="I45" s="192"/>
      <c r="J45" s="196">
        <f t="shared" si="1"/>
        <v>0</v>
      </c>
      <c r="K45" s="196"/>
      <c r="L45" s="196"/>
      <c r="M45" s="196"/>
      <c r="N45" s="196"/>
      <c r="O45" s="676"/>
      <c r="P45" s="676"/>
      <c r="Q45" s="676"/>
      <c r="R45" s="193"/>
      <c r="S45" s="73">
        <f t="shared" si="0"/>
        <v>0</v>
      </c>
      <c r="T45" s="54"/>
      <c r="U45" s="54"/>
      <c r="V45" s="54"/>
      <c r="W45" s="54"/>
      <c r="X45" s="84"/>
      <c r="Y45" s="86"/>
    </row>
    <row r="46" spans="2:25" ht="24" customHeight="1">
      <c r="B46" s="102" t="s">
        <v>143</v>
      </c>
      <c r="C46" s="13" t="s">
        <v>94</v>
      </c>
      <c r="D46" s="191"/>
      <c r="E46" s="917"/>
      <c r="F46" s="917"/>
      <c r="G46" s="192"/>
      <c r="H46" s="192"/>
      <c r="I46" s="192"/>
      <c r="J46" s="196">
        <f t="shared" si="1"/>
        <v>0</v>
      </c>
      <c r="K46" s="196"/>
      <c r="L46" s="196"/>
      <c r="M46" s="196"/>
      <c r="N46" s="196"/>
      <c r="O46" s="676"/>
      <c r="P46" s="676"/>
      <c r="Q46" s="676"/>
      <c r="R46" s="193"/>
      <c r="S46" s="73">
        <f t="shared" si="0"/>
        <v>0</v>
      </c>
      <c r="T46" s="54"/>
      <c r="U46" s="54"/>
      <c r="V46" s="54"/>
      <c r="W46" s="54"/>
      <c r="X46" s="84"/>
      <c r="Y46" s="86"/>
    </row>
    <row r="47" spans="2:25" ht="24" customHeight="1">
      <c r="B47" s="102">
        <v>37</v>
      </c>
      <c r="C47" s="13" t="s">
        <v>30</v>
      </c>
      <c r="D47" s="191" t="s">
        <v>111</v>
      </c>
      <c r="E47" s="5">
        <v>2145530</v>
      </c>
      <c r="F47" s="5">
        <v>2145530</v>
      </c>
      <c r="G47" s="192"/>
      <c r="H47" s="192"/>
      <c r="I47" s="192"/>
      <c r="J47" s="196">
        <f t="shared" si="1"/>
        <v>2145530</v>
      </c>
      <c r="K47" s="196"/>
      <c r="L47" s="196"/>
      <c r="M47" s="196"/>
      <c r="N47" s="196"/>
      <c r="O47" s="676"/>
      <c r="P47" s="676"/>
      <c r="Q47" s="676"/>
      <c r="R47" s="193"/>
      <c r="S47" s="73">
        <f t="shared" si="0"/>
        <v>0</v>
      </c>
      <c r="T47" s="54"/>
      <c r="U47" s="54"/>
      <c r="V47" s="54"/>
      <c r="W47" s="54"/>
      <c r="X47" s="84"/>
      <c r="Y47" s="86"/>
    </row>
    <row r="48" spans="2:25" ht="24" customHeight="1">
      <c r="B48" s="102">
        <v>38</v>
      </c>
      <c r="C48" s="13" t="s">
        <v>31</v>
      </c>
      <c r="D48" s="191" t="s">
        <v>111</v>
      </c>
      <c r="E48" s="5">
        <v>10380086.5</v>
      </c>
      <c r="F48" s="5">
        <v>11568440</v>
      </c>
      <c r="G48" s="192"/>
      <c r="H48" s="192"/>
      <c r="I48" s="192"/>
      <c r="J48" s="196">
        <f t="shared" si="1"/>
        <v>11568440</v>
      </c>
      <c r="K48" s="196"/>
      <c r="L48" s="196"/>
      <c r="M48" s="196"/>
      <c r="N48" s="196"/>
      <c r="O48" s="676"/>
      <c r="P48" s="676"/>
      <c r="Q48" s="676"/>
      <c r="R48" s="193"/>
      <c r="S48" s="73">
        <f t="shared" si="0"/>
        <v>0</v>
      </c>
      <c r="T48" s="54"/>
      <c r="U48" s="54"/>
      <c r="V48" s="54"/>
      <c r="W48" s="54"/>
      <c r="X48" s="84"/>
      <c r="Y48" s="86"/>
    </row>
    <row r="49" spans="2:25" ht="24" customHeight="1">
      <c r="B49" s="102">
        <v>39</v>
      </c>
      <c r="C49" s="13" t="s">
        <v>32</v>
      </c>
      <c r="D49" s="191" t="s">
        <v>111</v>
      </c>
      <c r="E49" s="5">
        <v>12695189</v>
      </c>
      <c r="F49" s="5">
        <v>18963188</v>
      </c>
      <c r="G49" s="192"/>
      <c r="H49" s="192"/>
      <c r="I49" s="192"/>
      <c r="J49" s="196">
        <f t="shared" si="1"/>
        <v>18963188</v>
      </c>
      <c r="K49" s="196"/>
      <c r="L49" s="196"/>
      <c r="M49" s="196"/>
      <c r="N49" s="196"/>
      <c r="O49" s="676"/>
      <c r="P49" s="676"/>
      <c r="Q49" s="676"/>
      <c r="R49" s="193"/>
      <c r="S49" s="73">
        <f t="shared" si="0"/>
        <v>0</v>
      </c>
      <c r="T49" s="54"/>
      <c r="U49" s="54"/>
      <c r="V49" s="54"/>
      <c r="W49" s="54"/>
      <c r="X49" s="84"/>
      <c r="Y49" s="86"/>
    </row>
    <row r="50" spans="2:25" ht="24" customHeight="1">
      <c r="B50" s="102">
        <v>40</v>
      </c>
      <c r="C50" s="13" t="s">
        <v>42</v>
      </c>
      <c r="D50" s="191" t="s">
        <v>111</v>
      </c>
      <c r="E50" s="5">
        <v>6147120</v>
      </c>
      <c r="F50" s="5">
        <v>6147120</v>
      </c>
      <c r="G50" s="192"/>
      <c r="H50" s="192"/>
      <c r="I50" s="192"/>
      <c r="J50" s="196">
        <f t="shared" si="1"/>
        <v>6147120</v>
      </c>
      <c r="K50" s="196"/>
      <c r="L50" s="196"/>
      <c r="M50" s="196"/>
      <c r="N50" s="196"/>
      <c r="O50" s="676"/>
      <c r="P50" s="676"/>
      <c r="Q50" s="676"/>
      <c r="R50" s="193"/>
      <c r="S50" s="73">
        <f t="shared" si="0"/>
        <v>0</v>
      </c>
      <c r="T50" s="54"/>
      <c r="U50" s="54"/>
      <c r="V50" s="54"/>
      <c r="W50" s="54"/>
      <c r="X50" s="84"/>
      <c r="Y50" s="86"/>
    </row>
    <row r="51" spans="2:25" ht="24" customHeight="1">
      <c r="B51" s="102">
        <v>41</v>
      </c>
      <c r="C51" s="13" t="s">
        <v>43</v>
      </c>
      <c r="D51" s="191" t="s">
        <v>111</v>
      </c>
      <c r="E51" s="5">
        <v>4598000</v>
      </c>
      <c r="F51" s="5">
        <v>5715920</v>
      </c>
      <c r="G51" s="192"/>
      <c r="H51" s="192"/>
      <c r="I51" s="192"/>
      <c r="J51" s="196">
        <f t="shared" si="1"/>
        <v>5715920</v>
      </c>
      <c r="K51" s="196"/>
      <c r="L51" s="196"/>
      <c r="M51" s="196"/>
      <c r="N51" s="196"/>
      <c r="O51" s="676"/>
      <c r="P51" s="676"/>
      <c r="Q51" s="676"/>
      <c r="R51" s="193"/>
      <c r="S51" s="73">
        <f t="shared" si="0"/>
        <v>0</v>
      </c>
      <c r="T51" s="54"/>
      <c r="U51" s="54"/>
      <c r="V51" s="54"/>
      <c r="W51" s="54"/>
      <c r="X51" s="84"/>
      <c r="Y51" s="86"/>
    </row>
    <row r="52" spans="2:25" ht="24" customHeight="1">
      <c r="B52" s="102">
        <v>42</v>
      </c>
      <c r="C52" s="13" t="s">
        <v>116</v>
      </c>
      <c r="D52" s="191" t="s">
        <v>111</v>
      </c>
      <c r="E52" s="5">
        <v>7492650</v>
      </c>
      <c r="F52" s="5">
        <v>7492650</v>
      </c>
      <c r="G52" s="192"/>
      <c r="H52" s="192"/>
      <c r="I52" s="192"/>
      <c r="J52" s="196">
        <f t="shared" si="1"/>
        <v>7492650</v>
      </c>
      <c r="K52" s="196"/>
      <c r="L52" s="196"/>
      <c r="M52" s="196"/>
      <c r="N52" s="196"/>
      <c r="O52" s="676"/>
      <c r="P52" s="676"/>
      <c r="Q52" s="676"/>
      <c r="R52" s="193"/>
      <c r="S52" s="73">
        <f t="shared" si="0"/>
        <v>0</v>
      </c>
      <c r="T52" s="54"/>
      <c r="U52" s="54"/>
      <c r="V52" s="54"/>
      <c r="W52" s="54"/>
      <c r="X52" s="84"/>
      <c r="Y52" s="86"/>
    </row>
    <row r="53" spans="2:25" ht="24" customHeight="1">
      <c r="B53" s="102">
        <v>45</v>
      </c>
      <c r="C53" s="13" t="s">
        <v>44</v>
      </c>
      <c r="D53" s="191" t="s">
        <v>112</v>
      </c>
      <c r="E53" s="5">
        <v>8663440</v>
      </c>
      <c r="F53" s="5">
        <v>6602358</v>
      </c>
      <c r="G53" s="192"/>
      <c r="H53" s="192"/>
      <c r="I53" s="192"/>
      <c r="J53" s="196">
        <f t="shared" si="1"/>
        <v>6602358</v>
      </c>
      <c r="K53" s="196"/>
      <c r="L53" s="196"/>
      <c r="M53" s="196"/>
      <c r="N53" s="196"/>
      <c r="O53" s="676"/>
      <c r="P53" s="676"/>
      <c r="Q53" s="676"/>
      <c r="R53" s="193"/>
      <c r="S53" s="73">
        <f t="shared" si="0"/>
        <v>0</v>
      </c>
      <c r="T53" s="54"/>
      <c r="U53" s="54"/>
      <c r="V53" s="54"/>
      <c r="W53" s="21"/>
      <c r="X53" s="84"/>
      <c r="Y53" s="86"/>
    </row>
    <row r="54" spans="2:25" ht="24" customHeight="1">
      <c r="B54" s="102">
        <v>46</v>
      </c>
      <c r="C54" s="13" t="s">
        <v>0</v>
      </c>
      <c r="D54" s="191" t="s">
        <v>112</v>
      </c>
      <c r="E54" s="5">
        <v>2463855</v>
      </c>
      <c r="F54" s="5">
        <v>2463855</v>
      </c>
      <c r="G54" s="192"/>
      <c r="H54" s="192"/>
      <c r="I54" s="192"/>
      <c r="J54" s="196">
        <f t="shared" si="1"/>
        <v>2463855</v>
      </c>
      <c r="K54" s="196"/>
      <c r="L54" s="196"/>
      <c r="M54" s="196"/>
      <c r="N54" s="196"/>
      <c r="O54" s="676"/>
      <c r="P54" s="676"/>
      <c r="Q54" s="676"/>
      <c r="R54" s="193"/>
      <c r="S54" s="73">
        <f t="shared" si="0"/>
        <v>0</v>
      </c>
      <c r="T54" s="54"/>
      <c r="U54" s="54"/>
      <c r="V54" s="54"/>
      <c r="W54" s="54"/>
      <c r="X54" s="84"/>
      <c r="Y54" s="86"/>
    </row>
    <row r="55" spans="2:25" ht="24" customHeight="1">
      <c r="B55" s="102">
        <v>47</v>
      </c>
      <c r="C55" s="13" t="s">
        <v>34</v>
      </c>
      <c r="D55" s="191" t="s">
        <v>112</v>
      </c>
      <c r="E55" s="5">
        <v>12799500</v>
      </c>
      <c r="F55" s="5">
        <v>14030080</v>
      </c>
      <c r="G55" s="192"/>
      <c r="H55" s="192"/>
      <c r="I55" s="192"/>
      <c r="J55" s="196">
        <f t="shared" si="1"/>
        <v>14030080</v>
      </c>
      <c r="K55" s="196"/>
      <c r="L55" s="196"/>
      <c r="M55" s="196"/>
      <c r="N55" s="196"/>
      <c r="O55" s="676"/>
      <c r="P55" s="676"/>
      <c r="Q55" s="676"/>
      <c r="R55" s="193"/>
      <c r="S55" s="73">
        <f t="shared" si="0"/>
        <v>0</v>
      </c>
      <c r="T55" s="54"/>
      <c r="U55" s="54"/>
      <c r="V55" s="54"/>
      <c r="W55" s="54"/>
      <c r="X55" s="84"/>
      <c r="Y55" s="86"/>
    </row>
    <row r="56" spans="2:25" ht="24" customHeight="1">
      <c r="B56" s="102">
        <v>48</v>
      </c>
      <c r="C56" s="13" t="s">
        <v>35</v>
      </c>
      <c r="D56" s="191" t="s">
        <v>112</v>
      </c>
      <c r="E56" s="5">
        <v>1537470</v>
      </c>
      <c r="F56" s="5">
        <v>1537470</v>
      </c>
      <c r="G56" s="194"/>
      <c r="H56" s="194"/>
      <c r="I56" s="194"/>
      <c r="J56" s="196">
        <f t="shared" si="1"/>
        <v>1537470</v>
      </c>
      <c r="K56" s="215"/>
      <c r="L56" s="215"/>
      <c r="M56" s="215"/>
      <c r="N56" s="215"/>
      <c r="O56" s="678"/>
      <c r="P56" s="678"/>
      <c r="Q56" s="678"/>
      <c r="R56" s="195"/>
      <c r="S56" s="131"/>
      <c r="T56" s="98"/>
      <c r="U56" s="98"/>
      <c r="V56" s="98"/>
      <c r="W56" s="98"/>
      <c r="X56" s="96"/>
      <c r="Y56" s="86"/>
    </row>
    <row r="57" spans="2:25" ht="24" customHeight="1">
      <c r="B57" s="102">
        <v>49</v>
      </c>
      <c r="C57" s="13" t="s">
        <v>36</v>
      </c>
      <c r="D57" s="191" t="s">
        <v>112</v>
      </c>
      <c r="E57" s="5">
        <v>2339725</v>
      </c>
      <c r="F57" s="5">
        <v>2339725</v>
      </c>
      <c r="G57" s="194"/>
      <c r="H57" s="194"/>
      <c r="I57" s="194"/>
      <c r="J57" s="196">
        <f t="shared" si="1"/>
        <v>2339725</v>
      </c>
      <c r="K57" s="215"/>
      <c r="L57" s="215"/>
      <c r="M57" s="215"/>
      <c r="N57" s="215"/>
      <c r="O57" s="678"/>
      <c r="P57" s="678"/>
      <c r="Q57" s="678"/>
      <c r="R57" s="195"/>
      <c r="S57" s="131"/>
      <c r="T57" s="98"/>
      <c r="U57" s="98"/>
      <c r="V57" s="98"/>
      <c r="W57" s="98"/>
      <c r="X57" s="96"/>
      <c r="Y57" s="86"/>
    </row>
    <row r="58" spans="2:25" ht="24" customHeight="1">
      <c r="B58" s="102">
        <v>50</v>
      </c>
      <c r="C58" s="13" t="s">
        <v>37</v>
      </c>
      <c r="D58" s="191" t="s">
        <v>112</v>
      </c>
      <c r="E58" s="5">
        <v>2050000</v>
      </c>
      <c r="F58" s="5">
        <v>2050000</v>
      </c>
      <c r="G58" s="194"/>
      <c r="H58" s="194"/>
      <c r="I58" s="194"/>
      <c r="J58" s="196">
        <f t="shared" si="1"/>
        <v>2050000</v>
      </c>
      <c r="K58" s="215"/>
      <c r="L58" s="215"/>
      <c r="M58" s="215"/>
      <c r="N58" s="215"/>
      <c r="O58" s="678"/>
      <c r="P58" s="678"/>
      <c r="Q58" s="678"/>
      <c r="R58" s="195"/>
      <c r="S58" s="131"/>
      <c r="T58" s="98"/>
      <c r="U58" s="98"/>
      <c r="V58" s="98"/>
      <c r="W58" s="98"/>
      <c r="X58" s="96"/>
      <c r="Y58" s="86"/>
    </row>
    <row r="59" spans="2:25" ht="24" customHeight="1">
      <c r="B59" s="102">
        <v>51</v>
      </c>
      <c r="C59" s="13" t="s">
        <v>113</v>
      </c>
      <c r="D59" s="191" t="s">
        <v>112</v>
      </c>
      <c r="E59" s="5">
        <v>34320000</v>
      </c>
      <c r="F59" s="5">
        <v>27391702</v>
      </c>
      <c r="G59" s="194"/>
      <c r="H59" s="194"/>
      <c r="I59" s="194"/>
      <c r="J59" s="196">
        <f t="shared" si="1"/>
        <v>27391702</v>
      </c>
      <c r="K59" s="215"/>
      <c r="L59" s="215"/>
      <c r="M59" s="215"/>
      <c r="N59" s="215"/>
      <c r="O59" s="678"/>
      <c r="P59" s="678"/>
      <c r="Q59" s="678"/>
      <c r="R59" s="195"/>
      <c r="S59" s="131"/>
      <c r="T59" s="98"/>
      <c r="U59" s="98"/>
      <c r="V59" s="98"/>
      <c r="W59" s="98"/>
      <c r="X59" s="96"/>
      <c r="Y59" s="86"/>
    </row>
    <row r="60" spans="2:25" ht="24" customHeight="1">
      <c r="B60" s="102">
        <v>52</v>
      </c>
      <c r="C60" s="13" t="s">
        <v>46</v>
      </c>
      <c r="D60" s="191" t="s">
        <v>114</v>
      </c>
      <c r="E60" s="5">
        <v>68880000</v>
      </c>
      <c r="F60" s="5">
        <v>54012569</v>
      </c>
      <c r="G60" s="194"/>
      <c r="H60" s="194"/>
      <c r="I60" s="194"/>
      <c r="J60" s="196">
        <f t="shared" si="1"/>
        <v>54012569</v>
      </c>
      <c r="K60" s="215"/>
      <c r="L60" s="215"/>
      <c r="M60" s="215"/>
      <c r="N60" s="215"/>
      <c r="O60" s="678"/>
      <c r="P60" s="678"/>
      <c r="Q60" s="678"/>
      <c r="R60" s="195"/>
      <c r="S60" s="131"/>
      <c r="T60" s="98"/>
      <c r="U60" s="98"/>
      <c r="V60" s="98"/>
      <c r="W60" s="98"/>
      <c r="X60" s="96"/>
      <c r="Y60" s="86"/>
    </row>
    <row r="61" spans="2:25" ht="24" customHeight="1">
      <c r="B61" s="102">
        <v>53</v>
      </c>
      <c r="C61" s="13" t="s">
        <v>38</v>
      </c>
      <c r="D61" s="191" t="s">
        <v>114</v>
      </c>
      <c r="E61" s="5">
        <v>3920000</v>
      </c>
      <c r="F61" s="5">
        <v>3920000</v>
      </c>
      <c r="G61" s="194"/>
      <c r="H61" s="194"/>
      <c r="I61" s="194"/>
      <c r="J61" s="196">
        <f t="shared" si="1"/>
        <v>3920000</v>
      </c>
      <c r="K61" s="215"/>
      <c r="L61" s="215"/>
      <c r="M61" s="215"/>
      <c r="N61" s="215"/>
      <c r="O61" s="678"/>
      <c r="P61" s="678"/>
      <c r="Q61" s="678"/>
      <c r="R61" s="195"/>
      <c r="S61" s="131"/>
      <c r="T61" s="98"/>
      <c r="U61" s="98"/>
      <c r="V61" s="98"/>
      <c r="W61" s="98"/>
      <c r="X61" s="96"/>
      <c r="Y61" s="86"/>
    </row>
    <row r="62" spans="2:25" ht="24" customHeight="1">
      <c r="B62" s="102">
        <v>54</v>
      </c>
      <c r="C62" s="13" t="s">
        <v>39</v>
      </c>
      <c r="D62" s="192"/>
      <c r="E62" s="5">
        <v>6000000</v>
      </c>
      <c r="F62" s="5">
        <v>6000000</v>
      </c>
      <c r="G62" s="194"/>
      <c r="H62" s="194"/>
      <c r="I62" s="194"/>
      <c r="J62" s="196">
        <f t="shared" si="1"/>
        <v>6000000</v>
      </c>
      <c r="K62" s="215"/>
      <c r="L62" s="215"/>
      <c r="M62" s="215"/>
      <c r="N62" s="215"/>
      <c r="O62" s="678"/>
      <c r="P62" s="678"/>
      <c r="Q62" s="678"/>
      <c r="R62" s="195"/>
      <c r="S62" s="131"/>
      <c r="T62" s="98"/>
      <c r="U62" s="98"/>
      <c r="V62" s="98"/>
      <c r="W62" s="98"/>
      <c r="X62" s="96"/>
      <c r="Y62" s="86"/>
    </row>
    <row r="63" spans="2:25" ht="24" customHeight="1">
      <c r="B63" s="595">
        <v>55</v>
      </c>
      <c r="C63" s="596" t="s">
        <v>323</v>
      </c>
      <c r="D63" s="597"/>
      <c r="E63" s="169"/>
      <c r="F63" s="169"/>
      <c r="G63" s="121">
        <v>21000000</v>
      </c>
      <c r="H63" s="121">
        <v>4144005</v>
      </c>
      <c r="I63" s="121">
        <f>G63-H63</f>
        <v>16855995</v>
      </c>
      <c r="J63" s="202"/>
      <c r="K63" s="598"/>
      <c r="L63" s="598"/>
      <c r="M63" s="598"/>
      <c r="N63" s="598"/>
      <c r="O63" s="598">
        <v>7000000</v>
      </c>
      <c r="P63" s="598">
        <v>7000000</v>
      </c>
      <c r="Q63" s="598">
        <v>3000000</v>
      </c>
      <c r="R63" s="599"/>
      <c r="S63" s="600"/>
      <c r="T63" s="599"/>
      <c r="U63" s="599"/>
      <c r="V63" s="599"/>
      <c r="W63" s="599"/>
      <c r="X63" s="601"/>
      <c r="Y63" s="181"/>
    </row>
    <row r="64" spans="2:25" ht="24" customHeight="1" thickBot="1">
      <c r="B64" s="913"/>
      <c r="C64" s="914"/>
      <c r="D64" s="914"/>
      <c r="E64" s="914"/>
      <c r="F64" s="914"/>
      <c r="G64" s="914"/>
      <c r="H64" s="914"/>
      <c r="I64" s="118"/>
      <c r="J64" s="118"/>
      <c r="K64" s="118"/>
      <c r="L64" s="118"/>
      <c r="M64" s="118"/>
      <c r="N64" s="118"/>
      <c r="O64" s="118"/>
      <c r="P64" s="118"/>
      <c r="Q64" s="118"/>
      <c r="R64" s="74"/>
      <c r="S64" s="74"/>
      <c r="T64" s="74"/>
      <c r="U64" s="74"/>
      <c r="V64" s="74"/>
      <c r="W64" s="74"/>
      <c r="X64" s="85"/>
      <c r="Y64" s="86"/>
    </row>
    <row r="65" spans="2:25" ht="27" customHeight="1" thickBot="1">
      <c r="B65" s="99"/>
      <c r="C65" s="339" t="s">
        <v>5</v>
      </c>
      <c r="D65" s="100"/>
      <c r="E65" s="101">
        <f>SUM(E6:E63)</f>
        <v>1749287639.05</v>
      </c>
      <c r="F65" s="237">
        <f>SUM(F6:F63)</f>
        <v>1308549823</v>
      </c>
      <c r="G65" s="237">
        <f t="shared" ref="G65:Q65" si="5">SUM(G6:G63)</f>
        <v>239270513.45000002</v>
      </c>
      <c r="H65" s="237">
        <f t="shared" si="5"/>
        <v>31320606</v>
      </c>
      <c r="I65" s="237">
        <f t="shared" si="5"/>
        <v>207949907.45000002</v>
      </c>
      <c r="J65" s="237">
        <f t="shared" si="5"/>
        <v>1083810966.55</v>
      </c>
      <c r="K65" s="233">
        <f t="shared" si="5"/>
        <v>0</v>
      </c>
      <c r="L65" s="233">
        <f t="shared" si="5"/>
        <v>0</v>
      </c>
      <c r="M65" s="233">
        <f t="shared" si="5"/>
        <v>0</v>
      </c>
      <c r="N65" s="233">
        <f t="shared" si="5"/>
        <v>0</v>
      </c>
      <c r="O65" s="237">
        <f t="shared" si="5"/>
        <v>49629394.5</v>
      </c>
      <c r="P65" s="237">
        <f t="shared" si="5"/>
        <v>43143327.36666666</v>
      </c>
      <c r="Q65" s="237">
        <f t="shared" si="5"/>
        <v>51077327.36666666</v>
      </c>
      <c r="R65" s="237">
        <f t="shared" ref="R65:X65" si="6">SUM(R6:R55)</f>
        <v>44494708.733333327</v>
      </c>
      <c r="S65" s="673">
        <f t="shared" si="6"/>
        <v>28663907.066666666</v>
      </c>
      <c r="T65" s="673">
        <f t="shared" si="6"/>
        <v>11780570.066666668</v>
      </c>
      <c r="U65" s="673">
        <f t="shared" si="6"/>
        <v>0</v>
      </c>
      <c r="V65" s="673">
        <f t="shared" si="6"/>
        <v>0</v>
      </c>
      <c r="W65" s="673">
        <f t="shared" si="6"/>
        <v>0</v>
      </c>
      <c r="X65" s="674">
        <f t="shared" si="6"/>
        <v>0</v>
      </c>
      <c r="Y65" s="675"/>
    </row>
    <row r="66" spans="2:25" ht="25.5" customHeight="1">
      <c r="C66" s="641" t="s">
        <v>259</v>
      </c>
      <c r="D66" s="642"/>
      <c r="E66" s="642"/>
      <c r="F66" s="5"/>
      <c r="G66" s="642"/>
      <c r="H66" s="642"/>
      <c r="I66" s="642"/>
      <c r="J66" s="642"/>
      <c r="K66" s="642"/>
      <c r="L66" s="642"/>
      <c r="M66" s="642"/>
      <c r="N66" s="642"/>
      <c r="O66" s="642"/>
      <c r="P66" s="642"/>
      <c r="Q66" s="642"/>
      <c r="R66" s="642"/>
      <c r="S66" s="367"/>
      <c r="T66" s="367"/>
      <c r="U66" s="367"/>
      <c r="V66" s="367"/>
      <c r="W66" s="367"/>
      <c r="X66" s="367"/>
      <c r="Y66" s="367"/>
    </row>
    <row r="67" spans="2:25" ht="25.5" customHeight="1">
      <c r="B67" s="59">
        <v>56</v>
      </c>
      <c r="C67" s="353" t="s">
        <v>260</v>
      </c>
      <c r="D67" s="117"/>
      <c r="E67" s="190"/>
      <c r="F67" s="5">
        <v>35000000</v>
      </c>
      <c r="G67" s="117"/>
      <c r="H67" s="117"/>
      <c r="I67" s="642"/>
      <c r="J67" s="5">
        <f>F67-G67</f>
        <v>35000000</v>
      </c>
      <c r="K67" s="642"/>
      <c r="L67" s="642"/>
      <c r="M67" s="642"/>
      <c r="N67" s="642"/>
      <c r="O67" s="642"/>
      <c r="P67" s="642"/>
      <c r="Q67" s="642"/>
      <c r="R67" s="642"/>
      <c r="S67" s="367"/>
      <c r="T67" s="367"/>
      <c r="U67" s="367"/>
      <c r="V67" s="367"/>
      <c r="W67" s="367"/>
      <c r="X67" s="367"/>
      <c r="Y67" s="367"/>
    </row>
    <row r="68" spans="2:25" ht="25.5" customHeight="1" thickBot="1">
      <c r="B68" s="358">
        <v>57</v>
      </c>
      <c r="C68" s="353" t="s">
        <v>261</v>
      </c>
      <c r="D68" s="117"/>
      <c r="E68" s="190"/>
      <c r="F68" s="5">
        <v>6000000</v>
      </c>
      <c r="G68" s="117"/>
      <c r="H68" s="117"/>
      <c r="I68" s="642"/>
      <c r="J68" s="5">
        <f t="shared" ref="J68:J76" si="7">F68-G68</f>
        <v>6000000</v>
      </c>
      <c r="K68" s="642"/>
      <c r="L68" s="642"/>
      <c r="M68" s="642"/>
      <c r="N68" s="642"/>
      <c r="O68" s="642"/>
      <c r="P68" s="642"/>
      <c r="Q68" s="642"/>
      <c r="R68" s="642"/>
      <c r="S68" s="367"/>
      <c r="T68" s="367"/>
      <c r="U68" s="367"/>
      <c r="V68" s="367"/>
      <c r="W68" s="367"/>
      <c r="X68" s="367"/>
      <c r="Y68" s="367"/>
    </row>
    <row r="69" spans="2:25" ht="25.5" customHeight="1" thickBot="1">
      <c r="B69" s="136">
        <v>58</v>
      </c>
      <c r="C69" s="342" t="s">
        <v>265</v>
      </c>
      <c r="D69" s="597"/>
      <c r="E69" s="169"/>
      <c r="F69" s="225">
        <v>3731700</v>
      </c>
      <c r="G69" s="146">
        <v>3731700</v>
      </c>
      <c r="H69" s="144">
        <f>2731700+1500000*0.275</f>
        <v>3144200</v>
      </c>
      <c r="I69" s="749">
        <v>0</v>
      </c>
      <c r="J69" s="754">
        <f t="shared" si="7"/>
        <v>0</v>
      </c>
      <c r="K69" s="755"/>
      <c r="L69" s="755"/>
      <c r="M69" s="755"/>
      <c r="N69" s="755"/>
      <c r="O69" s="755"/>
      <c r="P69" s="755"/>
      <c r="Q69" s="755"/>
      <c r="R69" s="755"/>
      <c r="S69" s="756"/>
      <c r="T69" s="756"/>
      <c r="U69" s="756"/>
      <c r="V69" s="756"/>
      <c r="W69" s="756"/>
      <c r="X69" s="756"/>
      <c r="Y69" s="367"/>
    </row>
    <row r="70" spans="2:25" ht="25.5" customHeight="1">
      <c r="B70" s="358">
        <v>59</v>
      </c>
      <c r="C70" s="614" t="s">
        <v>324</v>
      </c>
      <c r="D70" s="12"/>
      <c r="E70" s="173"/>
      <c r="F70" s="742"/>
      <c r="G70" s="742"/>
      <c r="H70" s="365"/>
      <c r="I70" s="5"/>
      <c r="J70" s="750">
        <f t="shared" si="7"/>
        <v>0</v>
      </c>
      <c r="K70" s="642"/>
      <c r="L70" s="642"/>
      <c r="M70" s="642"/>
      <c r="N70" s="642"/>
      <c r="O70" s="642"/>
      <c r="P70" s="642"/>
      <c r="Q70" s="642"/>
      <c r="R70" s="642"/>
      <c r="S70" s="367"/>
      <c r="T70" s="367"/>
      <c r="U70" s="367"/>
      <c r="V70" s="367"/>
      <c r="W70" s="367"/>
      <c r="X70" s="367"/>
      <c r="Y70" s="367"/>
    </row>
    <row r="71" spans="2:25" ht="25.5" customHeight="1">
      <c r="B71" s="748">
        <v>60</v>
      </c>
      <c r="C71" s="145" t="s">
        <v>325</v>
      </c>
      <c r="D71" s="22"/>
      <c r="E71" s="172"/>
      <c r="F71" s="146">
        <v>2420155</v>
      </c>
      <c r="G71" s="146">
        <v>2420155</v>
      </c>
      <c r="H71" s="146">
        <f>G71*0.4</f>
        <v>968062</v>
      </c>
      <c r="I71" s="147">
        <f>G71-H71</f>
        <v>1452093</v>
      </c>
      <c r="J71" s="121">
        <v>0</v>
      </c>
      <c r="K71" s="755"/>
      <c r="L71" s="755"/>
      <c r="M71" s="755"/>
      <c r="N71" s="755"/>
      <c r="O71" s="755"/>
      <c r="P71" s="755"/>
      <c r="Q71" s="755"/>
      <c r="R71" s="755"/>
      <c r="S71" s="756"/>
      <c r="T71" s="756"/>
      <c r="U71" s="756"/>
      <c r="V71" s="756"/>
      <c r="W71" s="756"/>
      <c r="X71" s="756"/>
      <c r="Y71" s="367"/>
    </row>
    <row r="72" spans="2:25" ht="25.5" customHeight="1">
      <c r="B72" s="615">
        <v>61</v>
      </c>
      <c r="C72" s="613" t="s">
        <v>269</v>
      </c>
      <c r="D72" s="331"/>
      <c r="E72" s="607"/>
      <c r="F72" s="354">
        <f>14432000*0.7</f>
        <v>10102400</v>
      </c>
      <c r="G72" s="608"/>
      <c r="H72" s="609"/>
      <c r="I72" s="642"/>
      <c r="J72" s="5">
        <f t="shared" si="7"/>
        <v>10102400</v>
      </c>
      <c r="K72" s="642"/>
      <c r="L72" s="642"/>
      <c r="M72" s="642"/>
      <c r="N72" s="642"/>
      <c r="O72" s="642"/>
      <c r="P72" s="642"/>
      <c r="Q72" s="642"/>
      <c r="R72" s="642"/>
      <c r="S72" s="367"/>
      <c r="T72" s="367"/>
      <c r="U72" s="367"/>
      <c r="V72" s="367"/>
      <c r="W72" s="367"/>
      <c r="X72" s="367"/>
      <c r="Y72" s="367"/>
    </row>
    <row r="73" spans="2:25" ht="25.5" customHeight="1">
      <c r="B73" s="347">
        <v>62</v>
      </c>
      <c r="C73" s="353" t="s">
        <v>284</v>
      </c>
      <c r="D73" s="12"/>
      <c r="E73" s="173"/>
      <c r="F73" s="354">
        <f>29742999*0.7</f>
        <v>20820099.299999997</v>
      </c>
      <c r="G73" s="354"/>
      <c r="H73" s="346"/>
      <c r="I73" s="367"/>
      <c r="J73" s="5">
        <f t="shared" si="7"/>
        <v>20820099.299999997</v>
      </c>
      <c r="K73" s="367"/>
      <c r="L73" s="367"/>
      <c r="M73" s="367"/>
      <c r="N73" s="367"/>
      <c r="O73" s="367"/>
      <c r="P73" s="367"/>
      <c r="Q73" s="367"/>
      <c r="R73" s="367"/>
      <c r="S73" s="367"/>
      <c r="T73" s="367"/>
      <c r="U73" s="367"/>
      <c r="V73" s="367"/>
      <c r="W73" s="367"/>
      <c r="X73" s="367"/>
      <c r="Y73" s="367"/>
    </row>
    <row r="74" spans="2:25" ht="25.5" customHeight="1">
      <c r="B74" s="347">
        <v>63</v>
      </c>
      <c r="C74" s="353" t="s">
        <v>326</v>
      </c>
      <c r="D74" s="12"/>
      <c r="E74" s="173"/>
      <c r="F74" s="354">
        <f>(25349484-11880345)*0.7</f>
        <v>9428397.2999999989</v>
      </c>
      <c r="G74" s="354"/>
      <c r="H74" s="346"/>
      <c r="I74" s="367"/>
      <c r="J74" s="5">
        <f t="shared" si="7"/>
        <v>9428397.2999999989</v>
      </c>
      <c r="K74" s="367"/>
      <c r="L74" s="367"/>
      <c r="M74" s="367"/>
      <c r="N74" s="367"/>
      <c r="O74" s="367"/>
      <c r="P74" s="367"/>
      <c r="Q74" s="367"/>
      <c r="R74" s="367"/>
      <c r="S74" s="367"/>
      <c r="T74" s="367"/>
      <c r="U74" s="367"/>
      <c r="V74" s="367"/>
      <c r="W74" s="367"/>
      <c r="X74" s="367"/>
      <c r="Y74" s="367"/>
    </row>
    <row r="75" spans="2:25" ht="25.5" customHeight="1">
      <c r="B75" s="347">
        <v>64</v>
      </c>
      <c r="C75" s="353" t="s">
        <v>289</v>
      </c>
      <c r="D75" s="12"/>
      <c r="E75" s="173"/>
      <c r="F75" s="354">
        <f>80000000*0.3+2500000</f>
        <v>26500000</v>
      </c>
      <c r="G75" s="354"/>
      <c r="H75" s="346"/>
      <c r="I75" s="346"/>
      <c r="J75" s="5">
        <f t="shared" si="7"/>
        <v>26500000</v>
      </c>
      <c r="K75" s="367"/>
      <c r="L75" s="367"/>
      <c r="M75" s="367"/>
      <c r="N75" s="367"/>
      <c r="O75" s="367"/>
      <c r="P75" s="367"/>
      <c r="Q75" s="367"/>
      <c r="R75" s="367"/>
      <c r="S75" s="367"/>
      <c r="T75" s="367"/>
      <c r="U75" s="367"/>
      <c r="V75" s="367"/>
      <c r="W75" s="367"/>
      <c r="X75" s="367"/>
      <c r="Y75" s="367"/>
    </row>
    <row r="76" spans="2:25" ht="25.5" customHeight="1" thickBot="1">
      <c r="B76" s="347">
        <v>65</v>
      </c>
      <c r="C76" s="353" t="s">
        <v>290</v>
      </c>
      <c r="D76" s="12"/>
      <c r="E76" s="173"/>
      <c r="F76" s="354">
        <f>40000000*0.3</f>
        <v>12000000</v>
      </c>
      <c r="G76" s="354"/>
      <c r="H76" s="346"/>
      <c r="I76" s="355"/>
      <c r="J76" s="5">
        <f t="shared" si="7"/>
        <v>12000000</v>
      </c>
      <c r="K76" s="5"/>
      <c r="L76" s="5"/>
      <c r="M76" s="12"/>
      <c r="N76" s="356"/>
      <c r="O76" s="5"/>
      <c r="P76" s="5"/>
      <c r="Q76" s="5"/>
      <c r="R76" s="5"/>
      <c r="S76" s="5"/>
      <c r="T76" s="5">
        <f>H76*0.3</f>
        <v>0</v>
      </c>
      <c r="U76" s="5"/>
      <c r="V76" s="5"/>
      <c r="W76" s="5"/>
      <c r="X76" s="367"/>
      <c r="Y76" s="367"/>
    </row>
    <row r="77" spans="2:25" ht="25.5" customHeight="1" thickBot="1">
      <c r="B77" s="368"/>
      <c r="C77" s="339" t="s">
        <v>257</v>
      </c>
      <c r="D77" s="369"/>
      <c r="E77" s="369"/>
      <c r="F77" s="237">
        <f t="shared" ref="F77:T77" si="8">SUM(F65:F76)</f>
        <v>1434552574.5999999</v>
      </c>
      <c r="G77" s="237">
        <f t="shared" si="8"/>
        <v>245422368.45000002</v>
      </c>
      <c r="H77" s="237">
        <f t="shared" si="8"/>
        <v>35432868</v>
      </c>
      <c r="I77" s="237">
        <f t="shared" si="8"/>
        <v>209402000.45000002</v>
      </c>
      <c r="J77" s="237">
        <f t="shared" si="8"/>
        <v>1203661863.1499999</v>
      </c>
      <c r="K77" s="237">
        <f t="shared" si="8"/>
        <v>0</v>
      </c>
      <c r="L77" s="237">
        <f t="shared" si="8"/>
        <v>0</v>
      </c>
      <c r="M77" s="237">
        <f t="shared" si="8"/>
        <v>0</v>
      </c>
      <c r="N77" s="237">
        <f t="shared" si="8"/>
        <v>0</v>
      </c>
      <c r="O77" s="237">
        <f t="shared" si="8"/>
        <v>49629394.5</v>
      </c>
      <c r="P77" s="237">
        <f t="shared" si="8"/>
        <v>43143327.36666666</v>
      </c>
      <c r="Q77" s="237">
        <f t="shared" si="8"/>
        <v>51077327.36666666</v>
      </c>
      <c r="R77" s="237">
        <f t="shared" si="8"/>
        <v>44494708.733333327</v>
      </c>
      <c r="S77" s="237">
        <f t="shared" si="8"/>
        <v>28663907.066666666</v>
      </c>
      <c r="T77" s="237">
        <f t="shared" si="8"/>
        <v>11780570.066666668</v>
      </c>
      <c r="U77" s="367"/>
      <c r="V77" s="367"/>
      <c r="W77" s="367"/>
      <c r="X77" s="367"/>
      <c r="Y77" s="367"/>
    </row>
  </sheetData>
  <mergeCells count="12">
    <mergeCell ref="B2:E2"/>
    <mergeCell ref="F2:R2"/>
    <mergeCell ref="B5:X5"/>
    <mergeCell ref="B64:H64"/>
    <mergeCell ref="F27:F29"/>
    <mergeCell ref="E27:E29"/>
    <mergeCell ref="F34:F35"/>
    <mergeCell ref="E34:E35"/>
    <mergeCell ref="F37:F38"/>
    <mergeCell ref="E37:E38"/>
    <mergeCell ref="E44:E46"/>
    <mergeCell ref="F44:F46"/>
  </mergeCells>
  <conditionalFormatting sqref="N76">
    <cfRule type="cellIs" dxfId="0" priority="1" operator="lessThan">
      <formula>0</formula>
    </cfRule>
  </conditionalFormatting>
  <pageMargins left="0.7" right="0.7" top="0.75" bottom="0.75" header="0.3" footer="0.3"/>
  <pageSetup paperSize="8" scale="33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56BD-0A47-460F-AE5F-63A595640FAC}">
  <sheetPr>
    <pageSetUpPr fitToPage="1"/>
  </sheetPr>
  <dimension ref="B3:L25"/>
  <sheetViews>
    <sheetView tabSelected="1" view="pageBreakPreview" topLeftCell="A19" zoomScale="60" zoomScaleNormal="100" workbookViewId="0">
      <selection activeCell="G24" sqref="G24"/>
    </sheetView>
  </sheetViews>
  <sheetFormatPr defaultRowHeight="12.75"/>
  <cols>
    <col min="1" max="1" width="9.140625" style="53"/>
    <col min="2" max="2" width="7.5703125" style="53" bestFit="1" customWidth="1"/>
    <col min="3" max="3" width="63.42578125" style="53" bestFit="1" customWidth="1"/>
    <col min="4" max="4" width="35.5703125" style="53" hidden="1" customWidth="1"/>
    <col min="5" max="5" width="42.7109375" style="53" hidden="1" customWidth="1"/>
    <col min="6" max="6" width="25.85546875" style="53" customWidth="1"/>
    <col min="7" max="12" width="42.7109375" style="53" customWidth="1"/>
    <col min="13" max="16384" width="9.140625" style="53"/>
  </cols>
  <sheetData>
    <row r="3" spans="2:12" ht="27.95" customHeight="1" thickBot="1">
      <c r="B3" s="918" t="s">
        <v>317</v>
      </c>
      <c r="C3" s="919"/>
      <c r="D3" s="919"/>
      <c r="E3" s="919"/>
      <c r="F3" s="919"/>
      <c r="G3" s="919"/>
      <c r="H3" s="919"/>
      <c r="I3" s="919"/>
      <c r="J3" s="919"/>
      <c r="K3" s="919"/>
      <c r="L3" s="920"/>
    </row>
    <row r="4" spans="2:12" ht="52.5" customHeight="1" thickBot="1">
      <c r="B4" s="34" t="s">
        <v>97</v>
      </c>
      <c r="C4" s="34" t="s">
        <v>297</v>
      </c>
      <c r="D4" s="34" t="s">
        <v>98</v>
      </c>
      <c r="E4" s="34" t="s">
        <v>99</v>
      </c>
      <c r="F4" s="35" t="s">
        <v>50</v>
      </c>
      <c r="G4" s="34" t="s">
        <v>318</v>
      </c>
      <c r="H4" s="34" t="s">
        <v>62</v>
      </c>
      <c r="I4" s="34" t="s">
        <v>64</v>
      </c>
      <c r="J4" s="34" t="s">
        <v>128</v>
      </c>
      <c r="K4" s="34" t="s">
        <v>129</v>
      </c>
      <c r="L4" s="789"/>
    </row>
    <row r="5" spans="2:12" ht="52.5" customHeight="1">
      <c r="B5" s="813">
        <v>1</v>
      </c>
      <c r="C5" s="256" t="s">
        <v>166</v>
      </c>
      <c r="D5" s="811" t="s">
        <v>299</v>
      </c>
      <c r="E5" s="810" t="s">
        <v>300</v>
      </c>
      <c r="F5" s="810"/>
      <c r="G5" s="251">
        <v>11820918.600000001</v>
      </c>
      <c r="H5" s="384">
        <v>6220700</v>
      </c>
      <c r="I5" s="384">
        <v>2762019</v>
      </c>
      <c r="J5" s="384">
        <v>3458681</v>
      </c>
      <c r="K5" s="815"/>
      <c r="L5" s="788"/>
    </row>
    <row r="6" spans="2:12" ht="52.5" customHeight="1">
      <c r="B6" s="813">
        <v>2</v>
      </c>
      <c r="C6" s="254" t="s">
        <v>167</v>
      </c>
      <c r="D6" s="811" t="s">
        <v>299</v>
      </c>
      <c r="E6" s="810" t="s">
        <v>300</v>
      </c>
      <c r="F6" s="810"/>
      <c r="G6" s="251">
        <v>9924504.75</v>
      </c>
      <c r="H6" s="384">
        <v>9428921</v>
      </c>
      <c r="I6" s="384">
        <v>5928921</v>
      </c>
      <c r="J6" s="384">
        <v>3500000</v>
      </c>
      <c r="K6" s="815"/>
      <c r="L6" s="788"/>
    </row>
    <row r="7" spans="2:12" ht="52.5" customHeight="1">
      <c r="B7" s="813">
        <v>3</v>
      </c>
      <c r="C7" s="254" t="s">
        <v>319</v>
      </c>
      <c r="D7" s="814" t="s">
        <v>299</v>
      </c>
      <c r="E7" s="814" t="s">
        <v>300</v>
      </c>
      <c r="F7" s="814"/>
      <c r="G7" s="251">
        <v>5240700</v>
      </c>
      <c r="H7" s="384">
        <v>2868500</v>
      </c>
      <c r="I7" s="384">
        <v>1241083</v>
      </c>
      <c r="J7" s="384">
        <v>1627417</v>
      </c>
      <c r="K7" s="815"/>
      <c r="L7" s="788"/>
    </row>
    <row r="8" spans="2:12" ht="52.5" customHeight="1">
      <c r="B8" s="813">
        <v>4</v>
      </c>
      <c r="C8" s="254" t="s">
        <v>169</v>
      </c>
      <c r="D8" s="811" t="s">
        <v>299</v>
      </c>
      <c r="E8" s="810" t="s">
        <v>300</v>
      </c>
      <c r="F8" s="810"/>
      <c r="G8" s="251">
        <v>21498750</v>
      </c>
      <c r="H8" s="384">
        <v>1900000</v>
      </c>
      <c r="I8" s="255"/>
      <c r="J8" s="384">
        <v>1900000</v>
      </c>
      <c r="K8" s="815"/>
      <c r="L8" s="788"/>
    </row>
    <row r="9" spans="2:12" ht="52.5" customHeight="1">
      <c r="B9" s="813">
        <v>5</v>
      </c>
      <c r="C9" s="254" t="s">
        <v>170</v>
      </c>
      <c r="D9" s="811" t="s">
        <v>299</v>
      </c>
      <c r="E9" s="810" t="s">
        <v>300</v>
      </c>
      <c r="F9" s="810"/>
      <c r="G9" s="251">
        <v>1755000</v>
      </c>
      <c r="H9" s="384">
        <v>3141525</v>
      </c>
      <c r="I9" s="384">
        <v>2054018</v>
      </c>
      <c r="J9" s="384">
        <v>1087507</v>
      </c>
      <c r="K9" s="815"/>
      <c r="L9" s="788"/>
    </row>
    <row r="10" spans="2:12" ht="52.5" customHeight="1">
      <c r="B10" s="813">
        <v>6</v>
      </c>
      <c r="C10" s="256" t="s">
        <v>163</v>
      </c>
      <c r="D10" s="811" t="s">
        <v>299</v>
      </c>
      <c r="E10" s="810" t="s">
        <v>300</v>
      </c>
      <c r="F10" s="810"/>
      <c r="G10" s="251">
        <v>6750000</v>
      </c>
      <c r="H10" s="384">
        <v>12834922</v>
      </c>
      <c r="I10" s="384">
        <v>5133968.8000000007</v>
      </c>
      <c r="J10" s="384">
        <v>7700953.1999999993</v>
      </c>
      <c r="K10" s="815"/>
      <c r="L10" s="788"/>
    </row>
    <row r="11" spans="2:12" ht="52.5" customHeight="1">
      <c r="B11" s="813">
        <v>7</v>
      </c>
      <c r="C11" s="826" t="s">
        <v>85</v>
      </c>
      <c r="D11" s="827" t="s">
        <v>299</v>
      </c>
      <c r="E11" s="827" t="s">
        <v>300</v>
      </c>
      <c r="F11" s="827"/>
      <c r="G11" s="828">
        <v>10800000</v>
      </c>
      <c r="H11" s="829">
        <v>15000000</v>
      </c>
      <c r="I11" s="829"/>
      <c r="J11" s="829"/>
      <c r="K11" s="828">
        <f>H11</f>
        <v>15000000</v>
      </c>
      <c r="L11" s="788"/>
    </row>
    <row r="12" spans="2:12" ht="52.5" customHeight="1">
      <c r="B12" s="813">
        <v>8</v>
      </c>
      <c r="C12" s="13" t="s">
        <v>315</v>
      </c>
      <c r="D12" s="811" t="s">
        <v>299</v>
      </c>
      <c r="E12" s="810" t="s">
        <v>300</v>
      </c>
      <c r="F12" s="843"/>
      <c r="G12" s="21">
        <f>SUM(G5:G11)</f>
        <v>67789873.349999994</v>
      </c>
      <c r="H12" s="21">
        <f t="shared" ref="H12:K12" si="0">SUM(H5:H11)</f>
        <v>51394568</v>
      </c>
      <c r="I12" s="21">
        <f t="shared" si="0"/>
        <v>17120009.800000001</v>
      </c>
      <c r="J12" s="21">
        <f t="shared" si="0"/>
        <v>19274558.199999999</v>
      </c>
      <c r="K12" s="828">
        <f t="shared" si="0"/>
        <v>15000000</v>
      </c>
      <c r="L12" s="788"/>
    </row>
    <row r="13" spans="2:12" ht="52.5" customHeight="1">
      <c r="B13" s="813">
        <v>10</v>
      </c>
      <c r="C13" s="254" t="s">
        <v>256</v>
      </c>
      <c r="D13" s="811" t="s">
        <v>299</v>
      </c>
      <c r="E13" s="810" t="s">
        <v>300</v>
      </c>
      <c r="F13" s="810"/>
      <c r="G13" s="251">
        <v>36000000</v>
      </c>
      <c r="H13" s="251">
        <v>36000000</v>
      </c>
      <c r="I13" s="251">
        <v>27000000</v>
      </c>
      <c r="J13" s="251">
        <f t="shared" ref="J13" si="1">H13-I13</f>
        <v>9000000</v>
      </c>
      <c r="K13" s="815"/>
      <c r="L13" s="788"/>
    </row>
    <row r="14" spans="2:12" ht="52.5" customHeight="1">
      <c r="B14" s="813">
        <v>11</v>
      </c>
      <c r="C14" s="254" t="s">
        <v>278</v>
      </c>
      <c r="D14" s="811" t="s">
        <v>299</v>
      </c>
      <c r="E14" s="810" t="s">
        <v>300</v>
      </c>
      <c r="F14" s="810"/>
      <c r="G14" s="251">
        <v>18000000</v>
      </c>
      <c r="H14" s="251">
        <v>16999424</v>
      </c>
      <c r="I14" s="251">
        <f>H14*0.25</f>
        <v>4249856</v>
      </c>
      <c r="J14" s="251">
        <f>H14</f>
        <v>16999424</v>
      </c>
      <c r="K14" s="815"/>
      <c r="L14" s="808"/>
    </row>
    <row r="15" spans="2:12" ht="52.5" customHeight="1">
      <c r="B15" s="813">
        <v>12</v>
      </c>
      <c r="C15" s="254" t="s">
        <v>279</v>
      </c>
      <c r="D15" s="811" t="s">
        <v>299</v>
      </c>
      <c r="E15" s="811" t="s">
        <v>300</v>
      </c>
      <c r="F15" s="811"/>
      <c r="G15" s="251">
        <v>6500000</v>
      </c>
      <c r="H15" s="251">
        <v>5916720</v>
      </c>
      <c r="I15" s="251">
        <f t="shared" ref="I15:I16" si="2">H15*0.25</f>
        <v>1479180</v>
      </c>
      <c r="J15" s="251">
        <f t="shared" ref="J15:J16" si="3">H15</f>
        <v>5916720</v>
      </c>
      <c r="K15" s="815"/>
      <c r="L15" s="808"/>
    </row>
    <row r="16" spans="2:12" ht="52.5" customHeight="1">
      <c r="B16" s="813">
        <v>13</v>
      </c>
      <c r="C16" s="254" t="s">
        <v>280</v>
      </c>
      <c r="D16" s="811" t="s">
        <v>299</v>
      </c>
      <c r="E16" s="810" t="s">
        <v>300</v>
      </c>
      <c r="F16" s="810"/>
      <c r="G16" s="251">
        <v>8600000</v>
      </c>
      <c r="H16" s="251">
        <v>8350094</v>
      </c>
      <c r="I16" s="251">
        <f t="shared" si="2"/>
        <v>2087523.5</v>
      </c>
      <c r="J16" s="251">
        <f t="shared" si="3"/>
        <v>8350094</v>
      </c>
      <c r="K16" s="815"/>
      <c r="L16" s="809"/>
    </row>
    <row r="17" spans="2:12" ht="52.5" customHeight="1" thickBot="1">
      <c r="B17" s="821">
        <v>15</v>
      </c>
      <c r="C17" s="831" t="s">
        <v>281</v>
      </c>
      <c r="D17" s="822" t="s">
        <v>299</v>
      </c>
      <c r="E17" s="823" t="s">
        <v>300</v>
      </c>
      <c r="F17" s="823"/>
      <c r="G17" s="832">
        <v>5600000</v>
      </c>
      <c r="H17" s="832">
        <v>4000000</v>
      </c>
      <c r="I17" s="832"/>
      <c r="J17" s="832"/>
      <c r="K17" s="833">
        <f>H17</f>
        <v>4000000</v>
      </c>
      <c r="L17" s="808"/>
    </row>
    <row r="18" spans="2:12" ht="52.5" customHeight="1" thickBot="1">
      <c r="B18" s="834">
        <v>16</v>
      </c>
      <c r="C18" s="835" t="s">
        <v>320</v>
      </c>
      <c r="D18" s="836" t="s">
        <v>299</v>
      </c>
      <c r="E18" s="837" t="s">
        <v>300</v>
      </c>
      <c r="F18" s="843"/>
      <c r="G18" s="21">
        <f>SUM(G13:G17)</f>
        <v>74700000</v>
      </c>
      <c r="H18" s="21">
        <f t="shared" ref="H18:K18" si="4">SUM(H13:H17)</f>
        <v>71266238</v>
      </c>
      <c r="I18" s="21">
        <f t="shared" si="4"/>
        <v>34816559.5</v>
      </c>
      <c r="J18" s="21">
        <f t="shared" si="4"/>
        <v>40266238</v>
      </c>
      <c r="K18" s="833">
        <f t="shared" si="4"/>
        <v>4000000</v>
      </c>
      <c r="L18" s="830"/>
    </row>
    <row r="19" spans="2:12" ht="52.5" customHeight="1">
      <c r="B19" s="642"/>
      <c r="C19" s="818" t="s">
        <v>259</v>
      </c>
      <c r="D19" s="642"/>
      <c r="E19" s="642"/>
      <c r="F19" s="642"/>
      <c r="G19" s="642"/>
      <c r="H19" s="642"/>
      <c r="I19" s="642"/>
      <c r="J19" s="642"/>
      <c r="K19" s="642"/>
      <c r="L19" s="367"/>
    </row>
    <row r="20" spans="2:12" ht="52.5" customHeight="1">
      <c r="B20" s="821">
        <v>17</v>
      </c>
      <c r="C20" s="311" t="s">
        <v>316</v>
      </c>
      <c r="D20" s="311"/>
      <c r="E20" s="311"/>
      <c r="F20" s="311"/>
      <c r="G20" s="311">
        <v>13000000</v>
      </c>
      <c r="H20" s="311"/>
      <c r="I20" s="311"/>
      <c r="J20" s="311"/>
      <c r="K20" s="311">
        <f>G20</f>
        <v>13000000</v>
      </c>
      <c r="L20" s="367"/>
    </row>
    <row r="21" spans="2:12" ht="52.5" customHeight="1">
      <c r="B21" s="821">
        <v>18</v>
      </c>
      <c r="C21" s="311" t="s">
        <v>321</v>
      </c>
      <c r="D21" s="311"/>
      <c r="E21" s="311"/>
      <c r="F21" s="311"/>
      <c r="G21" s="311">
        <v>15000000</v>
      </c>
      <c r="H21" s="311"/>
      <c r="I21" s="311"/>
      <c r="J21" s="311"/>
      <c r="K21" s="311">
        <f>G21</f>
        <v>15000000</v>
      </c>
      <c r="L21" s="367"/>
    </row>
    <row r="22" spans="2:12" ht="52.5" customHeight="1">
      <c r="B22" s="367"/>
      <c r="C22" s="819"/>
      <c r="D22" s="367"/>
      <c r="E22" s="367"/>
      <c r="F22" s="367"/>
      <c r="G22" s="367"/>
      <c r="H22" s="367"/>
      <c r="I22" s="367"/>
      <c r="J22" s="367"/>
      <c r="K22" s="367"/>
      <c r="L22" s="367"/>
    </row>
    <row r="23" spans="2:12" ht="52.5" customHeight="1">
      <c r="B23" s="824"/>
      <c r="C23" s="819" t="s">
        <v>120</v>
      </c>
      <c r="D23" s="819"/>
      <c r="E23" s="819"/>
      <c r="F23" s="819"/>
      <c r="G23" s="825">
        <f>G18+G12+G20+G21</f>
        <v>170489873.34999999</v>
      </c>
      <c r="H23" s="825">
        <f t="shared" ref="H23:J23" si="5">H18+H12+H20+H21</f>
        <v>122660806</v>
      </c>
      <c r="I23" s="825">
        <f t="shared" si="5"/>
        <v>51936569.299999997</v>
      </c>
      <c r="J23" s="825">
        <f t="shared" si="5"/>
        <v>59540796.200000003</v>
      </c>
      <c r="K23" s="825">
        <f>K18+K12+K20+K21</f>
        <v>47000000</v>
      </c>
      <c r="L23" s="820"/>
    </row>
    <row r="24" spans="2:12" ht="52.5" customHeight="1">
      <c r="B24" s="367"/>
      <c r="C24" s="819"/>
      <c r="D24" s="367"/>
      <c r="E24" s="367"/>
      <c r="F24" s="367"/>
      <c r="G24" s="367"/>
      <c r="H24" s="367"/>
      <c r="I24" s="367"/>
      <c r="J24" s="367"/>
      <c r="K24" s="367"/>
      <c r="L24" s="367"/>
    </row>
    <row r="25" spans="2:12" ht="52.5" customHeight="1">
      <c r="B25" s="367"/>
      <c r="C25" s="819"/>
      <c r="D25" s="367"/>
      <c r="E25" s="367"/>
      <c r="F25" s="367"/>
      <c r="G25" s="367"/>
      <c r="H25" s="367"/>
      <c r="I25" s="367"/>
      <c r="J25" s="367"/>
      <c r="K25" s="367"/>
      <c r="L25" s="367"/>
    </row>
  </sheetData>
  <mergeCells count="1">
    <mergeCell ref="B3:L3"/>
  </mergeCells>
  <pageMargins left="0.7" right="0.7" top="0.75" bottom="0.75" header="0.3" footer="0.3"/>
  <pageSetup scale="2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BE8CD-590F-451A-8E31-9FC91F941399}">
  <sheetPr>
    <pageSetUpPr fitToPage="1"/>
  </sheetPr>
  <dimension ref="B3:K24"/>
  <sheetViews>
    <sheetView view="pageBreakPreview" topLeftCell="A17" zoomScale="60" zoomScaleNormal="100" workbookViewId="0">
      <selection activeCell="F22" sqref="F22:J22"/>
    </sheetView>
  </sheetViews>
  <sheetFormatPr defaultRowHeight="12.75"/>
  <cols>
    <col min="1" max="1" width="9.140625" style="53"/>
    <col min="2" max="2" width="7.5703125" style="53" bestFit="1" customWidth="1"/>
    <col min="3" max="3" width="63.42578125" style="53" bestFit="1" customWidth="1"/>
    <col min="4" max="4" width="15.140625" style="53" customWidth="1"/>
    <col min="5" max="11" width="42.7109375" style="53" customWidth="1"/>
    <col min="12" max="16384" width="9.140625" style="53"/>
  </cols>
  <sheetData>
    <row r="3" spans="2:11" ht="27.95" customHeight="1" thickBot="1">
      <c r="B3" s="921" t="s">
        <v>295</v>
      </c>
      <c r="C3" s="922"/>
      <c r="D3" s="922"/>
      <c r="E3" s="922"/>
      <c r="F3" s="922"/>
      <c r="G3" s="922"/>
      <c r="H3" s="922"/>
      <c r="I3" s="922"/>
      <c r="J3" s="922"/>
      <c r="K3" s="923"/>
    </row>
    <row r="4" spans="2:11" ht="52.5" customHeight="1" thickBot="1">
      <c r="B4" s="34" t="s">
        <v>97</v>
      </c>
      <c r="C4" s="34" t="s">
        <v>297</v>
      </c>
      <c r="D4" s="34" t="s">
        <v>98</v>
      </c>
      <c r="E4" s="34" t="s">
        <v>99</v>
      </c>
      <c r="F4" s="34" t="s">
        <v>318</v>
      </c>
      <c r="G4" s="34" t="s">
        <v>62</v>
      </c>
      <c r="H4" s="34" t="s">
        <v>64</v>
      </c>
      <c r="I4" s="34" t="s">
        <v>128</v>
      </c>
      <c r="J4" s="34" t="s">
        <v>129</v>
      </c>
      <c r="K4" s="789" t="s">
        <v>294</v>
      </c>
    </row>
    <row r="5" spans="2:11" ht="52.5" customHeight="1">
      <c r="B5" s="813">
        <v>1</v>
      </c>
      <c r="C5" s="840" t="s">
        <v>298</v>
      </c>
      <c r="D5" s="251" t="s">
        <v>299</v>
      </c>
      <c r="E5" s="251"/>
      <c r="F5" s="1005">
        <v>18000000</v>
      </c>
      <c r="G5" s="1005">
        <v>18000000</v>
      </c>
      <c r="H5" s="1005">
        <v>13000000</v>
      </c>
      <c r="I5" s="1005">
        <f>G5-H5</f>
        <v>5000000</v>
      </c>
      <c r="J5" s="815"/>
      <c r="K5" s="788"/>
    </row>
    <row r="6" spans="2:11" ht="52.5" customHeight="1">
      <c r="B6" s="813">
        <v>2</v>
      </c>
      <c r="C6" s="840" t="s">
        <v>301</v>
      </c>
      <c r="D6" s="251" t="s">
        <v>299</v>
      </c>
      <c r="E6" s="251"/>
      <c r="F6" s="1006">
        <v>7351485</v>
      </c>
      <c r="G6" s="1006">
        <v>7351485</v>
      </c>
      <c r="H6" s="1006">
        <v>5000000</v>
      </c>
      <c r="I6" s="1006">
        <f t="shared" ref="I6:I17" si="0">G6-H6</f>
        <v>2351485</v>
      </c>
      <c r="J6" s="815"/>
      <c r="K6" s="788"/>
    </row>
    <row r="7" spans="2:11" ht="52.5" customHeight="1">
      <c r="B7" s="813">
        <v>3</v>
      </c>
      <c r="C7" s="841" t="s">
        <v>302</v>
      </c>
      <c r="D7" s="681" t="s">
        <v>299</v>
      </c>
      <c r="E7" s="681"/>
      <c r="F7" s="1007">
        <v>1782000</v>
      </c>
      <c r="G7" s="1007">
        <v>1782000</v>
      </c>
      <c r="H7" s="1007">
        <f t="shared" ref="H7" si="1">F7</f>
        <v>1782000</v>
      </c>
      <c r="I7" s="1007"/>
      <c r="J7" s="838">
        <v>1782000</v>
      </c>
      <c r="K7" s="788"/>
    </row>
    <row r="8" spans="2:11" ht="52.5" customHeight="1">
      <c r="B8" s="813">
        <v>4</v>
      </c>
      <c r="C8" s="840" t="s">
        <v>303</v>
      </c>
      <c r="D8" s="251" t="s">
        <v>299</v>
      </c>
      <c r="E8" s="251"/>
      <c r="F8" s="1006">
        <f>1750*9100</f>
        <v>15925000</v>
      </c>
      <c r="G8" s="1006">
        <f>1750*9100</f>
        <v>15925000</v>
      </c>
      <c r="H8" s="1006">
        <f>G8*0.4</f>
        <v>6370000</v>
      </c>
      <c r="I8" s="1006">
        <f t="shared" si="0"/>
        <v>9555000</v>
      </c>
      <c r="J8" s="815"/>
      <c r="K8" s="788"/>
    </row>
    <row r="9" spans="2:11" ht="52.5" customHeight="1">
      <c r="B9" s="813">
        <v>5</v>
      </c>
      <c r="C9" s="840" t="s">
        <v>304</v>
      </c>
      <c r="D9" s="251" t="s">
        <v>299</v>
      </c>
      <c r="E9" s="251"/>
      <c r="F9" s="1006">
        <v>1300000</v>
      </c>
      <c r="G9" s="1006">
        <v>1300000</v>
      </c>
      <c r="H9" s="1006">
        <f t="shared" ref="H9" si="2">F9-G9</f>
        <v>0</v>
      </c>
      <c r="I9" s="1006">
        <f t="shared" si="0"/>
        <v>1300000</v>
      </c>
      <c r="J9" s="815"/>
      <c r="K9" s="788"/>
    </row>
    <row r="10" spans="2:11" ht="52.5" customHeight="1">
      <c r="B10" s="813">
        <v>6</v>
      </c>
      <c r="C10" s="840" t="s">
        <v>305</v>
      </c>
      <c r="D10" s="251" t="s">
        <v>299</v>
      </c>
      <c r="E10" s="251"/>
      <c r="F10" s="1006">
        <v>5000000</v>
      </c>
      <c r="G10" s="1007">
        <v>5000000</v>
      </c>
      <c r="H10" s="1007">
        <f>F10</f>
        <v>5000000</v>
      </c>
      <c r="I10" s="1007"/>
      <c r="J10" s="815"/>
      <c r="K10" s="788"/>
    </row>
    <row r="11" spans="2:11" ht="52.5" customHeight="1">
      <c r="B11" s="813">
        <v>7</v>
      </c>
      <c r="C11" s="840" t="s">
        <v>306</v>
      </c>
      <c r="D11" s="251" t="s">
        <v>299</v>
      </c>
      <c r="E11" s="251"/>
      <c r="F11" s="1006">
        <v>8000000</v>
      </c>
      <c r="G11" s="1006">
        <v>8000000</v>
      </c>
      <c r="H11" s="1006">
        <v>5500000</v>
      </c>
      <c r="I11" s="1006">
        <f t="shared" si="0"/>
        <v>2500000</v>
      </c>
      <c r="J11" s="815"/>
      <c r="K11" s="788"/>
    </row>
    <row r="12" spans="2:11" ht="52.5" customHeight="1">
      <c r="B12" s="839">
        <v>8</v>
      </c>
      <c r="C12" s="841" t="s">
        <v>307</v>
      </c>
      <c r="D12" s="681" t="s">
        <v>299</v>
      </c>
      <c r="E12" s="681"/>
      <c r="F12" s="1007">
        <v>3200000</v>
      </c>
      <c r="G12" s="1007"/>
      <c r="H12" s="1007"/>
      <c r="I12" s="1007"/>
      <c r="J12" s="838">
        <v>3200000</v>
      </c>
      <c r="K12" s="788"/>
    </row>
    <row r="13" spans="2:11" ht="52.5" customHeight="1">
      <c r="B13" s="813">
        <v>10</v>
      </c>
      <c r="C13" s="841" t="s">
        <v>308</v>
      </c>
      <c r="D13" s="681" t="s">
        <v>299</v>
      </c>
      <c r="E13" s="681"/>
      <c r="F13" s="1007">
        <v>3500000</v>
      </c>
      <c r="G13" s="1007"/>
      <c r="H13" s="1007"/>
      <c r="I13" s="1007"/>
      <c r="J13" s="838">
        <v>3500000</v>
      </c>
      <c r="K13" s="788"/>
    </row>
    <row r="14" spans="2:11" ht="52.5" customHeight="1">
      <c r="B14" s="813">
        <v>11</v>
      </c>
      <c r="C14" s="840" t="s">
        <v>293</v>
      </c>
      <c r="D14" s="251" t="s">
        <v>299</v>
      </c>
      <c r="E14" s="251"/>
      <c r="F14" s="1006">
        <f>11500000+1000000+(45000*45)+5400000</f>
        <v>19925000</v>
      </c>
      <c r="G14" s="1006">
        <f>11500000+1000000+(45000*45)+5400000</f>
        <v>19925000</v>
      </c>
      <c r="H14" s="1006">
        <f>F14*0.35</f>
        <v>6973750</v>
      </c>
      <c r="I14" s="1006">
        <f t="shared" si="0"/>
        <v>12951250</v>
      </c>
      <c r="J14" s="815"/>
      <c r="K14" s="808" t="s">
        <v>296</v>
      </c>
    </row>
    <row r="15" spans="2:11" ht="52.5" customHeight="1">
      <c r="B15" s="813">
        <v>12</v>
      </c>
      <c r="C15" s="840" t="s">
        <v>309</v>
      </c>
      <c r="D15" s="251" t="s">
        <v>299</v>
      </c>
      <c r="E15" s="251"/>
      <c r="F15" s="1007"/>
      <c r="G15" s="1007"/>
      <c r="H15" s="1007"/>
      <c r="I15" s="1007"/>
      <c r="J15" s="815"/>
      <c r="K15" s="808" t="s">
        <v>313</v>
      </c>
    </row>
    <row r="16" spans="2:11" ht="52.5" customHeight="1">
      <c r="B16" s="839">
        <v>13</v>
      </c>
      <c r="C16" s="841" t="s">
        <v>310</v>
      </c>
      <c r="D16" s="681" t="s">
        <v>299</v>
      </c>
      <c r="E16" s="681"/>
      <c r="F16" s="1006">
        <v>2500000</v>
      </c>
      <c r="G16" s="1006"/>
      <c r="H16" s="1006"/>
      <c r="I16" s="1006"/>
      <c r="J16" s="838">
        <v>2500000</v>
      </c>
      <c r="K16" s="809"/>
    </row>
    <row r="17" spans="2:11" ht="52.5" customHeight="1">
      <c r="B17" s="813">
        <v>15</v>
      </c>
      <c r="C17" s="840" t="s">
        <v>311</v>
      </c>
      <c r="D17" s="251" t="s">
        <v>299</v>
      </c>
      <c r="E17" s="251"/>
      <c r="F17" s="1006">
        <v>36000000</v>
      </c>
      <c r="G17" s="1006">
        <v>36000000</v>
      </c>
      <c r="H17" s="1006">
        <f>13500000</f>
        <v>13500000</v>
      </c>
      <c r="I17" s="1006">
        <f t="shared" si="0"/>
        <v>22500000</v>
      </c>
      <c r="J17" s="815"/>
      <c r="K17" s="808" t="s">
        <v>314</v>
      </c>
    </row>
    <row r="18" spans="2:11" ht="52.5" customHeight="1">
      <c r="B18" s="813">
        <v>16</v>
      </c>
      <c r="C18" s="840" t="s">
        <v>292</v>
      </c>
      <c r="D18" s="251" t="s">
        <v>299</v>
      </c>
      <c r="E18" s="251"/>
      <c r="F18" s="1007"/>
      <c r="G18" s="1007"/>
      <c r="H18" s="1007"/>
      <c r="I18" s="1007"/>
      <c r="J18" s="812"/>
      <c r="K18" s="809"/>
    </row>
    <row r="19" spans="2:11" ht="52.5" customHeight="1">
      <c r="B19" s="839">
        <v>18</v>
      </c>
      <c r="C19" s="841" t="s">
        <v>312</v>
      </c>
      <c r="D19" s="681" t="s">
        <v>299</v>
      </c>
      <c r="E19" s="681"/>
      <c r="F19" s="1007">
        <v>3500000</v>
      </c>
      <c r="G19" s="1007"/>
      <c r="H19" s="1007"/>
      <c r="I19" s="1007"/>
      <c r="J19" s="838">
        <v>3500000</v>
      </c>
      <c r="K19" s="924"/>
    </row>
    <row r="20" spans="2:11" ht="52.5" customHeight="1">
      <c r="B20" s="839">
        <v>19</v>
      </c>
      <c r="C20" s="841" t="s">
        <v>291</v>
      </c>
      <c r="D20" s="681" t="s">
        <v>299</v>
      </c>
      <c r="E20" s="681"/>
      <c r="F20" s="1006">
        <f>725*2000</f>
        <v>1450000</v>
      </c>
      <c r="G20" s="1006"/>
      <c r="H20" s="367"/>
      <c r="I20" s="1006"/>
      <c r="J20" s="842">
        <f>725*2000</f>
        <v>1450000</v>
      </c>
      <c r="K20" s="925"/>
    </row>
    <row r="21" spans="2:11" ht="52.5" customHeight="1">
      <c r="B21" s="839"/>
      <c r="C21" s="1010"/>
      <c r="D21" s="1011"/>
      <c r="E21" s="1011"/>
      <c r="F21" s="1006"/>
      <c r="G21" s="1006"/>
      <c r="H21" s="367"/>
      <c r="I21" s="1006"/>
      <c r="J21" s="842"/>
      <c r="K21" s="925"/>
    </row>
    <row r="22" spans="2:11" ht="52.5" customHeight="1">
      <c r="B22" s="787"/>
      <c r="C22" s="816" t="s">
        <v>120</v>
      </c>
      <c r="D22" s="817"/>
      <c r="E22" s="817"/>
      <c r="F22" s="1012">
        <f>SUM(F5:F21)</f>
        <v>127433485</v>
      </c>
      <c r="G22" s="1012">
        <f t="shared" ref="G22:J22" si="3">SUM(G5:G21)</f>
        <v>113283485</v>
      </c>
      <c r="H22" s="1012">
        <f t="shared" si="3"/>
        <v>57125750</v>
      </c>
      <c r="I22" s="1012">
        <f t="shared" si="3"/>
        <v>56157735</v>
      </c>
      <c r="J22" s="1012">
        <f t="shared" si="3"/>
        <v>15932000</v>
      </c>
      <c r="K22" s="926"/>
    </row>
    <row r="23" spans="2:11" ht="13.5" thickBot="1"/>
    <row r="24" spans="2:11" ht="21" thickBot="1">
      <c r="F24" s="1008">
        <f>SUM(F5:F23)</f>
        <v>254866970</v>
      </c>
      <c r="G24" s="1009">
        <f>SUM(G5:G23)</f>
        <v>226566970</v>
      </c>
      <c r="H24" s="1009">
        <f>SUM(H5:H23)</f>
        <v>114251500</v>
      </c>
      <c r="I24" s="1009">
        <f>SUM(I5:I23)</f>
        <v>112315470</v>
      </c>
    </row>
  </sheetData>
  <mergeCells count="2">
    <mergeCell ref="B3:K3"/>
    <mergeCell ref="K19:K22"/>
  </mergeCells>
  <pageMargins left="0.7" right="0.7" top="0.75" bottom="0.75" header="0.3" footer="0.3"/>
  <pageSetup scale="2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A6380-055F-4E71-83C6-6225902A76B4}">
  <sheetPr>
    <pageSetUpPr fitToPage="1"/>
  </sheetPr>
  <dimension ref="A1:X250"/>
  <sheetViews>
    <sheetView view="pageBreakPreview" topLeftCell="A220" zoomScale="60" zoomScaleNormal="20" workbookViewId="0">
      <selection activeCell="D249" sqref="D249"/>
    </sheetView>
  </sheetViews>
  <sheetFormatPr defaultColWidth="9.140625" defaultRowHeight="12.75"/>
  <cols>
    <col min="1" max="1" width="12" style="243" customWidth="1"/>
    <col min="2" max="2" width="94.85546875" style="243" customWidth="1"/>
    <col min="3" max="3" width="22.7109375" style="243" customWidth="1"/>
    <col min="4" max="5" width="21.5703125" style="243" customWidth="1"/>
    <col min="6" max="6" width="25.28515625" style="243" hidden="1" customWidth="1"/>
    <col min="7" max="13" width="28.5703125" style="243" customWidth="1"/>
    <col min="14" max="14" width="25.28515625" style="243" customWidth="1"/>
    <col min="15" max="16384" width="9.140625" style="243"/>
  </cols>
  <sheetData>
    <row r="1" spans="1:24" ht="35.1" customHeight="1" thickBot="1">
      <c r="A1" s="262"/>
      <c r="B1" s="927"/>
      <c r="C1" s="928"/>
      <c r="D1" s="928"/>
      <c r="E1" s="928"/>
      <c r="F1" s="928"/>
      <c r="G1" s="928"/>
      <c r="H1" s="928"/>
      <c r="I1" s="928"/>
      <c r="J1" s="928"/>
      <c r="K1" s="928"/>
      <c r="L1" s="928"/>
      <c r="M1" s="928"/>
      <c r="N1" s="929"/>
    </row>
    <row r="2" spans="1:24" ht="33" customHeight="1">
      <c r="A2" s="930" t="s">
        <v>148</v>
      </c>
      <c r="B2" s="931"/>
      <c r="C2" s="932" t="s">
        <v>149</v>
      </c>
      <c r="D2" s="932"/>
      <c r="E2" s="932"/>
      <c r="F2" s="932"/>
      <c r="G2" s="932"/>
      <c r="H2" s="932"/>
      <c r="I2" s="932"/>
      <c r="J2" s="932"/>
      <c r="K2" s="933"/>
      <c r="L2" s="316"/>
      <c r="M2" s="716"/>
      <c r="N2" s="317">
        <f ca="1">TODAY()</f>
        <v>46010</v>
      </c>
      <c r="R2" s="313">
        <f ca="1">TODAY()</f>
        <v>46010</v>
      </c>
      <c r="X2" s="313">
        <f ca="1">TODAY()</f>
        <v>46010</v>
      </c>
    </row>
    <row r="3" spans="1:24" ht="24" customHeight="1" thickBot="1">
      <c r="A3" s="936" t="s">
        <v>264</v>
      </c>
      <c r="B3" s="937"/>
      <c r="C3" s="934"/>
      <c r="D3" s="934"/>
      <c r="E3" s="934"/>
      <c r="F3" s="934"/>
      <c r="G3" s="934"/>
      <c r="H3" s="934"/>
      <c r="I3" s="934"/>
      <c r="J3" s="934"/>
      <c r="K3" s="935"/>
      <c r="L3" s="717"/>
      <c r="M3" s="718"/>
      <c r="N3" s="719"/>
    </row>
    <row r="4" spans="1:24" ht="66.95" customHeight="1">
      <c r="A4" s="321" t="s">
        <v>2</v>
      </c>
      <c r="B4" s="322" t="s">
        <v>173</v>
      </c>
      <c r="C4" s="709" t="s">
        <v>62</v>
      </c>
      <c r="D4" s="710" t="s">
        <v>64</v>
      </c>
      <c r="E4" s="711" t="s">
        <v>65</v>
      </c>
      <c r="F4" s="322" t="s">
        <v>174</v>
      </c>
      <c r="G4" s="712" t="s">
        <v>175</v>
      </c>
      <c r="H4" s="713">
        <v>46016</v>
      </c>
      <c r="I4" s="714">
        <v>46047</v>
      </c>
      <c r="J4" s="714">
        <v>46078</v>
      </c>
      <c r="K4" s="714">
        <v>46106</v>
      </c>
      <c r="L4" s="714">
        <v>46137</v>
      </c>
      <c r="M4" s="714">
        <v>46167</v>
      </c>
      <c r="N4" s="715"/>
    </row>
    <row r="5" spans="1:24" ht="35.25" customHeight="1">
      <c r="A5" s="263" t="s">
        <v>150</v>
      </c>
      <c r="B5" s="248" t="s">
        <v>151</v>
      </c>
      <c r="C5" s="249"/>
      <c r="D5" s="249"/>
      <c r="E5" s="249"/>
      <c r="F5" s="56">
        <f>'Summary I Tower'!S5</f>
        <v>0</v>
      </c>
      <c r="G5" s="56">
        <v>10000000</v>
      </c>
      <c r="H5" s="56"/>
      <c r="I5" s="56"/>
      <c r="J5" s="300"/>
      <c r="K5" s="300"/>
      <c r="L5" s="244"/>
      <c r="M5" s="244"/>
      <c r="N5" s="289"/>
    </row>
    <row r="6" spans="1:24" ht="33.75" customHeight="1">
      <c r="A6" s="263" t="s">
        <v>152</v>
      </c>
      <c r="B6" s="248" t="s">
        <v>153</v>
      </c>
      <c r="C6" s="249"/>
      <c r="D6" s="249"/>
      <c r="E6" s="249"/>
      <c r="F6" s="56" t="e">
        <f>'Summary L1 Tower'!#REF!</f>
        <v>#REF!</v>
      </c>
      <c r="G6" s="56"/>
      <c r="H6" s="56"/>
      <c r="I6" s="56"/>
      <c r="J6" s="300"/>
      <c r="K6" s="300"/>
      <c r="L6" s="244"/>
      <c r="M6" s="244"/>
      <c r="N6" s="289"/>
    </row>
    <row r="7" spans="1:24" ht="36.950000000000003" customHeight="1">
      <c r="A7" s="263" t="s">
        <v>154</v>
      </c>
      <c r="B7" s="248" t="s">
        <v>155</v>
      </c>
      <c r="C7" s="249"/>
      <c r="D7" s="249"/>
      <c r="E7" s="249"/>
      <c r="F7" s="56"/>
      <c r="G7" s="56"/>
      <c r="H7" s="56"/>
      <c r="I7" s="56"/>
      <c r="J7" s="300"/>
      <c r="K7" s="300"/>
      <c r="L7" s="244"/>
      <c r="M7" s="244"/>
      <c r="N7" s="290"/>
    </row>
    <row r="8" spans="1:24" ht="36" customHeight="1">
      <c r="A8" s="264" t="s">
        <v>156</v>
      </c>
      <c r="B8" s="250" t="s">
        <v>157</v>
      </c>
      <c r="C8" s="249"/>
      <c r="D8" s="249"/>
      <c r="E8" s="249"/>
      <c r="F8" s="56"/>
      <c r="G8" s="56">
        <v>5350498</v>
      </c>
      <c r="H8" s="56"/>
      <c r="I8" s="56"/>
      <c r="J8" s="300"/>
      <c r="K8" s="300"/>
      <c r="L8" s="244"/>
      <c r="M8" s="244"/>
      <c r="N8" s="289"/>
    </row>
    <row r="9" spans="1:24" ht="35.1" customHeight="1">
      <c r="A9" s="264" t="s">
        <v>158</v>
      </c>
      <c r="B9" s="250" t="s">
        <v>159</v>
      </c>
      <c r="C9" s="249"/>
      <c r="D9" s="249"/>
      <c r="E9" s="249"/>
      <c r="F9" s="56">
        <f>'L1 Finishes'!L4</f>
        <v>0</v>
      </c>
      <c r="G9" s="56">
        <f>'L1 Finishes'!M4</f>
        <v>4841552</v>
      </c>
      <c r="H9" s="56">
        <f>'L1 Finishes'!N4</f>
        <v>0</v>
      </c>
      <c r="I9" s="56">
        <f>'L1 Finishes'!O4</f>
        <v>0</v>
      </c>
      <c r="J9" s="300"/>
      <c r="K9" s="300"/>
      <c r="L9" s="242"/>
      <c r="M9" s="242"/>
      <c r="N9" s="312"/>
    </row>
    <row r="10" spans="1:24" ht="36" customHeight="1">
      <c r="A10" s="264" t="s">
        <v>160</v>
      </c>
      <c r="B10" s="250" t="s">
        <v>161</v>
      </c>
      <c r="C10" s="249"/>
      <c r="D10" s="249"/>
      <c r="E10" s="249"/>
      <c r="F10" s="56">
        <f>'L2 Finishes'!K4</f>
        <v>0</v>
      </c>
      <c r="G10" s="56">
        <f>'L2 Finishes'!L4</f>
        <v>0</v>
      </c>
      <c r="H10" s="56">
        <f>'L2 Finishes'!M4</f>
        <v>0</v>
      </c>
      <c r="I10" s="56">
        <f>'L2 Finishes'!N4</f>
        <v>0</v>
      </c>
      <c r="J10" s="300"/>
      <c r="K10" s="301"/>
      <c r="L10" s="270"/>
      <c r="M10" s="270"/>
      <c r="N10" s="291"/>
    </row>
    <row r="11" spans="1:24" ht="36" customHeight="1">
      <c r="A11" s="265"/>
      <c r="B11" s="950" t="s">
        <v>69</v>
      </c>
      <c r="C11" s="951"/>
      <c r="D11" s="951"/>
      <c r="E11" s="952"/>
      <c r="F11" s="326" t="e">
        <f t="shared" ref="F11:I11" si="0">SUM(F5:F10)</f>
        <v>#REF!</v>
      </c>
      <c r="G11" s="326">
        <f t="shared" si="0"/>
        <v>20192050</v>
      </c>
      <c r="H11" s="326">
        <f t="shared" si="0"/>
        <v>0</v>
      </c>
      <c r="I11" s="326">
        <f t="shared" si="0"/>
        <v>0</v>
      </c>
      <c r="J11" s="302"/>
      <c r="K11" s="300"/>
      <c r="L11" s="260"/>
      <c r="M11" s="261"/>
      <c r="N11" s="292"/>
    </row>
    <row r="12" spans="1:24" ht="36" customHeight="1">
      <c r="A12" s="266"/>
      <c r="B12" s="953" t="s">
        <v>162</v>
      </c>
      <c r="C12" s="954"/>
      <c r="D12" s="954"/>
      <c r="E12" s="954"/>
      <c r="F12" s="954"/>
      <c r="G12" s="954"/>
      <c r="H12" s="954"/>
      <c r="I12" s="954"/>
      <c r="J12" s="954"/>
      <c r="K12" s="954"/>
      <c r="L12" s="954"/>
      <c r="M12" s="955"/>
      <c r="N12" s="290"/>
    </row>
    <row r="13" spans="1:24" ht="35.1" customHeight="1">
      <c r="A13" s="136">
        <v>1</v>
      </c>
      <c r="B13" s="132" t="str">
        <f>'I Finishes'!C8</f>
        <v>External Brick Works  (M+L)</v>
      </c>
      <c r="C13" s="135">
        <f>'I Finishes'!G8</f>
        <v>14500000</v>
      </c>
      <c r="D13" s="135">
        <f>'I Finishes'!H8</f>
        <v>14500000</v>
      </c>
      <c r="E13" s="135">
        <f>'I Finishes'!I8</f>
        <v>0</v>
      </c>
      <c r="F13" s="56"/>
      <c r="G13" s="56">
        <f>'I Finishes'!S8</f>
        <v>0</v>
      </c>
      <c r="H13" s="56"/>
      <c r="I13" s="56"/>
      <c r="J13" s="56"/>
      <c r="K13" s="56"/>
      <c r="L13" s="56"/>
      <c r="M13" s="283">
        <f>C13-D13-E13</f>
        <v>0</v>
      </c>
      <c r="N13" s="290"/>
    </row>
    <row r="14" spans="1:24" ht="36" customHeight="1">
      <c r="A14" s="136">
        <v>2</v>
      </c>
      <c r="B14" s="132" t="str">
        <f>'I Finishes'!C9</f>
        <v>Internal Brick Works   (M+L)</v>
      </c>
      <c r="C14" s="135">
        <f>'I Finishes'!G9</f>
        <v>92385014</v>
      </c>
      <c r="D14" s="135">
        <f>'I Finishes'!H9</f>
        <v>93066444</v>
      </c>
      <c r="E14" s="135">
        <f>'I Finishes'!I9</f>
        <v>-681430</v>
      </c>
      <c r="F14" s="56"/>
      <c r="G14" s="56">
        <f>'I Finishes'!S9</f>
        <v>0</v>
      </c>
      <c r="H14" s="56"/>
      <c r="I14" s="56"/>
      <c r="J14" s="56"/>
      <c r="K14" s="56"/>
      <c r="L14" s="56"/>
      <c r="M14" s="283">
        <f t="shared" ref="M14:M77" si="1">C14-D14-E14</f>
        <v>0</v>
      </c>
      <c r="N14" s="289"/>
    </row>
    <row r="15" spans="1:24" ht="36" customHeight="1">
      <c r="A15" s="136">
        <v>3</v>
      </c>
      <c r="B15" s="132" t="str">
        <f>'I Finishes'!C10</f>
        <v>Electrical Conduiting   (M+L)</v>
      </c>
      <c r="C15" s="135">
        <f>'I Finishes'!G10</f>
        <v>29485630</v>
      </c>
      <c r="D15" s="135">
        <f>'I Finishes'!H10</f>
        <v>28472773.399999999</v>
      </c>
      <c r="E15" s="135">
        <f>'I Finishes'!I10</f>
        <v>1012856.6000000015</v>
      </c>
      <c r="F15" s="56"/>
      <c r="G15" s="56">
        <f>'I Finishes'!V10</f>
        <v>1012856.6000000015</v>
      </c>
      <c r="H15" s="56">
        <f>'I Finishes'!W10</f>
        <v>0</v>
      </c>
      <c r="I15" s="56">
        <f>'I Finishes'!X10</f>
        <v>0</v>
      </c>
      <c r="J15" s="56">
        <f>'I Finishes'!Y10</f>
        <v>0</v>
      </c>
      <c r="K15" s="56"/>
      <c r="L15" s="56"/>
      <c r="M15" s="283">
        <f t="shared" si="1"/>
        <v>0</v>
      </c>
      <c r="N15" s="289">
        <f t="shared" ref="N15:N45" si="2">E15-G15-H15-I15-J15-K15</f>
        <v>0</v>
      </c>
    </row>
    <row r="16" spans="1:24" ht="35.1" customHeight="1">
      <c r="A16" s="136">
        <v>4</v>
      </c>
      <c r="B16" s="132" t="str">
        <f>'I Finishes'!C11</f>
        <v>Plumbing  Conduiting   (M+L)</v>
      </c>
      <c r="C16" s="135">
        <f>'I Finishes'!G11</f>
        <v>23645601</v>
      </c>
      <c r="D16" s="135">
        <f>'I Finishes'!H11</f>
        <v>21009948</v>
      </c>
      <c r="E16" s="135">
        <f>'I Finishes'!I11</f>
        <v>2635653</v>
      </c>
      <c r="F16" s="56"/>
      <c r="G16" s="56">
        <f>'I Finishes'!V11</f>
        <v>2635653</v>
      </c>
      <c r="H16" s="56">
        <f>'I Finishes'!W11</f>
        <v>0</v>
      </c>
      <c r="I16" s="56">
        <f>'I Finishes'!X11</f>
        <v>0</v>
      </c>
      <c r="J16" s="56">
        <f>'I Finishes'!Y11</f>
        <v>0</v>
      </c>
      <c r="K16" s="56"/>
      <c r="L16" s="56"/>
      <c r="M16" s="283">
        <f t="shared" si="1"/>
        <v>0</v>
      </c>
      <c r="N16" s="289">
        <f t="shared" si="2"/>
        <v>0</v>
      </c>
    </row>
    <row r="17" spans="1:14" ht="41.25" customHeight="1">
      <c r="A17" s="722">
        <v>5</v>
      </c>
      <c r="B17" s="132" t="str">
        <f>'I Finishes'!C12</f>
        <v>SOIL, WASTE VENT AND RAIN WATER DRAINAGE SYSTEM  (M)</v>
      </c>
      <c r="C17" s="135">
        <f>'I Finishes'!G12</f>
        <v>19367707</v>
      </c>
      <c r="D17" s="135">
        <f>'I Finishes'!H12</f>
        <v>19362936</v>
      </c>
      <c r="E17" s="135">
        <f>'I Finishes'!I12</f>
        <v>4771</v>
      </c>
      <c r="F17" s="56"/>
      <c r="G17" s="56">
        <f>'I Finishes'!V12</f>
        <v>4771</v>
      </c>
      <c r="H17" s="56">
        <f>'I Finishes'!W12</f>
        <v>0</v>
      </c>
      <c r="I17" s="56">
        <f>'I Finishes'!X12</f>
        <v>0</v>
      </c>
      <c r="J17" s="56">
        <f>'I Finishes'!Y12</f>
        <v>0</v>
      </c>
      <c r="K17" s="56"/>
      <c r="L17" s="56"/>
      <c r="M17" s="283">
        <f t="shared" si="1"/>
        <v>0</v>
      </c>
      <c r="N17" s="289">
        <f t="shared" si="2"/>
        <v>0</v>
      </c>
    </row>
    <row r="18" spans="1:14" ht="36" customHeight="1">
      <c r="A18" s="136">
        <v>6</v>
      </c>
      <c r="B18" s="132" t="str">
        <f>'I Finishes'!C13</f>
        <v>PCC   (M+L)</v>
      </c>
      <c r="C18" s="135">
        <f>'I Finishes'!G13</f>
        <v>27569921</v>
      </c>
      <c r="D18" s="135">
        <f>'I Finishes'!H13</f>
        <v>26661230</v>
      </c>
      <c r="E18" s="135">
        <f>'I Finishes'!I13</f>
        <v>908691</v>
      </c>
      <c r="F18" s="56"/>
      <c r="G18" s="56">
        <f>'I Finishes'!V13</f>
        <v>908691</v>
      </c>
      <c r="H18" s="56">
        <f>'I Finishes'!W13</f>
        <v>0</v>
      </c>
      <c r="I18" s="56">
        <f>'I Finishes'!X13</f>
        <v>0</v>
      </c>
      <c r="J18" s="56">
        <f>'I Finishes'!Y13</f>
        <v>0</v>
      </c>
      <c r="K18" s="56"/>
      <c r="L18" s="56"/>
      <c r="M18" s="283">
        <f t="shared" si="1"/>
        <v>0</v>
      </c>
      <c r="N18" s="289">
        <f t="shared" si="2"/>
        <v>0</v>
      </c>
    </row>
    <row r="19" spans="1:14" ht="36" customHeight="1">
      <c r="A19" s="136">
        <v>7</v>
      </c>
      <c r="B19" s="132" t="str">
        <f>'I Finishes'!C14</f>
        <v>External Plaster  (M+L)</v>
      </c>
      <c r="C19" s="135">
        <f>'I Finishes'!G14</f>
        <v>6841856</v>
      </c>
      <c r="D19" s="135">
        <f>'I Finishes'!H14</f>
        <v>3712137</v>
      </c>
      <c r="E19" s="135">
        <f>'I Finishes'!I14</f>
        <v>3129719</v>
      </c>
      <c r="F19" s="56"/>
      <c r="G19" s="56">
        <f>'I Finishes'!V14</f>
        <v>3129719</v>
      </c>
      <c r="H19" s="56">
        <f>'I Finishes'!W14</f>
        <v>0</v>
      </c>
      <c r="I19" s="56">
        <f>'I Finishes'!X14</f>
        <v>0</v>
      </c>
      <c r="J19" s="56">
        <f>'I Finishes'!Y14</f>
        <v>0</v>
      </c>
      <c r="K19" s="56"/>
      <c r="L19" s="56"/>
      <c r="M19" s="283">
        <f t="shared" si="1"/>
        <v>0</v>
      </c>
      <c r="N19" s="289">
        <f t="shared" si="2"/>
        <v>0</v>
      </c>
    </row>
    <row r="20" spans="1:14" ht="35.1" customHeight="1">
      <c r="A20" s="136">
        <v>8</v>
      </c>
      <c r="B20" s="132" t="str">
        <f>'I Finishes'!C15</f>
        <v>Internal Plaster   (M+L)</v>
      </c>
      <c r="C20" s="135">
        <f>'I Finishes'!G15</f>
        <v>57158144</v>
      </c>
      <c r="D20" s="135">
        <f>'I Finishes'!H15</f>
        <v>44216742</v>
      </c>
      <c r="E20" s="135">
        <f>'I Finishes'!I15</f>
        <v>12941402</v>
      </c>
      <c r="F20" s="56"/>
      <c r="G20" s="56">
        <f>'I Finishes'!V15</f>
        <v>6470701</v>
      </c>
      <c r="H20" s="56">
        <f>'I Finishes'!W15</f>
        <v>6470701</v>
      </c>
      <c r="I20" s="56">
        <f>'I Finishes'!X15</f>
        <v>0</v>
      </c>
      <c r="J20" s="56">
        <f>'I Finishes'!Y15</f>
        <v>0</v>
      </c>
      <c r="K20" s="56"/>
      <c r="L20" s="56"/>
      <c r="M20" s="283">
        <f t="shared" si="1"/>
        <v>0</v>
      </c>
      <c r="N20" s="289"/>
    </row>
    <row r="21" spans="1:14" ht="36" customHeight="1">
      <c r="A21" s="136">
        <v>9</v>
      </c>
      <c r="B21" s="132" t="str">
        <f>'I Finishes'!C16</f>
        <v>Boundary Wall    (M+L)</v>
      </c>
      <c r="C21" s="135">
        <f>'I Finishes'!G16</f>
        <v>25545140</v>
      </c>
      <c r="D21" s="135">
        <f>'I Finishes'!H16</f>
        <v>23545140</v>
      </c>
      <c r="E21" s="135">
        <f>'I Finishes'!I16</f>
        <v>2000000</v>
      </c>
      <c r="F21" s="56"/>
      <c r="G21" s="56">
        <f>'I Finishes'!V16</f>
        <v>2000000</v>
      </c>
      <c r="H21" s="56">
        <f>'I Finishes'!W16</f>
        <v>0</v>
      </c>
      <c r="I21" s="56">
        <f>'I Finishes'!X16</f>
        <v>0</v>
      </c>
      <c r="J21" s="56">
        <f>'I Finishes'!Y16</f>
        <v>0</v>
      </c>
      <c r="K21" s="56"/>
      <c r="L21" s="56"/>
      <c r="M21" s="283">
        <f t="shared" si="1"/>
        <v>0</v>
      </c>
      <c r="N21" s="289"/>
    </row>
    <row r="22" spans="1:14" ht="36" customHeight="1">
      <c r="A22" s="136">
        <v>10</v>
      </c>
      <c r="B22" s="132" t="str">
        <f>'I Finishes'!C17</f>
        <v>Subcontract Electrical   (L)</v>
      </c>
      <c r="C22" s="135">
        <f>'I Finishes'!G17</f>
        <v>21095340</v>
      </c>
      <c r="D22" s="135">
        <f>'I Finishes'!H17</f>
        <v>5900615.5</v>
      </c>
      <c r="E22" s="135">
        <f>'I Finishes'!I17</f>
        <v>15194724.5</v>
      </c>
      <c r="F22" s="56"/>
      <c r="G22" s="56">
        <f>'I Finishes'!V17</f>
        <v>3475516.1818181798</v>
      </c>
      <c r="H22" s="56">
        <f>'I Finishes'!W17</f>
        <v>4475516.1818181798</v>
      </c>
      <c r="I22" s="56">
        <f>'I Finishes'!X17</f>
        <v>5258330.1818181798</v>
      </c>
      <c r="J22" s="56">
        <f>'I Finishes'!Y17</f>
        <v>1985361.9545454606</v>
      </c>
      <c r="K22" s="56"/>
      <c r="L22" s="56"/>
      <c r="M22" s="283">
        <f t="shared" si="1"/>
        <v>0</v>
      </c>
      <c r="N22" s="720"/>
    </row>
    <row r="23" spans="1:14" ht="35.1" customHeight="1">
      <c r="A23" s="136">
        <v>11</v>
      </c>
      <c r="B23" s="132" t="str">
        <f>'I Finishes'!C18</f>
        <v>Subcontract Plumbing    (L)</v>
      </c>
      <c r="C23" s="135">
        <f>'I Finishes'!G18</f>
        <v>25674500</v>
      </c>
      <c r="D23" s="135">
        <f>'I Finishes'!H18</f>
        <v>10860374.5</v>
      </c>
      <c r="E23" s="135">
        <f>'I Finishes'!I18</f>
        <v>14814125.5</v>
      </c>
      <c r="F23" s="56"/>
      <c r="G23" s="56">
        <f>'I Finishes'!V18</f>
        <v>3219511.4545454499</v>
      </c>
      <c r="H23" s="56">
        <f>'I Finishes'!W18</f>
        <v>5219511.4545454504</v>
      </c>
      <c r="I23" s="56">
        <f>'I Finishes'!X18</f>
        <v>5219511.4545454504</v>
      </c>
      <c r="J23" s="56">
        <f>'I Finishes'!Y18</f>
        <v>1155591.1363636497</v>
      </c>
      <c r="K23" s="56"/>
      <c r="L23" s="56"/>
      <c r="M23" s="283">
        <f t="shared" si="1"/>
        <v>0</v>
      </c>
      <c r="N23" s="289"/>
    </row>
    <row r="24" spans="1:14" ht="36" customHeight="1">
      <c r="A24" s="136">
        <v>12</v>
      </c>
      <c r="B24" s="132" t="str">
        <f>'I Finishes'!C19</f>
        <v>CABLE CONTAINMENT   (M)</v>
      </c>
      <c r="C24" s="135">
        <f>'I Finishes'!G19</f>
        <v>19470000</v>
      </c>
      <c r="D24" s="135">
        <f>'I Finishes'!H19</f>
        <v>16502692</v>
      </c>
      <c r="E24" s="135">
        <f>C24-D24</f>
        <v>2967308</v>
      </c>
      <c r="F24" s="56"/>
      <c r="G24" s="56">
        <f>'I Finishes'!V19</f>
        <v>0</v>
      </c>
      <c r="H24" s="56">
        <f>'I Finishes'!W19</f>
        <v>0</v>
      </c>
      <c r="I24" s="56">
        <f>'I Finishes'!X19</f>
        <v>0</v>
      </c>
      <c r="J24" s="56">
        <f>'I Finishes'!Y19</f>
        <v>0</v>
      </c>
      <c r="K24" s="56"/>
      <c r="L24" s="56"/>
      <c r="M24" s="283">
        <f t="shared" si="1"/>
        <v>0</v>
      </c>
      <c r="N24" s="289"/>
    </row>
    <row r="25" spans="1:14" ht="36" customHeight="1">
      <c r="A25" s="136">
        <v>13</v>
      </c>
      <c r="B25" s="132" t="str">
        <f>'I Finishes'!C20</f>
        <v>Subcontract Firefighting     (L)</v>
      </c>
      <c r="C25" s="135">
        <f>'I Finishes'!G20</f>
        <v>5000000</v>
      </c>
      <c r="D25" s="135">
        <f>'I Finishes'!H20</f>
        <v>3898568</v>
      </c>
      <c r="E25" s="135">
        <f>'I Finishes'!I20</f>
        <v>1101432</v>
      </c>
      <c r="F25" s="56"/>
      <c r="G25" s="56">
        <f>'I Finishes'!V20</f>
        <v>0</v>
      </c>
      <c r="H25" s="56">
        <f>'I Finishes'!W20</f>
        <v>1101432</v>
      </c>
      <c r="I25" s="56">
        <f>'I Finishes'!X20</f>
        <v>0</v>
      </c>
      <c r="J25" s="56">
        <f>'I Finishes'!Y20</f>
        <v>0</v>
      </c>
      <c r="K25" s="56"/>
      <c r="L25" s="56"/>
      <c r="M25" s="283">
        <f t="shared" si="1"/>
        <v>0</v>
      </c>
      <c r="N25" s="289"/>
    </row>
    <row r="26" spans="1:14" ht="40.5" customHeight="1">
      <c r="A26" s="136">
        <v>14</v>
      </c>
      <c r="B26" s="132" t="str">
        <f>'I Finishes'!C21</f>
        <v xml:space="preserve"> FSS Works (Piping)    (M)</v>
      </c>
      <c r="C26" s="135">
        <f>'I Finishes'!G21</f>
        <v>18686350</v>
      </c>
      <c r="D26" s="135">
        <f>'I Finishes'!H21</f>
        <v>15616841</v>
      </c>
      <c r="E26" s="135">
        <f>'I Finishes'!I21</f>
        <v>3069509</v>
      </c>
      <c r="F26" s="56"/>
      <c r="G26" s="56">
        <f>'I Finishes'!V21</f>
        <v>3451813</v>
      </c>
      <c r="H26" s="56">
        <f>'I Finishes'!W21</f>
        <v>0</v>
      </c>
      <c r="I26" s="56">
        <f>'I Finishes'!X21</f>
        <v>0</v>
      </c>
      <c r="J26" s="56">
        <f>'I Finishes'!Y21</f>
        <v>0</v>
      </c>
      <c r="K26" s="56"/>
      <c r="L26" s="56"/>
      <c r="M26" s="283">
        <f t="shared" si="1"/>
        <v>0</v>
      </c>
      <c r="N26" s="289"/>
    </row>
    <row r="27" spans="1:14" ht="36" customHeight="1">
      <c r="A27" s="136">
        <v>15</v>
      </c>
      <c r="B27" s="132" t="str">
        <f>'I Finishes'!C22</f>
        <v>Subcontract HVAC      (M+L)</v>
      </c>
      <c r="C27" s="135">
        <f>'I Finishes'!G22</f>
        <v>11000000</v>
      </c>
      <c r="D27" s="135">
        <f>'I Finishes'!H22</f>
        <v>7206637</v>
      </c>
      <c r="E27" s="135">
        <f>'I Finishes'!I22</f>
        <v>3793363</v>
      </c>
      <c r="F27" s="56"/>
      <c r="G27" s="56">
        <f>'I Finishes'!V22</f>
        <v>1921400</v>
      </c>
      <c r="H27" s="56">
        <f>'I Finishes'!W22</f>
        <v>1871963</v>
      </c>
      <c r="I27" s="56">
        <f>'I Finishes'!X22</f>
        <v>0</v>
      </c>
      <c r="J27" s="56">
        <f>'I Finishes'!Y22</f>
        <v>0</v>
      </c>
      <c r="K27" s="56"/>
      <c r="L27" s="56"/>
      <c r="M27" s="283">
        <f t="shared" si="1"/>
        <v>0</v>
      </c>
      <c r="N27" s="289"/>
    </row>
    <row r="28" spans="1:14" ht="36" customHeight="1">
      <c r="A28" s="136">
        <v>16</v>
      </c>
      <c r="B28" s="132" t="str">
        <f>'I Finishes'!C23</f>
        <v>Copper Pipe + Accessories       (M+L)</v>
      </c>
      <c r="C28" s="135">
        <f>'I Finishes'!G23</f>
        <v>20000000</v>
      </c>
      <c r="D28" s="135">
        <f>'I Finishes'!H23</f>
        <v>17529297</v>
      </c>
      <c r="E28" s="135">
        <f>'I Finishes'!I23</f>
        <v>2470703</v>
      </c>
      <c r="F28" s="56"/>
      <c r="G28" s="56">
        <f>'I Finishes'!V23</f>
        <v>2900000</v>
      </c>
      <c r="H28" s="56">
        <f>'I Finishes'!W23</f>
        <v>1418948</v>
      </c>
      <c r="I28" s="56">
        <f>'I Finishes'!X23</f>
        <v>0</v>
      </c>
      <c r="J28" s="56">
        <f>'I Finishes'!Y23</f>
        <v>0</v>
      </c>
      <c r="K28" s="56"/>
      <c r="L28" s="56"/>
      <c r="M28" s="283">
        <f t="shared" si="1"/>
        <v>0</v>
      </c>
      <c r="N28" s="289"/>
    </row>
    <row r="29" spans="1:14" ht="40.5" customHeight="1">
      <c r="A29" s="137">
        <v>17</v>
      </c>
      <c r="B29" s="126" t="str">
        <f>'I Finishes'!C24</f>
        <v>LPG Works      (M)</v>
      </c>
      <c r="C29" s="115">
        <f>'I Finishes'!G24</f>
        <v>6500000</v>
      </c>
      <c r="D29" s="115">
        <f>'I Finishes'!H24</f>
        <v>4047317</v>
      </c>
      <c r="E29" s="115">
        <f>'I Finishes'!I24</f>
        <v>2452683</v>
      </c>
      <c r="F29" s="56"/>
      <c r="G29" s="56"/>
      <c r="H29" s="56">
        <v>2452683</v>
      </c>
      <c r="I29" s="56">
        <f>'I Finishes'!X24</f>
        <v>0</v>
      </c>
      <c r="J29" s="56">
        <f>'I Finishes'!Y24</f>
        <v>0</v>
      </c>
      <c r="K29" s="56"/>
      <c r="L29" s="56"/>
      <c r="M29" s="283">
        <f t="shared" si="1"/>
        <v>0</v>
      </c>
      <c r="N29" s="289"/>
    </row>
    <row r="30" spans="1:14" ht="35.1" customHeight="1">
      <c r="A30" s="136">
        <v>18</v>
      </c>
      <c r="B30" s="132" t="str">
        <f>'I Finishes'!C25</f>
        <v>WIRING / WIRING ACCESSORIES  (M)</v>
      </c>
      <c r="C30" s="135">
        <f>'I Finishes'!G25</f>
        <v>45147657</v>
      </c>
      <c r="D30" s="135">
        <f>'I Finishes'!H25</f>
        <v>44465806.799999997</v>
      </c>
      <c r="E30" s="135">
        <f>'I Finishes'!I25</f>
        <v>681850.20000000298</v>
      </c>
      <c r="F30" s="56"/>
      <c r="G30" s="56">
        <f>'I Finishes'!V25</f>
        <v>681850.20000000298</v>
      </c>
      <c r="H30" s="56">
        <f>'I Finishes'!W25</f>
        <v>0</v>
      </c>
      <c r="I30" s="56">
        <f>'I Finishes'!X25</f>
        <v>0</v>
      </c>
      <c r="J30" s="56">
        <f>'I Finishes'!Y25</f>
        <v>0</v>
      </c>
      <c r="K30" s="56"/>
      <c r="L30" s="56"/>
      <c r="M30" s="283">
        <f t="shared" si="1"/>
        <v>0</v>
      </c>
      <c r="N30" s="289"/>
    </row>
    <row r="31" spans="1:14" ht="36.950000000000003" customHeight="1">
      <c r="A31" s="136">
        <v>19</v>
      </c>
      <c r="B31" s="132" t="str">
        <f>'I Finishes'!C26</f>
        <v>MAIN / SUB-MAIN CABLES    (M)</v>
      </c>
      <c r="C31" s="135">
        <f>'I Finishes'!G26</f>
        <v>17180375</v>
      </c>
      <c r="D31" s="135">
        <f>'I Finishes'!H26</f>
        <v>16973827.199999999</v>
      </c>
      <c r="E31" s="135">
        <f>'I Finishes'!I26</f>
        <v>206547.80000000075</v>
      </c>
      <c r="F31" s="56"/>
      <c r="G31" s="56">
        <f>'I Finishes'!V26</f>
        <v>206547.80000000075</v>
      </c>
      <c r="H31" s="56">
        <f>'I Finishes'!W26</f>
        <v>0</v>
      </c>
      <c r="I31" s="56">
        <f>'I Finishes'!X26</f>
        <v>0</v>
      </c>
      <c r="J31" s="56">
        <f>'I Finishes'!Y26</f>
        <v>0</v>
      </c>
      <c r="K31" s="56"/>
      <c r="L31" s="56"/>
      <c r="M31" s="283">
        <f t="shared" si="1"/>
        <v>0</v>
      </c>
      <c r="N31" s="289"/>
    </row>
    <row r="32" spans="1:14" ht="36" customHeight="1">
      <c r="A32" s="137">
        <v>20</v>
      </c>
      <c r="B32" s="126" t="str">
        <f>'I Finishes'!C27</f>
        <v>VOICE &amp; DATA COMMUNICATION  (M+L)</v>
      </c>
      <c r="C32" s="115">
        <f>'I Finishes'!G27</f>
        <v>5537660</v>
      </c>
      <c r="D32" s="115">
        <f>'I Finishes'!H27</f>
        <v>4688280</v>
      </c>
      <c r="E32" s="115">
        <f>'I Finishes'!I27</f>
        <v>849380</v>
      </c>
      <c r="F32" s="56"/>
      <c r="G32" s="56"/>
      <c r="H32" s="56">
        <v>849380</v>
      </c>
      <c r="I32" s="56">
        <f>'I Finishes'!X27</f>
        <v>0</v>
      </c>
      <c r="J32" s="56">
        <f>'I Finishes'!Y27</f>
        <v>0</v>
      </c>
      <c r="K32" s="56"/>
      <c r="L32" s="56"/>
      <c r="M32" s="283">
        <f t="shared" si="1"/>
        <v>0</v>
      </c>
      <c r="N32" s="289"/>
    </row>
    <row r="33" spans="1:14" ht="36" customHeight="1">
      <c r="A33" s="136">
        <v>21</v>
      </c>
      <c r="B33" s="132" t="str">
        <f>'I Finishes'!C28</f>
        <v>Pipes for Water Supply and fitting    (M)</v>
      </c>
      <c r="C33" s="135">
        <f>'I Finishes'!G28</f>
        <v>13000000</v>
      </c>
      <c r="D33" s="135">
        <f>'I Finishes'!H28</f>
        <v>12212832.6</v>
      </c>
      <c r="E33" s="135">
        <f>'I Finishes'!I28</f>
        <v>787167.40000000037</v>
      </c>
      <c r="F33" s="56"/>
      <c r="G33" s="56">
        <f>'I Finishes'!V28</f>
        <v>0</v>
      </c>
      <c r="H33" s="56">
        <f>'I Finishes'!W28</f>
        <v>787167.40000000037</v>
      </c>
      <c r="I33" s="56">
        <f>'I Finishes'!X28</f>
        <v>0</v>
      </c>
      <c r="J33" s="56">
        <f>'I Finishes'!Y28</f>
        <v>0</v>
      </c>
      <c r="K33" s="56"/>
      <c r="L33" s="56"/>
      <c r="M33" s="283">
        <f t="shared" si="1"/>
        <v>0</v>
      </c>
      <c r="N33" s="289"/>
    </row>
    <row r="34" spans="1:14" ht="36" customHeight="1">
      <c r="A34" s="648">
        <v>22</v>
      </c>
      <c r="B34" s="679" t="str">
        <f>'I Finishes'!C29</f>
        <v>Elevator    (M+L)</v>
      </c>
      <c r="C34" s="649">
        <f>'I Finishes'!G29</f>
        <v>49036000</v>
      </c>
      <c r="D34" s="649">
        <f>'I Finishes'!H29</f>
        <v>17800000</v>
      </c>
      <c r="E34" s="649">
        <f>'I Finishes'!I29</f>
        <v>31236000</v>
      </c>
      <c r="F34" s="650"/>
      <c r="G34" s="650">
        <f>'I Finishes'!V29</f>
        <v>26004500</v>
      </c>
      <c r="H34" s="650">
        <f>'I Finishes'!W29</f>
        <v>5231500</v>
      </c>
      <c r="I34" s="650">
        <f>'I Finishes'!X29</f>
        <v>0</v>
      </c>
      <c r="J34" s="650">
        <f>'I Finishes'!Y29</f>
        <v>0</v>
      </c>
      <c r="K34" s="650"/>
      <c r="L34" s="650"/>
      <c r="M34" s="283">
        <f t="shared" si="1"/>
        <v>0</v>
      </c>
      <c r="N34" s="289"/>
    </row>
    <row r="35" spans="1:14" ht="35.1" hidden="1" customHeight="1">
      <c r="A35" s="59">
        <v>23</v>
      </c>
      <c r="B35" s="132" t="str">
        <f>'I Finishes'!C30</f>
        <v>BORE WELL WATER SUPPLY SYSTEM   (M+L)</v>
      </c>
      <c r="C35" s="135">
        <f>'I Finishes'!G30</f>
        <v>0</v>
      </c>
      <c r="D35" s="135">
        <f>'I Finishes'!H30</f>
        <v>0</v>
      </c>
      <c r="E35" s="135">
        <f>'I Finishes'!I30</f>
        <v>0</v>
      </c>
      <c r="F35" s="56"/>
      <c r="G35" s="56">
        <f>'I Finishes'!V30</f>
        <v>6174790</v>
      </c>
      <c r="H35" s="56">
        <f>'I Finishes'!W30</f>
        <v>6174790</v>
      </c>
      <c r="I35" s="56">
        <f>'I Finishes'!X30</f>
        <v>0</v>
      </c>
      <c r="J35" s="56">
        <f>'I Finishes'!Y30</f>
        <v>0</v>
      </c>
      <c r="K35" s="56"/>
      <c r="L35" s="56"/>
      <c r="M35" s="283">
        <f t="shared" si="1"/>
        <v>0</v>
      </c>
      <c r="N35" s="289"/>
    </row>
    <row r="36" spans="1:14" ht="36" customHeight="1">
      <c r="A36" s="164">
        <v>24</v>
      </c>
      <c r="B36" s="132" t="str">
        <f>'I Finishes'!C31</f>
        <v>Aluminum Work   (M+L)</v>
      </c>
      <c r="C36" s="135">
        <f>'I Finishes'!G31</f>
        <v>68331343</v>
      </c>
      <c r="D36" s="135">
        <f>'I Finishes'!H31</f>
        <v>31452514</v>
      </c>
      <c r="E36" s="135">
        <f>'I Finishes'!I31</f>
        <v>36878829</v>
      </c>
      <c r="F36" s="56"/>
      <c r="G36" s="56"/>
      <c r="H36" s="56">
        <f>'I Finishes'!W31</f>
        <v>17000000</v>
      </c>
      <c r="I36" s="56">
        <v>12000000</v>
      </c>
      <c r="J36" s="56">
        <f>'I Finishes'!Y31</f>
        <v>8248507</v>
      </c>
      <c r="K36" s="56"/>
      <c r="L36" s="56"/>
      <c r="M36" s="283">
        <f t="shared" si="1"/>
        <v>0</v>
      </c>
      <c r="N36" s="289"/>
    </row>
    <row r="37" spans="1:14" ht="36" customHeight="1">
      <c r="A37" s="164" t="s">
        <v>86</v>
      </c>
      <c r="B37" s="132" t="str">
        <f>'I Finishes'!C32</f>
        <v>Glass Work   (M+L)</v>
      </c>
      <c r="C37" s="135">
        <f>'I Finishes'!G32</f>
        <v>31460182</v>
      </c>
      <c r="D37" s="135">
        <f>'I Finishes'!H32</f>
        <v>7865045.5</v>
      </c>
      <c r="E37" s="135">
        <f>'I Finishes'!I32</f>
        <v>23595136.5</v>
      </c>
      <c r="F37" s="56"/>
      <c r="G37" s="56">
        <f>'I Finishes'!V32</f>
        <v>8609053.9020000007</v>
      </c>
      <c r="H37" s="56">
        <f>'I Finishes'!W32</f>
        <v>8609053.9020000007</v>
      </c>
      <c r="I37" s="56">
        <f>'I Finishes'!X32</f>
        <v>8609053.9020000007</v>
      </c>
      <c r="J37" s="56">
        <f>'I Finishes'!Y32+23966</f>
        <v>5633019.9019999998</v>
      </c>
      <c r="K37" s="56"/>
      <c r="L37" s="56"/>
      <c r="M37" s="283">
        <f t="shared" si="1"/>
        <v>0</v>
      </c>
      <c r="N37" s="289"/>
    </row>
    <row r="38" spans="1:14" ht="35.1" customHeight="1">
      <c r="A38" s="246" t="s">
        <v>88</v>
      </c>
      <c r="B38" s="126" t="str">
        <f>'I Finishes'!C33</f>
        <v>Balcony Glass Railing  (M+L)</v>
      </c>
      <c r="C38" s="115">
        <v>5269856</v>
      </c>
      <c r="D38" s="135">
        <f>'I Finishes'!H33</f>
        <v>1317464</v>
      </c>
      <c r="E38" s="135">
        <f>'I Finishes'!I33</f>
        <v>5269856</v>
      </c>
      <c r="F38" s="56"/>
      <c r="G38" s="56"/>
      <c r="H38" s="56">
        <v>5269856</v>
      </c>
      <c r="I38" s="56">
        <f>'I Finishes'!X33</f>
        <v>0</v>
      </c>
      <c r="J38" s="56">
        <f>'I Finishes'!Y33</f>
        <v>0</v>
      </c>
      <c r="K38" s="56"/>
      <c r="L38" s="56"/>
      <c r="M38" s="283">
        <f t="shared" si="1"/>
        <v>-1317464</v>
      </c>
      <c r="N38" s="289"/>
    </row>
    <row r="39" spans="1:14" ht="36" customHeight="1">
      <c r="A39" s="136">
        <v>25</v>
      </c>
      <c r="B39" s="132" t="str">
        <f>'I Finishes'!C34</f>
        <v>Ceiling Work    (M+L)</v>
      </c>
      <c r="C39" s="135">
        <f>'I Finishes'!G34</f>
        <v>38171630</v>
      </c>
      <c r="D39" s="135">
        <f>'I Finishes'!H34</f>
        <v>9378967</v>
      </c>
      <c r="E39" s="135">
        <f>'I Finishes'!I34</f>
        <v>28792663</v>
      </c>
      <c r="F39" s="56"/>
      <c r="G39" s="56">
        <f>'I Finishes'!V34</f>
        <v>7094326</v>
      </c>
      <c r="H39" s="56">
        <f>'I Finishes'!W34</f>
        <v>7094326</v>
      </c>
      <c r="I39" s="56">
        <f>'I Finishes'!X34</f>
        <v>6329532</v>
      </c>
      <c r="J39" s="56">
        <f>'I Finishes'!Y34</f>
        <v>3967126</v>
      </c>
      <c r="K39" s="56"/>
      <c r="L39" s="56"/>
      <c r="M39" s="283">
        <f t="shared" si="1"/>
        <v>0</v>
      </c>
      <c r="N39" s="289"/>
    </row>
    <row r="40" spans="1:14" ht="33.950000000000003" customHeight="1">
      <c r="A40" s="136">
        <v>26</v>
      </c>
      <c r="B40" s="132" t="str">
        <f>'I Finishes'!C35</f>
        <v>DISTRIBUTION BOARDS   (M)</v>
      </c>
      <c r="C40" s="135">
        <f>'I Finishes'!G35</f>
        <v>46267080</v>
      </c>
      <c r="D40" s="135">
        <f>'I Finishes'!H35</f>
        <v>25782398</v>
      </c>
      <c r="E40" s="135">
        <f>'I Finishes'!I35</f>
        <v>20484682</v>
      </c>
      <c r="F40" s="56"/>
      <c r="G40" s="56">
        <f>'I Finishes'!V35</f>
        <v>8850000</v>
      </c>
      <c r="H40" s="56">
        <f>'I Finishes'!W35</f>
        <v>8850000</v>
      </c>
      <c r="I40" s="56">
        <f>'I Finishes'!X35</f>
        <v>2784682</v>
      </c>
      <c r="J40" s="56">
        <f>'I Finishes'!Y35</f>
        <v>0</v>
      </c>
      <c r="K40" s="56"/>
      <c r="L40" s="56"/>
      <c r="M40" s="283">
        <f t="shared" si="1"/>
        <v>0</v>
      </c>
      <c r="N40" s="289">
        <f t="shared" si="2"/>
        <v>0</v>
      </c>
    </row>
    <row r="41" spans="1:14" ht="33.950000000000003" customHeight="1">
      <c r="A41" s="136">
        <v>27</v>
      </c>
      <c r="B41" s="132" t="str">
        <f>'I Finishes'!C36</f>
        <v>Paint     (M+L)   Internal</v>
      </c>
      <c r="C41" s="135">
        <f>'I Finishes'!G36</f>
        <v>47509000</v>
      </c>
      <c r="D41" s="135">
        <f>'I Finishes'!H36</f>
        <v>7761441</v>
      </c>
      <c r="E41" s="135">
        <f>'I Finishes'!I36</f>
        <v>39747559</v>
      </c>
      <c r="F41" s="56"/>
      <c r="G41" s="56">
        <f>'I Finishes'!V36</f>
        <v>9850000</v>
      </c>
      <c r="H41" s="56">
        <f>'I Finishes'!W36</f>
        <v>9850000</v>
      </c>
      <c r="I41" s="56">
        <f>'I Finishes'!X36</f>
        <v>9850000</v>
      </c>
      <c r="J41" s="56">
        <f>'I Finishes'!Y36+347559</f>
        <v>10197559</v>
      </c>
      <c r="K41" s="56"/>
      <c r="L41" s="56"/>
      <c r="M41" s="283">
        <f t="shared" si="1"/>
        <v>0</v>
      </c>
      <c r="N41" s="289">
        <f t="shared" si="2"/>
        <v>0</v>
      </c>
    </row>
    <row r="42" spans="1:14" ht="33.950000000000003" customHeight="1">
      <c r="A42" s="136" t="s">
        <v>79</v>
      </c>
      <c r="B42" s="132" t="str">
        <f>'I Finishes'!C37</f>
        <v>Paint     (M+L)  External</v>
      </c>
      <c r="C42" s="135">
        <f>'I Finishes'!G37</f>
        <v>9961998</v>
      </c>
      <c r="D42" s="135">
        <f>'I Finishes'!H37</f>
        <v>2490500</v>
      </c>
      <c r="E42" s="135">
        <f>'I Finishes'!I37</f>
        <v>7471498</v>
      </c>
      <c r="F42" s="56"/>
      <c r="G42" s="56">
        <f>'I Finishes'!V37</f>
        <v>2490499.3333333335</v>
      </c>
      <c r="H42" s="56">
        <f>'I Finishes'!W37</f>
        <v>4980998.666666666</v>
      </c>
      <c r="I42" s="56">
        <f>'I Finishes'!X37</f>
        <v>0</v>
      </c>
      <c r="J42" s="56">
        <f>'I Finishes'!Y37</f>
        <v>0</v>
      </c>
      <c r="K42" s="56"/>
      <c r="L42" s="56"/>
      <c r="M42" s="283">
        <f t="shared" si="1"/>
        <v>0</v>
      </c>
      <c r="N42" s="289">
        <f t="shared" si="2"/>
        <v>0</v>
      </c>
    </row>
    <row r="43" spans="1:14" ht="33.950000000000003" customHeight="1">
      <c r="A43" s="136">
        <v>28</v>
      </c>
      <c r="B43" s="132" t="str">
        <f>'I Finishes'!C38</f>
        <v>Tile  ( M+L)</v>
      </c>
      <c r="C43" s="135">
        <f>'I Finishes'!G38</f>
        <v>153071595</v>
      </c>
      <c r="D43" s="135">
        <f>'I Finishes'!H38</f>
        <v>102919818</v>
      </c>
      <c r="E43" s="135">
        <f>'I Finishes'!I38</f>
        <v>50151777</v>
      </c>
      <c r="F43" s="56"/>
      <c r="G43" s="56">
        <f>'I Finishes'!V38</f>
        <v>7782539</v>
      </c>
      <c r="H43" s="56">
        <f>'I Finishes'!W38</f>
        <v>15782539</v>
      </c>
      <c r="I43" s="56">
        <f>'I Finishes'!X38</f>
        <v>15782539</v>
      </c>
      <c r="J43" s="56">
        <f>'I Finishes'!Y38</f>
        <v>11173895</v>
      </c>
      <c r="K43" s="56"/>
      <c r="L43" s="56"/>
      <c r="M43" s="283">
        <f t="shared" si="1"/>
        <v>0</v>
      </c>
      <c r="N43" s="289"/>
    </row>
    <row r="44" spans="1:14" ht="33.950000000000003" customHeight="1">
      <c r="A44" s="136" t="s">
        <v>82</v>
      </c>
      <c r="B44" s="132" t="str">
        <f>'I Finishes'!C39</f>
        <v>Marble Work      (M+L)</v>
      </c>
      <c r="C44" s="135">
        <f>'I Finishes'!G39</f>
        <v>28315671</v>
      </c>
      <c r="D44" s="135">
        <f>'I Finishes'!H39</f>
        <v>10066031</v>
      </c>
      <c r="E44" s="135">
        <f>'I Finishes'!I39</f>
        <v>18249640</v>
      </c>
      <c r="F44" s="56"/>
      <c r="G44" s="56">
        <f>'I Finishes'!V39</f>
        <v>7000000</v>
      </c>
      <c r="H44" s="56">
        <f>'I Finishes'!W39</f>
        <v>7000000</v>
      </c>
      <c r="I44" s="56">
        <f>'I Finishes'!X39</f>
        <v>4249640</v>
      </c>
      <c r="J44" s="56">
        <f>'I Finishes'!Y39</f>
        <v>0</v>
      </c>
      <c r="K44" s="56"/>
      <c r="L44" s="56"/>
      <c r="M44" s="283">
        <f t="shared" si="1"/>
        <v>0</v>
      </c>
      <c r="N44" s="289">
        <f t="shared" si="2"/>
        <v>0</v>
      </c>
    </row>
    <row r="45" spans="1:14" ht="33.950000000000003" customHeight="1">
      <c r="A45" s="136">
        <v>29</v>
      </c>
      <c r="B45" s="132" t="str">
        <f>'I Finishes'!C40</f>
        <v>BUSWAYS          (M)</v>
      </c>
      <c r="C45" s="135">
        <f>'I Finishes'!G40</f>
        <v>46267080</v>
      </c>
      <c r="D45" s="135">
        <f>'I Finishes'!H40</f>
        <v>9773346</v>
      </c>
      <c r="E45" s="135">
        <f>'I Finishes'!I40</f>
        <v>36493734</v>
      </c>
      <c r="F45" s="56"/>
      <c r="G45" s="56">
        <f>'I Finishes'!V40</f>
        <v>0</v>
      </c>
      <c r="H45" s="56">
        <f>'I Finishes'!W40</f>
        <v>16350000</v>
      </c>
      <c r="I45" s="56">
        <f>'I Finishes'!X40</f>
        <v>20143734</v>
      </c>
      <c r="J45" s="56">
        <f>'I Finishes'!Y40</f>
        <v>0</v>
      </c>
      <c r="K45" s="56"/>
      <c r="L45" s="56"/>
      <c r="M45" s="283">
        <f t="shared" si="1"/>
        <v>0</v>
      </c>
      <c r="N45" s="289">
        <f t="shared" si="2"/>
        <v>0</v>
      </c>
    </row>
    <row r="46" spans="1:14" ht="33.950000000000003" customHeight="1">
      <c r="A46" s="136">
        <v>30</v>
      </c>
      <c r="B46" s="132" t="str">
        <f>'I Finishes'!C41</f>
        <v>Wood Works (M+L)</v>
      </c>
      <c r="C46" s="135">
        <f>'I Finishes'!G41</f>
        <v>210151423</v>
      </c>
      <c r="D46" s="135">
        <f>'I Finishes'!H41</f>
        <v>71697912</v>
      </c>
      <c r="E46" s="135">
        <f>'I Finishes'!I41</f>
        <v>138453511</v>
      </c>
      <c r="F46" s="56"/>
      <c r="G46" s="56">
        <f>'I Finishes'!V41</f>
        <v>38519653.600000001</v>
      </c>
      <c r="H46" s="56">
        <f>'I Finishes'!W41</f>
        <v>38519653.600000001</v>
      </c>
      <c r="I46" s="56">
        <f>'I Finishes'!X41</f>
        <v>38519653.600000001</v>
      </c>
      <c r="J46" s="56">
        <f>'I Finishes'!Y41-15500000</f>
        <v>22894550.20000001</v>
      </c>
      <c r="K46" s="56"/>
      <c r="L46" s="56"/>
      <c r="M46" s="283">
        <f t="shared" si="1"/>
        <v>0</v>
      </c>
      <c r="N46" s="289"/>
    </row>
    <row r="47" spans="1:14" ht="33.950000000000003" hidden="1" customHeight="1">
      <c r="A47" s="61" t="s">
        <v>90</v>
      </c>
      <c r="B47" s="132" t="str">
        <f>'I Finishes'!C42</f>
        <v>Steel Works ( M+L)</v>
      </c>
      <c r="C47" s="135">
        <f>'I Finishes'!G42</f>
        <v>0</v>
      </c>
      <c r="D47" s="135">
        <f>'I Finishes'!H42</f>
        <v>0</v>
      </c>
      <c r="E47" s="135">
        <f>'I Finishes'!I42</f>
        <v>0</v>
      </c>
      <c r="F47" s="56"/>
      <c r="G47" s="56">
        <f>'I Finishes'!V42</f>
        <v>8500000</v>
      </c>
      <c r="H47" s="56">
        <f>'I Finishes'!W42</f>
        <v>7000000</v>
      </c>
      <c r="I47" s="56">
        <f>'I Finishes'!X42</f>
        <v>3500000</v>
      </c>
      <c r="J47" s="56">
        <f>'I Finishes'!Y42</f>
        <v>1000000</v>
      </c>
      <c r="K47" s="56"/>
      <c r="L47" s="56"/>
      <c r="M47" s="283">
        <f t="shared" si="1"/>
        <v>0</v>
      </c>
      <c r="N47" s="289"/>
    </row>
    <row r="48" spans="1:14" ht="33.950000000000003" customHeight="1">
      <c r="A48" s="721">
        <v>31</v>
      </c>
      <c r="B48" s="126" t="str">
        <f>'I Finishes'!C43</f>
        <v>MV+LT PANELS     (M)</v>
      </c>
      <c r="C48" s="115">
        <f>'I Finishes'!G43</f>
        <v>41052919</v>
      </c>
      <c r="D48" s="115">
        <f>'I Finishes'!H43</f>
        <v>10620000</v>
      </c>
      <c r="E48" s="115">
        <f>'I Finishes'!I43</f>
        <v>30432919</v>
      </c>
      <c r="F48" s="56"/>
      <c r="G48" s="56">
        <f>'I Finishes'!V43</f>
        <v>10315340</v>
      </c>
      <c r="H48" s="56">
        <f>'I Finishes'!W43</f>
        <v>0</v>
      </c>
      <c r="I48" s="56">
        <f>'I Finishes'!X43-177761</f>
        <v>20117579</v>
      </c>
      <c r="J48" s="56">
        <f>'I Finishes'!Y43</f>
        <v>0</v>
      </c>
      <c r="K48" s="56"/>
      <c r="L48" s="56"/>
      <c r="M48" s="283">
        <f t="shared" si="1"/>
        <v>0</v>
      </c>
      <c r="N48" s="289"/>
    </row>
    <row r="49" spans="1:14" ht="33.950000000000003" hidden="1" customHeight="1">
      <c r="A49" s="137">
        <v>32</v>
      </c>
      <c r="B49" s="126" t="str">
        <f>'I Finishes'!C44</f>
        <v>DIESEL GENERATOR &amp; ALLIED WORKS   (M+L)</v>
      </c>
      <c r="C49" s="115">
        <f>'I Finishes'!G44</f>
        <v>0</v>
      </c>
      <c r="D49" s="115">
        <f>'I Finishes'!H44</f>
        <v>0</v>
      </c>
      <c r="E49" s="115">
        <f>'I Finishes'!I44</f>
        <v>0</v>
      </c>
      <c r="F49" s="56"/>
      <c r="G49" s="56">
        <f>'I Finishes'!V44</f>
        <v>15000000</v>
      </c>
      <c r="H49" s="56">
        <f>'I Finishes'!W44</f>
        <v>0</v>
      </c>
      <c r="I49" s="56">
        <f>'I Finishes'!X44</f>
        <v>5000000</v>
      </c>
      <c r="J49" s="56">
        <f>'I Finishes'!Y44</f>
        <v>0</v>
      </c>
      <c r="K49" s="56"/>
      <c r="L49" s="56"/>
      <c r="M49" s="283">
        <f t="shared" si="1"/>
        <v>0</v>
      </c>
      <c r="N49" s="289"/>
    </row>
    <row r="50" spans="1:14" ht="33.950000000000003" hidden="1" customHeight="1">
      <c r="A50" s="137">
        <v>33</v>
      </c>
      <c r="B50" s="126" t="str">
        <f>'I Finishes'!C45</f>
        <v>Chute      (M+L)</v>
      </c>
      <c r="C50" s="115">
        <f>'I Finishes'!G45</f>
        <v>0</v>
      </c>
      <c r="D50" s="115">
        <f>'I Finishes'!H45</f>
        <v>0</v>
      </c>
      <c r="E50" s="115">
        <f>'I Finishes'!I45</f>
        <v>0</v>
      </c>
      <c r="F50" s="56"/>
      <c r="G50" s="56">
        <f>'I Finishes'!V45</f>
        <v>5600000</v>
      </c>
      <c r="H50" s="56">
        <f>'I Finishes'!W45</f>
        <v>0</v>
      </c>
      <c r="I50" s="56">
        <f>'I Finishes'!X45</f>
        <v>2400000</v>
      </c>
      <c r="J50" s="56">
        <f>'I Finishes'!Y45</f>
        <v>0</v>
      </c>
      <c r="K50" s="56"/>
      <c r="L50" s="56"/>
      <c r="M50" s="283">
        <f t="shared" si="1"/>
        <v>0</v>
      </c>
      <c r="N50" s="289"/>
    </row>
    <row r="51" spans="1:14" ht="33.950000000000003" hidden="1" customHeight="1">
      <c r="A51" s="137">
        <v>34</v>
      </c>
      <c r="B51" s="126" t="str">
        <f>'I Finishes'!C46</f>
        <v>LPG System  (M+L)</v>
      </c>
      <c r="C51" s="115">
        <f>'I Finishes'!G46</f>
        <v>0</v>
      </c>
      <c r="D51" s="115">
        <f>'I Finishes'!H46</f>
        <v>0</v>
      </c>
      <c r="E51" s="115">
        <f>'I Finishes'!I46</f>
        <v>0</v>
      </c>
      <c r="F51" s="56"/>
      <c r="G51" s="56">
        <f>'I Finishes'!V46</f>
        <v>9219000</v>
      </c>
      <c r="H51" s="56">
        <f>'I Finishes'!W46</f>
        <v>0</v>
      </c>
      <c r="I51" s="56">
        <f>'I Finishes'!X46</f>
        <v>9219000</v>
      </c>
      <c r="J51" s="56">
        <f>'I Finishes'!Y46</f>
        <v>0</v>
      </c>
      <c r="K51" s="56"/>
      <c r="L51" s="56"/>
      <c r="M51" s="283">
        <f t="shared" si="1"/>
        <v>0</v>
      </c>
      <c r="N51" s="289"/>
    </row>
    <row r="52" spans="1:14" ht="33.950000000000003" hidden="1" customHeight="1">
      <c r="A52" s="137">
        <v>35</v>
      </c>
      <c r="B52" s="126" t="str">
        <f>'I Finishes'!C47</f>
        <v>VERTICAL BACKBONE INFRASTRUCTURE (GPON)  (M+L)</v>
      </c>
      <c r="C52" s="115">
        <f>'I Finishes'!G47</f>
        <v>0</v>
      </c>
      <c r="D52" s="115">
        <f>'I Finishes'!H47</f>
        <v>0</v>
      </c>
      <c r="E52" s="115">
        <f>'I Finishes'!I47</f>
        <v>0</v>
      </c>
      <c r="F52" s="56"/>
      <c r="G52" s="56">
        <f>'I Finishes'!V47</f>
        <v>0</v>
      </c>
      <c r="H52" s="56">
        <f>'I Finishes'!W47</f>
        <v>9662940</v>
      </c>
      <c r="I52" s="56">
        <f>'I Finishes'!X47</f>
        <v>4141260</v>
      </c>
      <c r="J52" s="56">
        <f>'I Finishes'!Y47</f>
        <v>0</v>
      </c>
      <c r="K52" s="56"/>
      <c r="L52" s="56"/>
      <c r="M52" s="283">
        <f t="shared" si="1"/>
        <v>0</v>
      </c>
      <c r="N52" s="289"/>
    </row>
    <row r="53" spans="1:14" ht="33.950000000000003" customHeight="1">
      <c r="A53" s="137">
        <v>36</v>
      </c>
      <c r="B53" s="126" t="str">
        <f>'I Finishes'!C48</f>
        <v>SUPPLY OF PLUMBING FIXTURES   (M)</v>
      </c>
      <c r="C53" s="115">
        <f>'I Finishes'!G48</f>
        <v>66000000</v>
      </c>
      <c r="D53" s="115">
        <f>'I Finishes'!H48</f>
        <v>40000000</v>
      </c>
      <c r="E53" s="115">
        <f>'I Finishes'!I48</f>
        <v>26000000</v>
      </c>
      <c r="F53" s="168"/>
      <c r="G53" s="56"/>
      <c r="H53" s="56"/>
      <c r="I53" s="56">
        <f>'I Finishes'!X48</f>
        <v>20000000</v>
      </c>
      <c r="J53" s="56">
        <f>'I Finishes'!Y48</f>
        <v>0</v>
      </c>
      <c r="K53" s="56"/>
      <c r="L53" s="56"/>
      <c r="M53" s="283">
        <f t="shared" si="1"/>
        <v>0</v>
      </c>
      <c r="N53" s="289"/>
    </row>
    <row r="54" spans="1:14" ht="33.950000000000003" hidden="1" customHeight="1">
      <c r="A54" s="138" t="s">
        <v>91</v>
      </c>
      <c r="B54" s="126" t="str">
        <f>'I Finishes'!C49</f>
        <v>Mirror</v>
      </c>
      <c r="C54" s="115">
        <f>'I Finishes'!G49</f>
        <v>0</v>
      </c>
      <c r="D54" s="115">
        <f>'I Finishes'!H49</f>
        <v>0</v>
      </c>
      <c r="E54" s="115">
        <f>'I Finishes'!I49</f>
        <v>0</v>
      </c>
      <c r="F54" s="56"/>
      <c r="G54" s="56">
        <f>'I Finishes'!V49</f>
        <v>1800000</v>
      </c>
      <c r="H54" s="56">
        <f>'I Finishes'!W49</f>
        <v>1800000</v>
      </c>
      <c r="I54" s="56">
        <f>'I Finishes'!X49</f>
        <v>900000</v>
      </c>
      <c r="J54" s="56">
        <f>'I Finishes'!Y49</f>
        <v>0</v>
      </c>
      <c r="K54" s="56"/>
      <c r="L54" s="56"/>
      <c r="M54" s="283">
        <f t="shared" si="1"/>
        <v>0</v>
      </c>
      <c r="N54" s="289"/>
    </row>
    <row r="55" spans="1:14" ht="33.950000000000003" customHeight="1">
      <c r="A55" s="138" t="s">
        <v>93</v>
      </c>
      <c r="B55" s="126" t="str">
        <f>'I Finishes'!C50</f>
        <v>Shower Cabin</v>
      </c>
      <c r="C55" s="115">
        <f>'I Finishes'!G50</f>
        <v>5846400</v>
      </c>
      <c r="D55" s="115">
        <f>'I Finishes'!H50</f>
        <v>1461600</v>
      </c>
      <c r="E55" s="115">
        <f>'I Finishes'!I50</f>
        <v>4384800</v>
      </c>
      <c r="F55" s="56"/>
      <c r="G55" s="56"/>
      <c r="H55" s="56">
        <v>5846400</v>
      </c>
      <c r="I55" s="56"/>
      <c r="J55" s="56">
        <f>'I Finishes'!Y50</f>
        <v>0</v>
      </c>
      <c r="K55" s="56"/>
      <c r="L55" s="56"/>
      <c r="M55" s="283">
        <f t="shared" si="1"/>
        <v>0</v>
      </c>
      <c r="N55" s="289"/>
    </row>
    <row r="56" spans="1:14" ht="33.950000000000003" hidden="1" customHeight="1">
      <c r="A56" s="137">
        <v>37</v>
      </c>
      <c r="B56" s="126" t="str">
        <f>'I Finishes'!C51</f>
        <v>MEDIUM VOLTAGE CABLES &amp; TERMINATION KITS  (M)</v>
      </c>
      <c r="C56" s="115">
        <f>'I Finishes'!G51</f>
        <v>0</v>
      </c>
      <c r="D56" s="115">
        <f>'I Finishes'!H51</f>
        <v>0</v>
      </c>
      <c r="E56" s="115">
        <f>'I Finishes'!I51</f>
        <v>0</v>
      </c>
      <c r="F56" s="56"/>
      <c r="G56" s="56">
        <f>'I Finishes'!V51</f>
        <v>0</v>
      </c>
      <c r="H56" s="56">
        <f>'I Finishes'!W51</f>
        <v>0</v>
      </c>
      <c r="I56" s="56">
        <f>'I Finishes'!X51</f>
        <v>2145530</v>
      </c>
      <c r="J56" s="56">
        <f>'I Finishes'!Y51</f>
        <v>0</v>
      </c>
      <c r="K56" s="56"/>
      <c r="L56" s="56"/>
      <c r="M56" s="283">
        <f t="shared" si="1"/>
        <v>0</v>
      </c>
      <c r="N56" s="289"/>
    </row>
    <row r="57" spans="1:14" ht="33.950000000000003" customHeight="1">
      <c r="A57" s="721">
        <v>38</v>
      </c>
      <c r="B57" s="126" t="str">
        <f>'I Finishes'!C52</f>
        <v>SWITCHES &amp; SOCKETS   (M)</v>
      </c>
      <c r="C57" s="115">
        <f>'I Finishes'!G52</f>
        <v>9905063</v>
      </c>
      <c r="D57" s="115">
        <f>'I Finishes'!H52</f>
        <v>4952531</v>
      </c>
      <c r="E57" s="115">
        <f>'I Finishes'!I52</f>
        <v>4952532</v>
      </c>
      <c r="F57" s="56"/>
      <c r="G57" s="56">
        <f>'I Finishes'!V52</f>
        <v>0</v>
      </c>
      <c r="H57" s="56">
        <v>4000000</v>
      </c>
      <c r="I57" s="56">
        <f>'I Finishes'!X52-7862</f>
        <v>952532</v>
      </c>
      <c r="J57" s="56">
        <f>'I Finishes'!Y52</f>
        <v>0</v>
      </c>
      <c r="K57" s="56"/>
      <c r="L57" s="56"/>
      <c r="M57" s="283">
        <f t="shared" si="1"/>
        <v>0</v>
      </c>
      <c r="N57" s="289"/>
    </row>
    <row r="58" spans="1:14" ht="33.950000000000003" customHeight="1">
      <c r="A58" s="721">
        <v>39</v>
      </c>
      <c r="B58" s="126" t="str">
        <f>'I Finishes'!C53</f>
        <v>LIGHTING+ FIXTURES    (M)</v>
      </c>
      <c r="C58" s="115">
        <f>'I Finishes'!G53</f>
        <v>21052601</v>
      </c>
      <c r="D58" s="115">
        <f>'I Finishes'!H53</f>
        <v>21052601</v>
      </c>
      <c r="E58" s="115">
        <f>'I Finishes'!I53</f>
        <v>0</v>
      </c>
      <c r="F58" s="56"/>
      <c r="G58" s="56">
        <f>'I Finishes'!V53</f>
        <v>0</v>
      </c>
      <c r="H58" s="56"/>
      <c r="I58" s="56"/>
      <c r="J58" s="56">
        <f>'I Finishes'!Y53</f>
        <v>0</v>
      </c>
      <c r="K58" s="56"/>
      <c r="L58" s="56"/>
      <c r="M58" s="283">
        <f t="shared" si="1"/>
        <v>0</v>
      </c>
      <c r="N58" s="289"/>
    </row>
    <row r="59" spans="1:14" ht="33.950000000000003" hidden="1" customHeight="1">
      <c r="A59" s="59">
        <v>40</v>
      </c>
      <c r="B59" s="132" t="str">
        <f>'I Finishes'!C54</f>
        <v>UPS (UNINTERRUPTIBLE POWER SUPPLY)     (M+L)</v>
      </c>
      <c r="C59" s="135">
        <f>'I Finishes'!G54</f>
        <v>0</v>
      </c>
      <c r="D59" s="135">
        <f>'I Finishes'!H54</f>
        <v>0</v>
      </c>
      <c r="E59" s="135">
        <f>'I Finishes'!I54</f>
        <v>0</v>
      </c>
      <c r="F59" s="56"/>
      <c r="G59" s="56">
        <f>'I Finishes'!V54</f>
        <v>4302984</v>
      </c>
      <c r="H59" s="56">
        <f>'I Finishes'!W54</f>
        <v>0</v>
      </c>
      <c r="I59" s="56">
        <f>'I Finishes'!X54</f>
        <v>0</v>
      </c>
      <c r="J59" s="56">
        <f>'I Finishes'!Y54</f>
        <v>1844136</v>
      </c>
      <c r="K59" s="56"/>
      <c r="L59" s="56"/>
      <c r="M59" s="283">
        <f t="shared" si="1"/>
        <v>0</v>
      </c>
      <c r="N59" s="289"/>
    </row>
    <row r="60" spans="1:14" ht="33.950000000000003" hidden="1" customHeight="1">
      <c r="A60" s="59">
        <v>41</v>
      </c>
      <c r="B60" s="132" t="str">
        <f>'I Finishes'!C55</f>
        <v>CCTV SYSTEM (IP BASED)   (M+L)</v>
      </c>
      <c r="C60" s="135">
        <f>'I Finishes'!G55</f>
        <v>0</v>
      </c>
      <c r="D60" s="135">
        <f>'I Finishes'!H55</f>
        <v>0</v>
      </c>
      <c r="E60" s="135">
        <f>'I Finishes'!I55</f>
        <v>0</v>
      </c>
      <c r="F60" s="56"/>
      <c r="G60" s="56">
        <f>'I Finishes'!V55</f>
        <v>4001143.9999999995</v>
      </c>
      <c r="H60" s="56">
        <f>'I Finishes'!W55</f>
        <v>0</v>
      </c>
      <c r="I60" s="56">
        <f>'I Finishes'!X55</f>
        <v>0</v>
      </c>
      <c r="J60" s="56">
        <f>'I Finishes'!Y55</f>
        <v>1714776</v>
      </c>
      <c r="K60" s="56"/>
      <c r="L60" s="56"/>
      <c r="M60" s="283">
        <f t="shared" si="1"/>
        <v>0</v>
      </c>
      <c r="N60" s="289"/>
    </row>
    <row r="61" spans="1:14" ht="33.950000000000003" customHeight="1">
      <c r="A61" s="136">
        <v>42</v>
      </c>
      <c r="B61" s="132" t="str">
        <f>'I Finishes'!C56</f>
        <v>Ventilation/Exhaust system    (M+L)</v>
      </c>
      <c r="C61" s="135">
        <f>'I Finishes'!G56</f>
        <v>7492650</v>
      </c>
      <c r="D61" s="135">
        <f>'I Finishes'!H56</f>
        <v>6915439</v>
      </c>
      <c r="E61" s="135">
        <f>'I Finishes'!I56</f>
        <v>577211</v>
      </c>
      <c r="F61" s="56"/>
      <c r="G61" s="56">
        <f>'I Finishes'!V56</f>
        <v>0</v>
      </c>
      <c r="H61" s="56">
        <f>'I Finishes'!W56</f>
        <v>577211</v>
      </c>
      <c r="I61" s="56">
        <f>'I Finishes'!X56</f>
        <v>0</v>
      </c>
      <c r="J61" s="56">
        <f>'I Finishes'!Y56</f>
        <v>0</v>
      </c>
      <c r="K61" s="56"/>
      <c r="L61" s="56"/>
      <c r="M61" s="283">
        <f t="shared" si="1"/>
        <v>0</v>
      </c>
      <c r="N61" s="289"/>
    </row>
    <row r="62" spans="1:14" ht="33.950000000000003" customHeight="1">
      <c r="A62" s="137">
        <v>43</v>
      </c>
      <c r="B62" s="126" t="str">
        <f>'I Finishes'!C57</f>
        <v>FSS Works (FFS equipment)    (M)</v>
      </c>
      <c r="C62" s="115">
        <f>'I Finishes'!G57</f>
        <v>37610640</v>
      </c>
      <c r="D62" s="115">
        <f>'I Finishes'!H57</f>
        <v>14350635</v>
      </c>
      <c r="E62" s="115">
        <f>'I Finishes'!I57</f>
        <v>23260005</v>
      </c>
      <c r="F62" s="56"/>
      <c r="G62" s="56">
        <f>'I Finishes'!V57</f>
        <v>3022537</v>
      </c>
      <c r="H62" s="56">
        <f>'I Finishes'!W57</f>
        <v>5313530.9307199996</v>
      </c>
      <c r="I62" s="56">
        <f>'I Finishes'!X57</f>
        <v>13901615.171680003</v>
      </c>
      <c r="J62" s="56">
        <f>'I Finishes'!Y57-3434463</f>
        <v>1022322</v>
      </c>
      <c r="K62" s="56"/>
      <c r="L62" s="56"/>
      <c r="M62" s="283">
        <f t="shared" si="1"/>
        <v>0</v>
      </c>
      <c r="N62" s="289"/>
    </row>
    <row r="63" spans="1:14" ht="33.950000000000003" customHeight="1">
      <c r="A63" s="136">
        <v>44</v>
      </c>
      <c r="B63" s="132" t="str">
        <f>'I Finishes'!C58</f>
        <v>DRY TYPE TRANSFORMERS  (M+L)</v>
      </c>
      <c r="C63" s="135">
        <f>'I Finishes'!G58</f>
        <v>17298800</v>
      </c>
      <c r="D63" s="135">
        <f>'I Finishes'!H58</f>
        <v>8649400</v>
      </c>
      <c r="E63" s="135">
        <f>'I Finishes'!I58</f>
        <v>8649400</v>
      </c>
      <c r="F63" s="56"/>
      <c r="G63" s="56">
        <f>'I Finishes'!V58</f>
        <v>0</v>
      </c>
      <c r="H63" s="56">
        <f>'I Finishes'!W58</f>
        <v>5734912.5</v>
      </c>
      <c r="I63" s="56">
        <f>'I Finishes'!X58</f>
        <v>2914487.5</v>
      </c>
      <c r="J63" s="56">
        <f>'I Finishes'!Y58</f>
        <v>0</v>
      </c>
      <c r="K63" s="56"/>
      <c r="L63" s="56"/>
      <c r="M63" s="283">
        <f t="shared" si="1"/>
        <v>0</v>
      </c>
      <c r="N63" s="289"/>
    </row>
    <row r="64" spans="1:14" ht="33.950000000000003" hidden="1" customHeight="1">
      <c r="A64" s="59">
        <v>45</v>
      </c>
      <c r="B64" s="132" t="str">
        <f>'I Finishes'!C59</f>
        <v>FIRE ALARM SYSTEM      (M+L)</v>
      </c>
      <c r="C64" s="135">
        <f>'I Finishes'!G59</f>
        <v>0</v>
      </c>
      <c r="D64" s="135">
        <f>'I Finishes'!H59</f>
        <v>0</v>
      </c>
      <c r="E64" s="135">
        <f>'I Finishes'!I59</f>
        <v>0</v>
      </c>
      <c r="F64" s="56"/>
      <c r="G64" s="56">
        <f>'I Finishes'!V59</f>
        <v>0</v>
      </c>
      <c r="H64" s="56">
        <f>'I Finishes'!W59</f>
        <v>2467008.2999999998</v>
      </c>
      <c r="I64" s="56">
        <f>'I Finishes'!X59</f>
        <v>5756352.7000000002</v>
      </c>
      <c r="J64" s="56">
        <f>'I Finishes'!Y59</f>
        <v>0</v>
      </c>
      <c r="K64" s="56"/>
      <c r="L64" s="56"/>
      <c r="M64" s="283">
        <f t="shared" si="1"/>
        <v>0</v>
      </c>
      <c r="N64" s="289"/>
    </row>
    <row r="65" spans="1:14" ht="33.950000000000003" hidden="1" customHeight="1">
      <c r="A65" s="59">
        <v>46</v>
      </c>
      <c r="B65" s="132" t="str">
        <f>'I Finishes'!C60</f>
        <v>FACILITY LIGHTNING PROTECTION SYSTEM (OFM)</v>
      </c>
      <c r="C65" s="135">
        <f>'I Finishes'!G60</f>
        <v>0</v>
      </c>
      <c r="D65" s="135">
        <f>'I Finishes'!H60</f>
        <v>0</v>
      </c>
      <c r="E65" s="135">
        <f>'I Finishes'!I60</f>
        <v>0</v>
      </c>
      <c r="F65" s="56"/>
      <c r="G65" s="56">
        <f>'I Finishes'!V60</f>
        <v>0</v>
      </c>
      <c r="H65" s="56">
        <f>'I Finishes'!W60</f>
        <v>1724698</v>
      </c>
      <c r="I65" s="56">
        <f>'I Finishes'!X60</f>
        <v>739156.5</v>
      </c>
      <c r="J65" s="56">
        <f>'I Finishes'!Y60</f>
        <v>0</v>
      </c>
      <c r="K65" s="56"/>
      <c r="L65" s="56"/>
      <c r="M65" s="283">
        <f t="shared" si="1"/>
        <v>0</v>
      </c>
      <c r="N65" s="289"/>
    </row>
    <row r="66" spans="1:14" ht="33.950000000000003" customHeight="1">
      <c r="A66" s="136">
        <v>47</v>
      </c>
      <c r="B66" s="132" t="str">
        <f>'I Finishes'!C61</f>
        <v>Water storage heater   (M)</v>
      </c>
      <c r="C66" s="135">
        <f>'I Finishes'!G61</f>
        <v>13500990</v>
      </c>
      <c r="D66" s="135">
        <f>'I Finishes'!H61</f>
        <v>9964000</v>
      </c>
      <c r="E66" s="135">
        <f>'I Finishes'!I61</f>
        <v>3536990</v>
      </c>
      <c r="F66" s="56"/>
      <c r="G66" s="56">
        <f>'I Finishes'!V61</f>
        <v>0</v>
      </c>
      <c r="H66" s="56">
        <f>'I Finishes'!W61</f>
        <v>3536990</v>
      </c>
      <c r="I66" s="56">
        <f>'I Finishes'!X61</f>
        <v>0</v>
      </c>
      <c r="J66" s="56">
        <f>'I Finishes'!Y61</f>
        <v>0</v>
      </c>
      <c r="K66" s="56"/>
      <c r="L66" s="56"/>
      <c r="M66" s="283">
        <f t="shared" si="1"/>
        <v>0</v>
      </c>
      <c r="N66" s="289"/>
    </row>
    <row r="67" spans="1:14" ht="33.950000000000003" hidden="1" customHeight="1">
      <c r="A67" s="59">
        <v>48</v>
      </c>
      <c r="B67" s="132" t="str">
        <f>'I Finishes'!C62</f>
        <v>PUBLIC ADDRESS SYSTEM   (M)</v>
      </c>
      <c r="C67" s="135">
        <f>'I Finishes'!G62</f>
        <v>0</v>
      </c>
      <c r="D67" s="135">
        <f>'I Finishes'!H62</f>
        <v>0</v>
      </c>
      <c r="E67" s="135">
        <f>'I Finishes'!I62</f>
        <v>0</v>
      </c>
      <c r="F67" s="56"/>
      <c r="G67" s="56">
        <f>'I Finishes'!V62</f>
        <v>0</v>
      </c>
      <c r="H67" s="56">
        <f>'I Finishes'!W62</f>
        <v>1457418</v>
      </c>
      <c r="I67" s="56">
        <f>'I Finishes'!X62</f>
        <v>3400642</v>
      </c>
      <c r="J67" s="56">
        <f>'I Finishes'!Y62</f>
        <v>0</v>
      </c>
      <c r="K67" s="56"/>
      <c r="L67" s="56"/>
      <c r="M67" s="283">
        <f t="shared" si="1"/>
        <v>0</v>
      </c>
      <c r="N67" s="289"/>
    </row>
    <row r="68" spans="1:14" ht="33.950000000000003" hidden="1" customHeight="1">
      <c r="A68" s="59">
        <v>49</v>
      </c>
      <c r="B68" s="132" t="str">
        <f>'I Finishes'!C63</f>
        <v>ACCESS CONTROL SYSTEM   (M)</v>
      </c>
      <c r="C68" s="135">
        <f>'I Finishes'!G63</f>
        <v>0</v>
      </c>
      <c r="D68" s="135">
        <f>'I Finishes'!H63</f>
        <v>0</v>
      </c>
      <c r="E68" s="135">
        <f>'I Finishes'!I63</f>
        <v>0</v>
      </c>
      <c r="F68" s="56"/>
      <c r="G68" s="56">
        <f>'I Finishes'!V63</f>
        <v>0</v>
      </c>
      <c r="H68" s="56">
        <f>'I Finishes'!W63</f>
        <v>3408324.4125000001</v>
      </c>
      <c r="I68" s="56">
        <f>'I Finishes'!X63</f>
        <v>1460710.4624999999</v>
      </c>
      <c r="J68" s="56">
        <f>'I Finishes'!Y63</f>
        <v>0</v>
      </c>
      <c r="K68" s="56"/>
      <c r="L68" s="56"/>
      <c r="M68" s="283">
        <f t="shared" si="1"/>
        <v>0</v>
      </c>
      <c r="N68" s="289"/>
    </row>
    <row r="69" spans="1:14" ht="33.950000000000003" hidden="1" customHeight="1">
      <c r="A69" s="59">
        <v>50</v>
      </c>
      <c r="B69" s="132" t="str">
        <f>'I Finishes'!C64</f>
        <v>Pump Sets   (M)</v>
      </c>
      <c r="C69" s="135">
        <f>'I Finishes'!G64</f>
        <v>0</v>
      </c>
      <c r="D69" s="135">
        <f>'I Finishes'!H64</f>
        <v>0</v>
      </c>
      <c r="E69" s="135">
        <f>'I Finishes'!I64</f>
        <v>0</v>
      </c>
      <c r="F69" s="56"/>
      <c r="G69" s="56">
        <f>'I Finishes'!V64</f>
        <v>0</v>
      </c>
      <c r="H69" s="56">
        <f>'I Finishes'!W64</f>
        <v>0</v>
      </c>
      <c r="I69" s="56">
        <f>'I Finishes'!X64</f>
        <v>4986000</v>
      </c>
      <c r="J69" s="56">
        <f>'I Finishes'!Y64</f>
        <v>0</v>
      </c>
      <c r="K69" s="56"/>
      <c r="L69" s="56"/>
      <c r="M69" s="283">
        <f t="shared" si="1"/>
        <v>0</v>
      </c>
      <c r="N69" s="289"/>
    </row>
    <row r="70" spans="1:14" ht="33.950000000000003" customHeight="1">
      <c r="A70" s="115">
        <v>51</v>
      </c>
      <c r="B70" s="126" t="str">
        <f>'I Finishes'!C65</f>
        <v xml:space="preserve"> FSS Works (Fire Pumps) Basement  (M+L)</v>
      </c>
      <c r="C70" s="115">
        <f>'I Finishes'!G65</f>
        <v>28751340</v>
      </c>
      <c r="D70" s="115">
        <f>'I Finishes'!H65</f>
        <v>8625402</v>
      </c>
      <c r="E70" s="115">
        <f>'I Finishes'!I65</f>
        <v>20125938</v>
      </c>
      <c r="F70" s="56"/>
      <c r="G70" s="56">
        <f>'I Finishes'!V65</f>
        <v>0</v>
      </c>
      <c r="H70" s="56">
        <f>'I Finishes'!W65</f>
        <v>11320927.507999999</v>
      </c>
      <c r="I70" s="56">
        <f>'I Finishes'!X65-3012500</f>
        <v>8805010.4920000006</v>
      </c>
      <c r="J70" s="56">
        <f>'I Finishes'!Y65</f>
        <v>0</v>
      </c>
      <c r="K70" s="56"/>
      <c r="L70" s="56"/>
      <c r="M70" s="283">
        <f t="shared" si="1"/>
        <v>0</v>
      </c>
      <c r="N70" s="289"/>
    </row>
    <row r="71" spans="1:14" ht="33.950000000000003" hidden="1" customHeight="1">
      <c r="A71" s="59">
        <v>52</v>
      </c>
      <c r="B71" s="132" t="str">
        <f>'I Finishes'!C66</f>
        <v>ACMV Works (Ac units)   (M+L)</v>
      </c>
      <c r="C71" s="135">
        <f>'I Finishes'!G66</f>
        <v>0</v>
      </c>
      <c r="D71" s="135">
        <f>'I Finishes'!H66</f>
        <v>0</v>
      </c>
      <c r="E71" s="135">
        <f>'I Finishes'!I66</f>
        <v>0</v>
      </c>
      <c r="F71" s="56"/>
      <c r="G71" s="56">
        <f>'I Finishes'!V66</f>
        <v>33000000</v>
      </c>
      <c r="H71" s="56">
        <f>'I Finishes'!W66</f>
        <v>33000000</v>
      </c>
      <c r="I71" s="56">
        <f>'I Finishes'!X66</f>
        <v>33000000</v>
      </c>
      <c r="J71" s="56">
        <f>'I Finishes'!Y66</f>
        <v>0</v>
      </c>
      <c r="K71" s="56"/>
      <c r="L71" s="56"/>
      <c r="M71" s="283">
        <f t="shared" si="1"/>
        <v>0</v>
      </c>
      <c r="N71" s="289"/>
    </row>
    <row r="72" spans="1:14" ht="33.950000000000003" hidden="1" customHeight="1">
      <c r="A72" s="59">
        <v>53</v>
      </c>
      <c r="B72" s="132" t="str">
        <f>'I Finishes'!C67</f>
        <v>Water meter  (M)</v>
      </c>
      <c r="C72" s="135">
        <f>'I Finishes'!G67</f>
        <v>0</v>
      </c>
      <c r="D72" s="135">
        <f>'I Finishes'!H67</f>
        <v>0</v>
      </c>
      <c r="E72" s="135">
        <f>'I Finishes'!I67</f>
        <v>0</v>
      </c>
      <c r="F72" s="56"/>
      <c r="G72" s="56">
        <f>'I Finishes'!V67</f>
        <v>4312000</v>
      </c>
      <c r="H72" s="56">
        <f>'I Finishes'!W67</f>
        <v>0</v>
      </c>
      <c r="I72" s="56">
        <f>'I Finishes'!X67</f>
        <v>1848000</v>
      </c>
      <c r="J72" s="56">
        <f>'I Finishes'!Y67</f>
        <v>0</v>
      </c>
      <c r="K72" s="56"/>
      <c r="L72" s="56"/>
      <c r="M72" s="283">
        <f t="shared" si="1"/>
        <v>0</v>
      </c>
      <c r="N72" s="289"/>
    </row>
    <row r="73" spans="1:14" ht="36" hidden="1" customHeight="1">
      <c r="A73" s="59">
        <v>54</v>
      </c>
      <c r="B73" s="132" t="str">
        <f>'I Finishes'!C68</f>
        <v>Kitchen Hoods  (M)</v>
      </c>
      <c r="C73" s="135">
        <f>'I Finishes'!G68</f>
        <v>0</v>
      </c>
      <c r="D73" s="135">
        <f>'I Finishes'!H68</f>
        <v>0</v>
      </c>
      <c r="E73" s="135">
        <f>'I Finishes'!I68</f>
        <v>0</v>
      </c>
      <c r="F73" s="56"/>
      <c r="G73" s="56">
        <f>'I Finishes'!V68</f>
        <v>2933333.3333333335</v>
      </c>
      <c r="H73" s="56">
        <f>'I Finishes'!W68</f>
        <v>2933333.3333333335</v>
      </c>
      <c r="I73" s="56">
        <f>'I Finishes'!X68</f>
        <v>2933333.3333333335</v>
      </c>
      <c r="J73" s="56">
        <f>'I Finishes'!Y68</f>
        <v>0</v>
      </c>
      <c r="K73" s="56"/>
      <c r="L73" s="56"/>
      <c r="M73" s="283">
        <f t="shared" si="1"/>
        <v>0</v>
      </c>
      <c r="N73" s="289"/>
    </row>
    <row r="74" spans="1:14" ht="36" customHeight="1">
      <c r="A74" s="700">
        <v>55</v>
      </c>
      <c r="B74" s="126" t="str">
        <f>'I Finishes'!C69</f>
        <v>Travertine</v>
      </c>
      <c r="C74" s="115">
        <f>'I Finishes'!G69</f>
        <v>23835258</v>
      </c>
      <c r="D74" s="115">
        <f>'I Finishes'!H69</f>
        <v>22912798</v>
      </c>
      <c r="E74" s="115">
        <f>'I Finishes'!I69</f>
        <v>922460</v>
      </c>
      <c r="F74" s="168"/>
      <c r="G74" s="56">
        <f>'I Finishes'!V69</f>
        <v>0</v>
      </c>
      <c r="H74" s="56">
        <v>922460</v>
      </c>
      <c r="I74" s="56"/>
      <c r="J74" s="56">
        <f>'I Finishes'!Y69</f>
        <v>0</v>
      </c>
      <c r="K74" s="56"/>
      <c r="L74" s="56"/>
      <c r="M74" s="283">
        <f t="shared" si="1"/>
        <v>0</v>
      </c>
      <c r="N74" s="289"/>
    </row>
    <row r="75" spans="1:14" ht="36" customHeight="1">
      <c r="A75" s="139">
        <v>56</v>
      </c>
      <c r="B75" s="140" t="str">
        <f>'I Finishes'!C72</f>
        <v>VRF In corridor ( M+L)</v>
      </c>
      <c r="C75" s="140">
        <f>'I Finishes'!G72</f>
        <v>50500000</v>
      </c>
      <c r="D75" s="140">
        <f>'I Finishes'!H72</f>
        <v>24374001</v>
      </c>
      <c r="E75" s="140">
        <f>'I Finishes'!I72</f>
        <v>26125999</v>
      </c>
      <c r="F75" s="371"/>
      <c r="G75" s="372">
        <v>6125000</v>
      </c>
      <c r="H75" s="372">
        <f>E75*0.6</f>
        <v>15675599.399999999</v>
      </c>
      <c r="I75" s="372">
        <v>4325399</v>
      </c>
      <c r="J75" s="372"/>
      <c r="K75" s="372"/>
      <c r="L75" s="372"/>
      <c r="M75" s="283">
        <f t="shared" si="1"/>
        <v>0</v>
      </c>
      <c r="N75" s="289"/>
    </row>
    <row r="76" spans="1:14" ht="36" hidden="1" customHeight="1">
      <c r="A76" s="655"/>
      <c r="B76" s="614" t="str">
        <f>'I Finishes'!C73</f>
        <v>Kitchen Hob (M)</v>
      </c>
      <c r="C76" s="376">
        <f>'I Finishes'!G73</f>
        <v>0</v>
      </c>
      <c r="D76" s="376">
        <f>'I Finishes'!H73</f>
        <v>0</v>
      </c>
      <c r="E76" s="372"/>
      <c r="F76" s="371"/>
      <c r="G76" s="372"/>
      <c r="H76" s="372"/>
      <c r="I76" s="372"/>
      <c r="J76" s="372"/>
      <c r="K76" s="372"/>
      <c r="L76" s="372"/>
      <c r="M76" s="283">
        <f t="shared" si="1"/>
        <v>0</v>
      </c>
      <c r="N76" s="289"/>
    </row>
    <row r="77" spans="1:14" ht="36" customHeight="1">
      <c r="A77" s="139">
        <f>'I Finishes'!B74</f>
        <v>58</v>
      </c>
      <c r="B77" s="140" t="str">
        <f>'I Finishes'!C74</f>
        <v>External lights</v>
      </c>
      <c r="C77" s="140">
        <f>'I Finishes'!G74</f>
        <v>4894000</v>
      </c>
      <c r="D77" s="140">
        <f>'I Finishes'!H74</f>
        <v>4894000</v>
      </c>
      <c r="E77" s="140"/>
      <c r="F77" s="140">
        <f>'I Finishes'!F74</f>
        <v>4894000</v>
      </c>
      <c r="G77" s="614"/>
      <c r="H77" s="614"/>
      <c r="I77" s="614"/>
      <c r="J77" s="656"/>
      <c r="K77" s="656"/>
      <c r="L77" s="656"/>
      <c r="M77" s="283">
        <f t="shared" si="1"/>
        <v>0</v>
      </c>
      <c r="N77" s="289"/>
    </row>
    <row r="78" spans="1:14" ht="36" customHeight="1" thickBot="1">
      <c r="A78" s="700">
        <f>'I Finishes'!B75</f>
        <v>59</v>
      </c>
      <c r="B78" s="758" t="str">
        <f>'I Finishes'!C75</f>
        <v>Swimming Pool  ( M+L)</v>
      </c>
      <c r="C78" s="376">
        <f>'I Finishes'!G75</f>
        <v>16200000</v>
      </c>
      <c r="D78" s="376">
        <f>'I Finishes'!H75</f>
        <v>11340000</v>
      </c>
      <c r="E78" s="376">
        <f>'I Finishes'!I75</f>
        <v>4860000</v>
      </c>
      <c r="F78" s="374"/>
      <c r="G78" s="656"/>
      <c r="H78" s="378">
        <f>E78</f>
        <v>4860000</v>
      </c>
      <c r="I78" s="656"/>
      <c r="J78" s="656"/>
      <c r="K78" s="656"/>
      <c r="L78" s="656"/>
      <c r="M78" s="759">
        <f t="shared" ref="M78:M82" si="3">C78-D78-E78</f>
        <v>0</v>
      </c>
      <c r="N78" s="289"/>
    </row>
    <row r="79" spans="1:14" ht="36" customHeight="1" thickBot="1">
      <c r="A79" s="765">
        <f>'I Finishes'!B76</f>
        <v>60</v>
      </c>
      <c r="B79" s="766" t="str">
        <f>'I Finishes'!C76</f>
        <v xml:space="preserve">Pergola </v>
      </c>
      <c r="C79" s="767">
        <f>'I Finishes'!G76</f>
        <v>8744828</v>
      </c>
      <c r="D79" s="767">
        <f>'I Finishes'!H76</f>
        <v>3497931.2</v>
      </c>
      <c r="E79" s="767">
        <f>'I Finishes'!I76</f>
        <v>5246896.8</v>
      </c>
      <c r="F79" s="766">
        <f>'I Finishes'!F76</f>
        <v>8744828</v>
      </c>
      <c r="G79" s="766"/>
      <c r="H79" s="766">
        <f>C79*0.4</f>
        <v>3497931.2</v>
      </c>
      <c r="I79" s="766"/>
      <c r="J79" s="766">
        <f>C79*0.2</f>
        <v>1748965.6</v>
      </c>
      <c r="K79" s="766">
        <f>'I Finishes'!K76</f>
        <v>0</v>
      </c>
      <c r="L79" s="766">
        <f>'I Finishes'!L76</f>
        <v>0</v>
      </c>
      <c r="M79" s="768">
        <f>'I Finishes'!M76</f>
        <v>0</v>
      </c>
      <c r="N79" s="757"/>
    </row>
    <row r="80" spans="1:14" ht="36" hidden="1" customHeight="1">
      <c r="A80" s="760">
        <f>'I Finishes'!B77</f>
        <v>61</v>
      </c>
      <c r="B80" s="613" t="str">
        <f>'I Finishes'!C77</f>
        <v>AC louvers.</v>
      </c>
      <c r="C80" s="761">
        <f>'I Finishes'!G77</f>
        <v>0</v>
      </c>
      <c r="D80" s="761">
        <f>'I Finishes'!H77</f>
        <v>0</v>
      </c>
      <c r="E80" s="761">
        <f>'I Finishes'!I77</f>
        <v>0</v>
      </c>
      <c r="F80" s="762"/>
      <c r="G80" s="763"/>
      <c r="H80" s="763"/>
      <c r="I80" s="763"/>
      <c r="J80" s="763"/>
      <c r="K80" s="763"/>
      <c r="L80" s="763"/>
      <c r="M80" s="764">
        <f t="shared" si="3"/>
        <v>0</v>
      </c>
      <c r="N80" s="289"/>
    </row>
    <row r="81" spans="1:14" ht="36" hidden="1" customHeight="1">
      <c r="A81" s="137">
        <f>'I Finishes'!B78</f>
        <v>62</v>
      </c>
      <c r="B81" s="614" t="str">
        <f>'I Finishes'!C78</f>
        <v>Roof Top</v>
      </c>
      <c r="C81" s="752">
        <f>'I Finishes'!G78</f>
        <v>0</v>
      </c>
      <c r="D81" s="752">
        <f>'I Finishes'!H78</f>
        <v>0</v>
      </c>
      <c r="E81" s="752">
        <f>'I Finishes'!I78</f>
        <v>0</v>
      </c>
      <c r="F81" s="654"/>
      <c r="G81" s="347"/>
      <c r="H81" s="347"/>
      <c r="I81" s="347"/>
      <c r="J81" s="347"/>
      <c r="K81" s="347"/>
      <c r="L81" s="347"/>
      <c r="M81" s="283"/>
      <c r="N81" s="289"/>
    </row>
    <row r="82" spans="1:14" ht="36" hidden="1" customHeight="1">
      <c r="A82" s="137">
        <f>'I Finishes'!B79</f>
        <v>63</v>
      </c>
      <c r="B82" s="614" t="str">
        <f>'I Finishes'!C79</f>
        <v>Additional wood Work Item.</v>
      </c>
      <c r="C82" s="752">
        <f>'I Finishes'!G79</f>
        <v>0</v>
      </c>
      <c r="D82" s="752">
        <f>'I Finishes'!H79</f>
        <v>0</v>
      </c>
      <c r="E82" s="752">
        <f>'I Finishes'!I79</f>
        <v>0</v>
      </c>
      <c r="F82" s="654"/>
      <c r="G82" s="347"/>
      <c r="H82" s="347"/>
      <c r="I82" s="347"/>
      <c r="J82" s="347"/>
      <c r="K82" s="347"/>
      <c r="L82" s="347"/>
      <c r="M82" s="283">
        <f t="shared" si="3"/>
        <v>0</v>
      </c>
      <c r="N82" s="289"/>
    </row>
    <row r="83" spans="1:14" ht="36" hidden="1" customHeight="1">
      <c r="A83" s="137">
        <f>'I Finishes'!B80</f>
        <v>64</v>
      </c>
      <c r="B83" s="614" t="str">
        <f>'I Finishes'!C80</f>
        <v>Basement Civil Works  ( I tower posting )</v>
      </c>
      <c r="C83" s="752">
        <f>'I Finishes'!G80</f>
        <v>0</v>
      </c>
      <c r="D83" s="752">
        <f>'I Finishes'!H80</f>
        <v>0</v>
      </c>
      <c r="E83" s="752">
        <f>'I Finishes'!I80</f>
        <v>0</v>
      </c>
      <c r="F83" s="751"/>
      <c r="G83" s="366"/>
      <c r="H83" s="366"/>
      <c r="I83" s="366"/>
      <c r="J83" s="366"/>
      <c r="K83" s="366"/>
      <c r="L83" s="366"/>
      <c r="M83" s="283"/>
      <c r="N83" s="289"/>
    </row>
    <row r="84" spans="1:14" ht="36" hidden="1" customHeight="1">
      <c r="A84" s="137">
        <f>'I Finishes'!B81</f>
        <v>65</v>
      </c>
      <c r="B84" s="614" t="str">
        <f>'I Finishes'!C81</f>
        <v>Basement Civil MEP     ( I tower posting )</v>
      </c>
      <c r="C84" s="752">
        <f>'I Finishes'!G81</f>
        <v>0</v>
      </c>
      <c r="D84" s="752">
        <f>'I Finishes'!H81</f>
        <v>0</v>
      </c>
      <c r="E84" s="752">
        <f>'I Finishes'!I81</f>
        <v>0</v>
      </c>
      <c r="F84" s="751"/>
      <c r="G84" s="366"/>
      <c r="H84" s="366"/>
      <c r="I84" s="366"/>
      <c r="J84" s="366"/>
      <c r="K84" s="366"/>
      <c r="L84" s="366"/>
      <c r="M84" s="283"/>
      <c r="N84" s="289"/>
    </row>
    <row r="85" spans="1:14" ht="36" customHeight="1" thickBot="1">
      <c r="A85" s="651"/>
      <c r="B85" s="652" t="s">
        <v>69</v>
      </c>
      <c r="C85" s="653">
        <f>C13+C14+C15+C16+C17+C18+C19+C20+C21+C22+C23+C24+C25+C26+C27+C28+C29+C30+C31+C32+C33+C34+C36+C37+C38+C39+C40+C41+C42+C43+C44+C45+C46+C48+C55+C57+C58+C62+C66+C74+C61+C75+C77+C78+C53+C63+C70+C79</f>
        <v>1591289242</v>
      </c>
      <c r="D85" s="653">
        <f t="shared" ref="D85:M85" si="4">D13+D14+D15+D16+D17+D18+D19+D20+D21+D22+D23+D24+D25+D26+D27+D28+D29+D30+D31+D32+D33+D34+D36+D37+D38+D39+D40+D41+D42+D43+D44+D45+D46+D48+D55+D57+D58+D62+D66+D74+D61+D75+D77+D78+D53+D63+D70+D79</f>
        <v>926366213.70000005</v>
      </c>
      <c r="E85" s="653">
        <f t="shared" si="4"/>
        <v>666240492.29999995</v>
      </c>
      <c r="F85" s="653">
        <f t="shared" si="4"/>
        <v>13638828</v>
      </c>
      <c r="G85" s="653">
        <f t="shared" si="4"/>
        <v>167682479.07169697</v>
      </c>
      <c r="H85" s="653">
        <f t="shared" si="4"/>
        <v>230471191.7437503</v>
      </c>
      <c r="I85" s="653">
        <f t="shared" si="4"/>
        <v>199763299.30204365</v>
      </c>
      <c r="J85" s="653">
        <f t="shared" si="4"/>
        <v>68026897.792909116</v>
      </c>
      <c r="K85" s="653">
        <f t="shared" si="4"/>
        <v>0</v>
      </c>
      <c r="L85" s="653">
        <f t="shared" si="4"/>
        <v>0</v>
      </c>
      <c r="M85" s="653">
        <f t="shared" si="4"/>
        <v>-1317464</v>
      </c>
      <c r="N85" s="289"/>
    </row>
    <row r="86" spans="1:14" ht="36" customHeight="1">
      <c r="A86" s="658"/>
      <c r="B86" s="956" t="s">
        <v>121</v>
      </c>
      <c r="C86" s="957"/>
      <c r="D86" s="957"/>
      <c r="E86" s="957"/>
      <c r="F86" s="957"/>
      <c r="G86" s="957"/>
      <c r="H86" s="957"/>
      <c r="I86" s="957"/>
      <c r="J86" s="957"/>
      <c r="K86" s="957"/>
      <c r="L86" s="957"/>
      <c r="M86" s="958"/>
      <c r="N86" s="289"/>
    </row>
    <row r="87" spans="1:14" ht="36" customHeight="1">
      <c r="A87" s="139">
        <f>'L1 Finishes'!B6</f>
        <v>1</v>
      </c>
      <c r="B87" s="140" t="str">
        <f>'L1 Finishes'!C6</f>
        <v>External Brick Works  (M+L)</v>
      </c>
      <c r="C87" s="140">
        <f>'L1 Finishes'!G6</f>
        <v>9235361</v>
      </c>
      <c r="D87" s="140">
        <f>'L1 Finishes'!H6</f>
        <v>6311073</v>
      </c>
      <c r="E87" s="140">
        <f>'L1 Finishes'!I6</f>
        <v>2924288</v>
      </c>
      <c r="F87" s="140"/>
      <c r="G87" s="614">
        <f>'L1 Finishes'!P6</f>
        <v>2924288</v>
      </c>
      <c r="H87" s="614">
        <f>'L1 Finishes'!Q6</f>
        <v>0</v>
      </c>
      <c r="I87" s="614">
        <f>'L1 Finishes'!R6</f>
        <v>0</v>
      </c>
      <c r="J87" s="614">
        <f>'L1 Finishes'!S6</f>
        <v>0</v>
      </c>
      <c r="K87" s="614">
        <f>'L1 Finishes'!T6</f>
        <v>0</v>
      </c>
      <c r="L87" s="614">
        <f>'L1 Finishes'!U6</f>
        <v>0</v>
      </c>
      <c r="M87" s="283">
        <f t="shared" ref="M87:M146" si="5">C87-D87-E87</f>
        <v>0</v>
      </c>
      <c r="N87" s="289"/>
    </row>
    <row r="88" spans="1:14" ht="36" customHeight="1">
      <c r="A88" s="140">
        <f>'L1 Finishes'!B7</f>
        <v>2</v>
      </c>
      <c r="B88" s="140" t="str">
        <f>'L1 Finishes'!C7</f>
        <v>Internal Brick Works   (M+L)</v>
      </c>
      <c r="C88" s="140">
        <f>'L1 Finishes'!G7</f>
        <v>74421345</v>
      </c>
      <c r="D88" s="140">
        <f>'L1 Finishes'!H7</f>
        <v>72814009.5</v>
      </c>
      <c r="E88" s="140">
        <f>'L1 Finishes'!I7</f>
        <v>1607335.5</v>
      </c>
      <c r="F88" s="140"/>
      <c r="G88" s="614">
        <f>'L1 Finishes'!P7</f>
        <v>1607335.5</v>
      </c>
      <c r="H88" s="614">
        <f>'L1 Finishes'!Q7</f>
        <v>0</v>
      </c>
      <c r="I88" s="614">
        <f>'L1 Finishes'!R7</f>
        <v>0</v>
      </c>
      <c r="J88" s="614">
        <f>'L1 Finishes'!S7</f>
        <v>0</v>
      </c>
      <c r="K88" s="614">
        <f>'L1 Finishes'!T7</f>
        <v>0</v>
      </c>
      <c r="L88" s="614">
        <f>'L1 Finishes'!U7</f>
        <v>0</v>
      </c>
      <c r="M88" s="283">
        <f t="shared" si="5"/>
        <v>0</v>
      </c>
      <c r="N88" s="289"/>
    </row>
    <row r="89" spans="1:14" ht="36" customHeight="1">
      <c r="A89" s="140">
        <f>'L1 Finishes'!B8</f>
        <v>3</v>
      </c>
      <c r="B89" s="140" t="str">
        <f>'L1 Finishes'!C8</f>
        <v>Electrical Conduiting   (M+L)</v>
      </c>
      <c r="C89" s="140">
        <f>'L1 Finishes'!G8</f>
        <v>13067330</v>
      </c>
      <c r="D89" s="140">
        <f>'L1 Finishes'!H8</f>
        <v>4292391.8</v>
      </c>
      <c r="E89" s="140">
        <f>'L1 Finishes'!I8</f>
        <v>8774938.1999999993</v>
      </c>
      <c r="F89" s="140"/>
      <c r="G89" s="614">
        <f>'L1 Finishes'!P8-2600000</f>
        <v>4387469.0999999996</v>
      </c>
      <c r="H89" s="614">
        <f>'L1 Finishes'!Q8-2600000</f>
        <v>4387469.0999999996</v>
      </c>
      <c r="I89" s="614">
        <f>'L1 Finishes'!R8</f>
        <v>0</v>
      </c>
      <c r="J89" s="614">
        <f>'L1 Finishes'!S8</f>
        <v>0</v>
      </c>
      <c r="K89" s="614">
        <f>'L1 Finishes'!T8</f>
        <v>0</v>
      </c>
      <c r="L89" s="614">
        <f>'L1 Finishes'!U8</f>
        <v>0</v>
      </c>
      <c r="M89" s="283">
        <f t="shared" si="5"/>
        <v>0</v>
      </c>
      <c r="N89" s="289"/>
    </row>
    <row r="90" spans="1:14" ht="36" customHeight="1">
      <c r="A90" s="140">
        <f>'L1 Finishes'!B9</f>
        <v>4</v>
      </c>
      <c r="B90" s="140" t="str">
        <f>'L1 Finishes'!C9</f>
        <v>Plumbing  Conduiting   (M+L)</v>
      </c>
      <c r="C90" s="140">
        <f>'L1 Finishes'!G9</f>
        <v>12858616</v>
      </c>
      <c r="D90" s="140">
        <f>'L1 Finishes'!H9</f>
        <v>7700873.7999999998</v>
      </c>
      <c r="E90" s="140">
        <f>'L1 Finishes'!I9</f>
        <v>5157742.2</v>
      </c>
      <c r="F90" s="140"/>
      <c r="G90" s="614">
        <f>'L1 Finishes'!P9-1400000</f>
        <v>2578871.1</v>
      </c>
      <c r="H90" s="614">
        <f>'L1 Finishes'!Q9-1400000</f>
        <v>2578871.1</v>
      </c>
      <c r="I90" s="614">
        <f>'L1 Finishes'!R9</f>
        <v>0</v>
      </c>
      <c r="J90" s="614">
        <f>'L1 Finishes'!S9</f>
        <v>0</v>
      </c>
      <c r="K90" s="614">
        <f>'L1 Finishes'!T9</f>
        <v>0</v>
      </c>
      <c r="L90" s="614">
        <f>'L1 Finishes'!U9</f>
        <v>0</v>
      </c>
      <c r="M90" s="283">
        <f t="shared" si="5"/>
        <v>0</v>
      </c>
      <c r="N90" s="289"/>
    </row>
    <row r="91" spans="1:14" ht="36" customHeight="1">
      <c r="A91" s="140">
        <f>'L1 Finishes'!B10</f>
        <v>5</v>
      </c>
      <c r="B91" s="140" t="str">
        <f>'L1 Finishes'!C10</f>
        <v>SOIL, WASTE VENT AND RAIN WATER DRAINAGE SYSTEM  (M)</v>
      </c>
      <c r="C91" s="140">
        <f>'L1 Finishes'!G10</f>
        <v>11666143</v>
      </c>
      <c r="D91" s="140">
        <f>'L1 Finishes'!H10</f>
        <v>1477354</v>
      </c>
      <c r="E91" s="140">
        <f>'L1 Finishes'!I10</f>
        <v>10188789</v>
      </c>
      <c r="F91" s="140"/>
      <c r="G91" s="614">
        <f>'L1 Finishes'!P10</f>
        <v>3944357.1666666698</v>
      </c>
      <c r="H91" s="614">
        <f>'L1 Finishes'!Q10</f>
        <v>3944357.1666666698</v>
      </c>
      <c r="I91" s="614">
        <f>'L1 Finishes'!R10+355717</f>
        <v>2300074.166666667</v>
      </c>
      <c r="J91" s="614">
        <f>'L1 Finishes'!S10</f>
        <v>0</v>
      </c>
      <c r="K91" s="614">
        <f>'L1 Finishes'!T10</f>
        <v>0</v>
      </c>
      <c r="L91" s="614">
        <f>'L1 Finishes'!U10</f>
        <v>0</v>
      </c>
      <c r="M91" s="283">
        <f t="shared" si="5"/>
        <v>0</v>
      </c>
      <c r="N91" s="289"/>
    </row>
    <row r="92" spans="1:14" ht="36" customHeight="1">
      <c r="A92" s="140">
        <f>'L1 Finishes'!B11</f>
        <v>6</v>
      </c>
      <c r="B92" s="140" t="str">
        <f>'L1 Finishes'!C11</f>
        <v>PCC   (M+L)</v>
      </c>
      <c r="C92" s="140">
        <f>'L1 Finishes'!G11</f>
        <v>21356000</v>
      </c>
      <c r="D92" s="140">
        <f>'L1 Finishes'!H11</f>
        <v>11203560</v>
      </c>
      <c r="E92" s="140">
        <f>'L1 Finishes'!I11</f>
        <v>0</v>
      </c>
      <c r="F92" s="140"/>
      <c r="G92" s="614">
        <f>'L1 Finishes'!P11</f>
        <v>0</v>
      </c>
      <c r="H92" s="614">
        <f>'L1 Finishes'!Q11</f>
        <v>0</v>
      </c>
      <c r="I92" s="614">
        <f>'L1 Finishes'!R11</f>
        <v>0</v>
      </c>
      <c r="J92" s="614">
        <f>'L1 Finishes'!S11</f>
        <v>0</v>
      </c>
      <c r="K92" s="614">
        <f>'L1 Finishes'!T11</f>
        <v>0</v>
      </c>
      <c r="L92" s="614">
        <f>'L1 Finishes'!U11</f>
        <v>0</v>
      </c>
      <c r="M92" s="283">
        <f t="shared" si="5"/>
        <v>10152440</v>
      </c>
      <c r="N92" s="289"/>
    </row>
    <row r="93" spans="1:14" ht="36" customHeight="1">
      <c r="A93" s="140">
        <f>'L1 Finishes'!B12</f>
        <v>7</v>
      </c>
      <c r="B93" s="140" t="str">
        <f>'L1 Finishes'!C12</f>
        <v>External Plaster  (M+L)</v>
      </c>
      <c r="C93" s="140">
        <f>'L1 Finishes'!G12</f>
        <v>5364800</v>
      </c>
      <c r="D93" s="140">
        <f>'L1 Finishes'!H12</f>
        <v>1592000</v>
      </c>
      <c r="E93" s="140">
        <f>'L1 Finishes'!I12</f>
        <v>3772800</v>
      </c>
      <c r="F93" s="140"/>
      <c r="G93" s="614">
        <f>'L1 Finishes'!P12</f>
        <v>3772800</v>
      </c>
      <c r="H93" s="614">
        <f>'L1 Finishes'!Q12</f>
        <v>0</v>
      </c>
      <c r="I93" s="614">
        <f>'L1 Finishes'!R12</f>
        <v>0</v>
      </c>
      <c r="J93" s="614">
        <f>'L1 Finishes'!S12</f>
        <v>0</v>
      </c>
      <c r="K93" s="614">
        <f>'L1 Finishes'!T12</f>
        <v>0</v>
      </c>
      <c r="L93" s="614">
        <f>'L1 Finishes'!U12</f>
        <v>0</v>
      </c>
      <c r="M93" s="283">
        <f t="shared" si="5"/>
        <v>0</v>
      </c>
      <c r="N93" s="289"/>
    </row>
    <row r="94" spans="1:14" ht="36" customHeight="1">
      <c r="A94" s="140">
        <f>'L1 Finishes'!B13</f>
        <v>8</v>
      </c>
      <c r="B94" s="140" t="str">
        <f>'L1 Finishes'!C13</f>
        <v>Internal Plaster   (M+L)</v>
      </c>
      <c r="C94" s="140">
        <f>'L1 Finishes'!G13</f>
        <v>34785601</v>
      </c>
      <c r="D94" s="140">
        <f>'L1 Finishes'!H13</f>
        <v>4364004</v>
      </c>
      <c r="E94" s="140">
        <f>'L1 Finishes'!I13</f>
        <v>30421597</v>
      </c>
      <c r="F94" s="140"/>
      <c r="G94" s="614">
        <f>'L1 Finishes'!P13</f>
        <v>8696400.25</v>
      </c>
      <c r="H94" s="614">
        <f>'L1 Finishes'!Q13</f>
        <v>8696400.25</v>
      </c>
      <c r="I94" s="614">
        <f>'L1 Finishes'!R13</f>
        <v>8696400.25</v>
      </c>
      <c r="J94" s="614">
        <f>4332396</f>
        <v>4332396</v>
      </c>
      <c r="K94" s="614">
        <f>'L1 Finishes'!T13</f>
        <v>0</v>
      </c>
      <c r="L94" s="614">
        <f>'L1 Finishes'!U13</f>
        <v>0</v>
      </c>
      <c r="M94" s="283">
        <f t="shared" si="5"/>
        <v>0</v>
      </c>
      <c r="N94" s="289"/>
    </row>
    <row r="95" spans="1:14" ht="36" customHeight="1">
      <c r="A95" s="140">
        <f>'L1 Finishes'!B14</f>
        <v>10</v>
      </c>
      <c r="B95" s="140" t="str">
        <f>'L1 Finishes'!C14</f>
        <v>Subcontract Electrical   (L)</v>
      </c>
      <c r="C95" s="140">
        <f>'L1 Finishes'!G14</f>
        <v>12878310</v>
      </c>
      <c r="D95" s="140">
        <f>'L1 Finishes'!H14</f>
        <v>1287831</v>
      </c>
      <c r="E95" s="140">
        <f>'L1 Finishes'!I14</f>
        <v>11590479</v>
      </c>
      <c r="F95" s="140"/>
      <c r="G95" s="614">
        <f>'L1 Finishes'!P14</f>
        <v>2575662</v>
      </c>
      <c r="H95" s="614">
        <f>'L1 Finishes'!Q14</f>
        <v>2575662</v>
      </c>
      <c r="I95" s="614">
        <f>'L1 Finishes'!R14-390000</f>
        <v>3541746.5</v>
      </c>
      <c r="J95" s="614">
        <f>'L1 Finishes'!S14-390422</f>
        <v>2897409</v>
      </c>
      <c r="K95" s="614">
        <f>'L1 Finishes'!T14</f>
        <v>0</v>
      </c>
      <c r="L95" s="614">
        <f>'L1 Finishes'!U14</f>
        <v>0</v>
      </c>
      <c r="M95" s="283">
        <f t="shared" si="5"/>
        <v>0</v>
      </c>
      <c r="N95" s="289"/>
    </row>
    <row r="96" spans="1:14" ht="36" customHeight="1">
      <c r="A96" s="140">
        <f>'L1 Finishes'!B15</f>
        <v>11</v>
      </c>
      <c r="B96" s="140" t="str">
        <f>'L1 Finishes'!C15</f>
        <v>Subcontract Plumbing    (L)</v>
      </c>
      <c r="C96" s="140">
        <f>'L1 Finishes'!G15</f>
        <v>16256850</v>
      </c>
      <c r="D96" s="140">
        <f>'L1 Finishes'!H15</f>
        <v>1978056</v>
      </c>
      <c r="E96" s="140">
        <f>'L1 Finishes'!I15</f>
        <v>14278794</v>
      </c>
      <c r="F96" s="140"/>
      <c r="G96" s="614">
        <f>'L1 Finishes'!P15</f>
        <v>2379799</v>
      </c>
      <c r="H96" s="614">
        <f>'L1 Finishes'!Q15</f>
        <v>3379799</v>
      </c>
      <c r="I96" s="614">
        <f>'L1 Finishes'!R15</f>
        <v>3379799</v>
      </c>
      <c r="J96" s="614">
        <f>'L1 Finishes'!S15</f>
        <v>3379799</v>
      </c>
      <c r="K96" s="614">
        <f>'L1 Finishes'!T15-33668</f>
        <v>1759598.33333333</v>
      </c>
      <c r="L96" s="614">
        <f>'L1 Finishes'!U15</f>
        <v>0</v>
      </c>
      <c r="M96" s="283">
        <f t="shared" si="5"/>
        <v>0</v>
      </c>
      <c r="N96" s="289"/>
    </row>
    <row r="97" spans="1:14" ht="36" customHeight="1">
      <c r="A97" s="140">
        <f>'L1 Finishes'!B16</f>
        <v>12</v>
      </c>
      <c r="B97" s="140" t="str">
        <f>'L1 Finishes'!C16</f>
        <v>CABLE CONTAINMENT   (M)</v>
      </c>
      <c r="C97" s="140">
        <f>'L1 Finishes'!G16</f>
        <v>12130712</v>
      </c>
      <c r="D97" s="140">
        <f>'L1 Finishes'!H16</f>
        <v>0</v>
      </c>
      <c r="E97" s="140">
        <f>'L1 Finishes'!I16</f>
        <v>12130712</v>
      </c>
      <c r="F97" s="140"/>
      <c r="G97" s="614">
        <f>'L1 Finishes'!P16</f>
        <v>0</v>
      </c>
      <c r="H97" s="614">
        <v>12130712</v>
      </c>
      <c r="I97" s="614">
        <f>'L1 Finishes'!R16</f>
        <v>0</v>
      </c>
      <c r="J97" s="614">
        <f>'L1 Finishes'!S16</f>
        <v>0</v>
      </c>
      <c r="K97" s="614">
        <f>'L1 Finishes'!T16</f>
        <v>0</v>
      </c>
      <c r="L97" s="614">
        <f>'L1 Finishes'!U16</f>
        <v>0</v>
      </c>
      <c r="M97" s="283">
        <f t="shared" si="5"/>
        <v>0</v>
      </c>
      <c r="N97" s="289"/>
    </row>
    <row r="98" spans="1:14" ht="36" customHeight="1">
      <c r="A98" s="140">
        <f>'L1 Finishes'!B17</f>
        <v>13</v>
      </c>
      <c r="B98" s="140" t="str">
        <f>'L1 Finishes'!C17</f>
        <v>Subcontract Firefighting     (L)</v>
      </c>
      <c r="C98" s="140">
        <f>'L1 Finishes'!G17</f>
        <v>4293868</v>
      </c>
      <c r="D98" s="140">
        <f>'L1 Finishes'!H17</f>
        <v>0</v>
      </c>
      <c r="E98" s="140">
        <v>4293868</v>
      </c>
      <c r="F98" s="140"/>
      <c r="G98" s="614">
        <f>'L1 Finishes'!P17</f>
        <v>0</v>
      </c>
      <c r="H98" s="614">
        <f>'L1 Finishes'!Q17</f>
        <v>0</v>
      </c>
      <c r="I98" s="614">
        <f>'L1 Finishes'!R17</f>
        <v>0</v>
      </c>
      <c r="J98" s="614">
        <f>'L1 Finishes'!S17</f>
        <v>0</v>
      </c>
      <c r="K98" s="614">
        <f>'L1 Finishes'!T17</f>
        <v>0</v>
      </c>
      <c r="L98" s="614">
        <f>'L1 Finishes'!U17</f>
        <v>0</v>
      </c>
      <c r="M98" s="283">
        <f t="shared" si="5"/>
        <v>0</v>
      </c>
      <c r="N98" s="289"/>
    </row>
    <row r="99" spans="1:14" ht="36" customHeight="1">
      <c r="A99" s="140">
        <f>'L1 Finishes'!B18</f>
        <v>14</v>
      </c>
      <c r="B99" s="140" t="str">
        <f>'L1 Finishes'!C18</f>
        <v>FSS Works (Piping)    (M)</v>
      </c>
      <c r="C99" s="140">
        <f>'L1 Finishes'!G18</f>
        <v>14003308</v>
      </c>
      <c r="D99" s="140">
        <f>'L1 Finishes'!H18</f>
        <v>0</v>
      </c>
      <c r="E99" s="140">
        <f>'L1 Finishes'!I18</f>
        <v>11369213</v>
      </c>
      <c r="F99" s="661"/>
      <c r="G99" s="614">
        <v>7000000</v>
      </c>
      <c r="H99" s="614">
        <f>'L1 Finishes'!Q18</f>
        <v>0</v>
      </c>
      <c r="I99" s="614">
        <f>G99+3308</f>
        <v>7003308</v>
      </c>
      <c r="J99" s="614">
        <f>'L1 Finishes'!S18</f>
        <v>0</v>
      </c>
      <c r="K99" s="614">
        <f>'L1 Finishes'!T18</f>
        <v>0</v>
      </c>
      <c r="L99" s="614">
        <f>'L1 Finishes'!U18</f>
        <v>0</v>
      </c>
      <c r="M99" s="283">
        <f t="shared" si="5"/>
        <v>2634095</v>
      </c>
      <c r="N99" s="289"/>
    </row>
    <row r="100" spans="1:14" ht="36" hidden="1" customHeight="1">
      <c r="A100" s="660">
        <f>'L1 Finishes'!B19</f>
        <v>15</v>
      </c>
      <c r="B100" s="660" t="str">
        <f>'L1 Finishes'!C19</f>
        <v>Subcontract HVAC      (M+L)</v>
      </c>
      <c r="C100" s="662">
        <f>'L1 Finishes'!G19</f>
        <v>0</v>
      </c>
      <c r="D100" s="662">
        <f>'L1 Finishes'!H19</f>
        <v>0</v>
      </c>
      <c r="E100" s="662">
        <f>'L1 Finishes'!I19</f>
        <v>0</v>
      </c>
      <c r="F100" s="661"/>
      <c r="G100" s="614">
        <f>'L1 Finishes'!P19</f>
        <v>0</v>
      </c>
      <c r="H100" s="614">
        <f>'L1 Finishes'!Q19</f>
        <v>0</v>
      </c>
      <c r="I100" s="614">
        <f>'L1 Finishes'!R19</f>
        <v>0</v>
      </c>
      <c r="J100" s="614">
        <f>'L1 Finishes'!S19</f>
        <v>0</v>
      </c>
      <c r="K100" s="614">
        <f>'L1 Finishes'!T19</f>
        <v>0</v>
      </c>
      <c r="L100" s="614">
        <f>'L1 Finishes'!U19</f>
        <v>0</v>
      </c>
      <c r="M100" s="283">
        <f t="shared" si="5"/>
        <v>0</v>
      </c>
      <c r="N100" s="289"/>
    </row>
    <row r="101" spans="1:14" ht="36" customHeight="1">
      <c r="A101" s="140">
        <f>'L1 Finishes'!B20</f>
        <v>16</v>
      </c>
      <c r="B101" s="140" t="str">
        <f>'L1 Finishes'!C20</f>
        <v>Copper Pipe + Accessories       (M+L)</v>
      </c>
      <c r="C101" s="140">
        <f>'L1 Finishes'!G20</f>
        <v>14000000</v>
      </c>
      <c r="D101" s="140">
        <f>'L1 Finishes'!H20</f>
        <v>7495229</v>
      </c>
      <c r="E101" s="140">
        <f>'L1 Finishes'!I20</f>
        <v>6504771</v>
      </c>
      <c r="F101" s="140"/>
      <c r="G101" s="614">
        <f>9800000/3</f>
        <v>3266666.6666666665</v>
      </c>
      <c r="H101" s="614">
        <v>3266666.6666666665</v>
      </c>
      <c r="I101" s="614">
        <v>3266666.6666666665</v>
      </c>
      <c r="J101" s="614">
        <f>'L1 Finishes'!S20</f>
        <v>0</v>
      </c>
      <c r="K101" s="614">
        <f>'L1 Finishes'!T20</f>
        <v>0</v>
      </c>
      <c r="L101" s="614">
        <f>'L1 Finishes'!U20</f>
        <v>0</v>
      </c>
      <c r="M101" s="283">
        <f t="shared" si="5"/>
        <v>0</v>
      </c>
      <c r="N101" s="289"/>
    </row>
    <row r="102" spans="1:14" ht="36" customHeight="1">
      <c r="A102" s="663">
        <f>'L1 Finishes'!B21</f>
        <v>17</v>
      </c>
      <c r="B102" s="375" t="str">
        <f>'L1 Finishes'!C21</f>
        <v>LPG Works      (M)</v>
      </c>
      <c r="C102" s="376">
        <f>'L1 Finishes'!G21</f>
        <v>4952283</v>
      </c>
      <c r="D102" s="376">
        <f>'L1 Finishes'!H21</f>
        <v>4491802</v>
      </c>
      <c r="E102" s="376">
        <f>'L1 Finishes'!I21</f>
        <v>460481</v>
      </c>
      <c r="F102" s="374"/>
      <c r="G102" s="657"/>
      <c r="H102" s="657">
        <v>460481</v>
      </c>
      <c r="I102" s="657">
        <f>'L1 Finishes'!R21</f>
        <v>0</v>
      </c>
      <c r="J102" s="657">
        <f>'L1 Finishes'!S21</f>
        <v>0</v>
      </c>
      <c r="K102" s="657">
        <f>'L1 Finishes'!T21</f>
        <v>0</v>
      </c>
      <c r="L102" s="657">
        <f>'L1 Finishes'!U21</f>
        <v>0</v>
      </c>
      <c r="M102" s="283">
        <f t="shared" si="5"/>
        <v>0</v>
      </c>
      <c r="N102" s="289"/>
    </row>
    <row r="103" spans="1:14" ht="36" customHeight="1">
      <c r="A103" s="140">
        <f>'L1 Finishes'!B22</f>
        <v>18</v>
      </c>
      <c r="B103" s="140" t="str">
        <f>'L1 Finishes'!C22</f>
        <v>WIRING / WIRING ACCESSORIES  (M)</v>
      </c>
      <c r="C103" s="140">
        <f>'L1 Finishes'!G22</f>
        <v>0</v>
      </c>
      <c r="D103" s="140">
        <f>'L1 Finishes'!H22</f>
        <v>0</v>
      </c>
      <c r="E103" s="140">
        <f>'L1 Finishes'!I22</f>
        <v>0</v>
      </c>
      <c r="F103" s="140"/>
      <c r="G103" s="614">
        <f>'L1 Finishes'!P22</f>
        <v>0</v>
      </c>
      <c r="H103" s="614">
        <f>'L1 Finishes'!Q22</f>
        <v>0</v>
      </c>
      <c r="I103" s="614">
        <f>'L1 Finishes'!R22</f>
        <v>0</v>
      </c>
      <c r="J103" s="614">
        <f>'L1 Finishes'!S22</f>
        <v>0</v>
      </c>
      <c r="K103" s="614">
        <f>'L1 Finishes'!T22</f>
        <v>0</v>
      </c>
      <c r="L103" s="614">
        <f>'L1 Finishes'!U22</f>
        <v>0</v>
      </c>
      <c r="M103" s="283">
        <f t="shared" si="5"/>
        <v>0</v>
      </c>
      <c r="N103" s="289"/>
    </row>
    <row r="104" spans="1:14" ht="36" customHeight="1">
      <c r="A104" s="140">
        <f>'L1 Finishes'!B23</f>
        <v>19</v>
      </c>
      <c r="B104" s="140" t="str">
        <f>'L1 Finishes'!C23</f>
        <v>MAIN / SUB-MAIN CABLES    (M)</v>
      </c>
      <c r="C104" s="140">
        <f>'L1 Finishes'!G23</f>
        <v>0</v>
      </c>
      <c r="D104" s="140">
        <f>'L1 Finishes'!H23</f>
        <v>0</v>
      </c>
      <c r="E104" s="140">
        <f>'L1 Finishes'!I23</f>
        <v>0</v>
      </c>
      <c r="F104" s="140"/>
      <c r="G104" s="614">
        <f>'L1 Finishes'!P23</f>
        <v>0</v>
      </c>
      <c r="H104" s="614">
        <f>'L1 Finishes'!Q23</f>
        <v>0</v>
      </c>
      <c r="I104" s="614">
        <f>'L1 Finishes'!R23</f>
        <v>0</v>
      </c>
      <c r="J104" s="614">
        <f>'L1 Finishes'!S23</f>
        <v>0</v>
      </c>
      <c r="K104" s="614">
        <f>'L1 Finishes'!T23</f>
        <v>0</v>
      </c>
      <c r="L104" s="614">
        <f>'L1 Finishes'!U23</f>
        <v>0</v>
      </c>
      <c r="M104" s="283">
        <f t="shared" si="5"/>
        <v>0</v>
      </c>
      <c r="N104" s="289"/>
    </row>
    <row r="105" spans="1:14" ht="36" customHeight="1">
      <c r="A105" s="140">
        <f>'L1 Finishes'!B24</f>
        <v>20</v>
      </c>
      <c r="B105" s="140" t="str">
        <f>'L1 Finishes'!C24</f>
        <v>VOICE &amp; DATA COMMUNICATION  (M+L)</v>
      </c>
      <c r="C105" s="140">
        <f>'L1 Finishes'!G24</f>
        <v>0</v>
      </c>
      <c r="D105" s="140">
        <f>'L1 Finishes'!H24</f>
        <v>0</v>
      </c>
      <c r="E105" s="140">
        <f>'L1 Finishes'!I24</f>
        <v>0</v>
      </c>
      <c r="F105" s="140"/>
      <c r="G105" s="614">
        <f>'L1 Finishes'!P24</f>
        <v>0</v>
      </c>
      <c r="H105" s="614">
        <f>'L1 Finishes'!Q24</f>
        <v>0</v>
      </c>
      <c r="I105" s="614">
        <f>'L1 Finishes'!R24</f>
        <v>0</v>
      </c>
      <c r="J105" s="614">
        <f>'L1 Finishes'!S24</f>
        <v>0</v>
      </c>
      <c r="K105" s="614">
        <f>'L1 Finishes'!T24</f>
        <v>0</v>
      </c>
      <c r="L105" s="614">
        <f>'L1 Finishes'!U24</f>
        <v>0</v>
      </c>
      <c r="M105" s="283">
        <f t="shared" si="5"/>
        <v>0</v>
      </c>
      <c r="N105" s="289"/>
    </row>
    <row r="106" spans="1:14" ht="36" customHeight="1">
      <c r="A106" s="140">
        <f>'L1 Finishes'!B25</f>
        <v>21</v>
      </c>
      <c r="B106" s="140" t="str">
        <f>'L1 Finishes'!C25</f>
        <v>Pipes for Water Supply and fitting    (M)</v>
      </c>
      <c r="C106" s="140">
        <f>'L1 Finishes'!G25</f>
        <v>0</v>
      </c>
      <c r="D106" s="140">
        <f>'L1 Finishes'!H25</f>
        <v>0</v>
      </c>
      <c r="E106" s="140">
        <f>'L1 Finishes'!I25</f>
        <v>0</v>
      </c>
      <c r="F106" s="140"/>
      <c r="G106" s="614">
        <f>'L1 Finishes'!P25</f>
        <v>0</v>
      </c>
      <c r="H106" s="614">
        <f>'L1 Finishes'!Q25</f>
        <v>0</v>
      </c>
      <c r="I106" s="614">
        <f>'L1 Finishes'!R25</f>
        <v>0</v>
      </c>
      <c r="J106" s="614">
        <f>'L1 Finishes'!S25</f>
        <v>0</v>
      </c>
      <c r="K106" s="614">
        <f>'L1 Finishes'!T25</f>
        <v>0</v>
      </c>
      <c r="L106" s="614">
        <f>'L1 Finishes'!U25</f>
        <v>0</v>
      </c>
      <c r="M106" s="283">
        <f t="shared" si="5"/>
        <v>0</v>
      </c>
      <c r="N106" s="289"/>
    </row>
    <row r="107" spans="1:14" ht="36" customHeight="1">
      <c r="A107" s="665">
        <f>'L1 Finishes'!B26</f>
        <v>22</v>
      </c>
      <c r="B107" s="666" t="str">
        <f>'L1 Finishes'!C26</f>
        <v>Elevator    (M+L)</v>
      </c>
      <c r="C107" s="665">
        <f>'L1 Finishes'!G26</f>
        <v>33292000</v>
      </c>
      <c r="D107" s="665">
        <f>'L1 Finishes'!H26</f>
        <v>4800000</v>
      </c>
      <c r="E107" s="665">
        <f>'L1 Finishes'!I26</f>
        <v>28492000</v>
      </c>
      <c r="F107" s="665"/>
      <c r="G107" s="614">
        <f>'L1 Finishes'!P26</f>
        <v>0</v>
      </c>
      <c r="H107" s="614">
        <f>'L1 Finishes'!Q26</f>
        <v>14226615.384615384</v>
      </c>
      <c r="I107" s="614">
        <f>'L1 Finishes'!R26</f>
        <v>0</v>
      </c>
      <c r="J107" s="614">
        <f>H107+38769</f>
        <v>14265384.384615384</v>
      </c>
      <c r="K107" s="614">
        <f>'L1 Finishes'!T26</f>
        <v>0</v>
      </c>
      <c r="L107" s="614">
        <f>'L1 Finishes'!U26</f>
        <v>0</v>
      </c>
      <c r="M107" s="283">
        <f t="shared" si="5"/>
        <v>0</v>
      </c>
      <c r="N107" s="289"/>
    </row>
    <row r="108" spans="1:14" ht="36" hidden="1" customHeight="1">
      <c r="A108" s="660" t="str">
        <f>'L1 Finishes'!B27</f>
        <v>24 a</v>
      </c>
      <c r="B108" s="660" t="str">
        <f>'L1 Finishes'!C27</f>
        <v>Aluminum Work   (M+L)</v>
      </c>
      <c r="C108" s="662">
        <f>'L1 Finishes'!G27</f>
        <v>0</v>
      </c>
      <c r="D108" s="662">
        <f>'L1 Finishes'!H27</f>
        <v>0</v>
      </c>
      <c r="E108" s="662">
        <f>'L1 Finishes'!I27</f>
        <v>0</v>
      </c>
      <c r="F108" s="661"/>
      <c r="G108" s="614">
        <f>'L1 Finishes'!P27</f>
        <v>0</v>
      </c>
      <c r="H108" s="614">
        <f>'L1 Finishes'!Q27</f>
        <v>0</v>
      </c>
      <c r="I108" s="614">
        <f>'L1 Finishes'!R27</f>
        <v>0</v>
      </c>
      <c r="J108" s="614">
        <f>'L1 Finishes'!S27</f>
        <v>0</v>
      </c>
      <c r="K108" s="614">
        <f>'L1 Finishes'!T27</f>
        <v>0</v>
      </c>
      <c r="L108" s="614">
        <f>'L1 Finishes'!U27</f>
        <v>0</v>
      </c>
      <c r="M108" s="283">
        <f t="shared" si="5"/>
        <v>0</v>
      </c>
      <c r="N108" s="289"/>
    </row>
    <row r="109" spans="1:14" ht="36" hidden="1" customHeight="1">
      <c r="A109" s="660" t="str">
        <f>'L1 Finishes'!B28</f>
        <v>24 b</v>
      </c>
      <c r="B109" s="660" t="str">
        <f>'L1 Finishes'!C28</f>
        <v>Glass Work   (M+L)</v>
      </c>
      <c r="C109" s="662">
        <f>'L1 Finishes'!G28</f>
        <v>0</v>
      </c>
      <c r="D109" s="662">
        <f>'L1 Finishes'!H28</f>
        <v>0</v>
      </c>
      <c r="E109" s="662">
        <f>'L1 Finishes'!I28</f>
        <v>0</v>
      </c>
      <c r="F109" s="661"/>
      <c r="G109" s="614">
        <f>'L1 Finishes'!P28</f>
        <v>0</v>
      </c>
      <c r="H109" s="614">
        <f>'L1 Finishes'!Q28</f>
        <v>0</v>
      </c>
      <c r="I109" s="614">
        <f>'L1 Finishes'!R28</f>
        <v>0</v>
      </c>
      <c r="J109" s="614">
        <f>'L1 Finishes'!S28</f>
        <v>0</v>
      </c>
      <c r="K109" s="614">
        <f>'L1 Finishes'!T28</f>
        <v>0</v>
      </c>
      <c r="L109" s="614">
        <f>'L1 Finishes'!U28</f>
        <v>0</v>
      </c>
      <c r="M109" s="283">
        <f t="shared" si="5"/>
        <v>0</v>
      </c>
      <c r="N109" s="289"/>
    </row>
    <row r="110" spans="1:14" ht="36" hidden="1" customHeight="1">
      <c r="A110" s="660" t="str">
        <f>'L1 Finishes'!B29</f>
        <v>24 b</v>
      </c>
      <c r="B110" s="660" t="str">
        <f>'L1 Finishes'!C29</f>
        <v>Balcony Glass  (M+L)</v>
      </c>
      <c r="C110" s="662">
        <f>'L1 Finishes'!G29</f>
        <v>0</v>
      </c>
      <c r="D110" s="662">
        <f>'L1 Finishes'!H29</f>
        <v>0</v>
      </c>
      <c r="E110" s="662">
        <f>'L1 Finishes'!I29</f>
        <v>0</v>
      </c>
      <c r="F110" s="661"/>
      <c r="G110" s="614">
        <f>'L1 Finishes'!P29</f>
        <v>0</v>
      </c>
      <c r="H110" s="614">
        <f>'L1 Finishes'!Q29</f>
        <v>0</v>
      </c>
      <c r="I110" s="614">
        <f>'L1 Finishes'!R29</f>
        <v>0</v>
      </c>
      <c r="J110" s="614">
        <f>'L1 Finishes'!S29</f>
        <v>0</v>
      </c>
      <c r="K110" s="614">
        <f>'L1 Finishes'!T29</f>
        <v>0</v>
      </c>
      <c r="L110" s="614">
        <f>'L1 Finishes'!U29</f>
        <v>0</v>
      </c>
      <c r="M110" s="283">
        <f t="shared" si="5"/>
        <v>0</v>
      </c>
      <c r="N110" s="289"/>
    </row>
    <row r="111" spans="1:14" ht="36" hidden="1" customHeight="1">
      <c r="A111" s="660">
        <f>'L1 Finishes'!B30</f>
        <v>25</v>
      </c>
      <c r="B111" s="660" t="str">
        <f>'L1 Finishes'!C30</f>
        <v>Ceiling Work    (M+L)</v>
      </c>
      <c r="C111" s="662">
        <f>'L1 Finishes'!G30</f>
        <v>0</v>
      </c>
      <c r="D111" s="662">
        <f>'L1 Finishes'!H30</f>
        <v>0</v>
      </c>
      <c r="E111" s="662">
        <f>'L1 Finishes'!I30</f>
        <v>0</v>
      </c>
      <c r="F111" s="661"/>
      <c r="G111" s="614">
        <f>'L1 Finishes'!P30</f>
        <v>0</v>
      </c>
      <c r="H111" s="614">
        <f>'L1 Finishes'!Q30</f>
        <v>0</v>
      </c>
      <c r="I111" s="614">
        <f>'L1 Finishes'!R30</f>
        <v>0</v>
      </c>
      <c r="J111" s="614">
        <f>'L1 Finishes'!S30</f>
        <v>0</v>
      </c>
      <c r="K111" s="614">
        <f>'L1 Finishes'!T30</f>
        <v>0</v>
      </c>
      <c r="L111" s="614">
        <f>'L1 Finishes'!U30</f>
        <v>0</v>
      </c>
      <c r="M111" s="283">
        <f t="shared" si="5"/>
        <v>0</v>
      </c>
      <c r="N111" s="289"/>
    </row>
    <row r="112" spans="1:14" ht="36" hidden="1" customHeight="1">
      <c r="A112" s="660">
        <f>'L1 Finishes'!B31</f>
        <v>26</v>
      </c>
      <c r="B112" s="660" t="str">
        <f>'L1 Finishes'!C31</f>
        <v>DISTRIBUTION BOARDS   (M)</v>
      </c>
      <c r="C112" s="662">
        <f>'L1 Finishes'!G31</f>
        <v>0</v>
      </c>
      <c r="D112" s="662">
        <f>'L1 Finishes'!H31</f>
        <v>0</v>
      </c>
      <c r="E112" s="662">
        <f>'L1 Finishes'!I31</f>
        <v>0</v>
      </c>
      <c r="F112" s="661"/>
      <c r="G112" s="614">
        <f>'L1 Finishes'!P31</f>
        <v>0</v>
      </c>
      <c r="H112" s="614">
        <f>'L1 Finishes'!Q31</f>
        <v>0</v>
      </c>
      <c r="I112" s="614">
        <f>'L1 Finishes'!R31</f>
        <v>0</v>
      </c>
      <c r="J112" s="614">
        <f>'L1 Finishes'!S31</f>
        <v>0</v>
      </c>
      <c r="K112" s="614">
        <f>'L1 Finishes'!T31</f>
        <v>0</v>
      </c>
      <c r="L112" s="614">
        <f>'L1 Finishes'!U31</f>
        <v>0</v>
      </c>
      <c r="M112" s="283">
        <f t="shared" si="5"/>
        <v>0</v>
      </c>
      <c r="N112" s="289"/>
    </row>
    <row r="113" spans="1:14" ht="36" hidden="1" customHeight="1">
      <c r="A113" s="660" t="str">
        <f>'L1 Finishes'!B32</f>
        <v>27 a</v>
      </c>
      <c r="B113" s="660" t="str">
        <f>'L1 Finishes'!C32</f>
        <v>Internal Paint     (M+L)</v>
      </c>
      <c r="C113" s="662">
        <f>'L1 Finishes'!G32</f>
        <v>0</v>
      </c>
      <c r="D113" s="662">
        <f>'L1 Finishes'!H32</f>
        <v>0</v>
      </c>
      <c r="E113" s="662">
        <f>'L1 Finishes'!I32</f>
        <v>0</v>
      </c>
      <c r="F113" s="661"/>
      <c r="G113" s="614">
        <f>'L1 Finishes'!P32</f>
        <v>0</v>
      </c>
      <c r="H113" s="614">
        <f>'L1 Finishes'!Q32</f>
        <v>0</v>
      </c>
      <c r="I113" s="614">
        <f>'L1 Finishes'!R32</f>
        <v>0</v>
      </c>
      <c r="J113" s="614">
        <f>'L1 Finishes'!S32</f>
        <v>0</v>
      </c>
      <c r="K113" s="614">
        <f>'L1 Finishes'!T32</f>
        <v>0</v>
      </c>
      <c r="L113" s="614">
        <f>'L1 Finishes'!U32</f>
        <v>0</v>
      </c>
      <c r="M113" s="283">
        <f t="shared" si="5"/>
        <v>0</v>
      </c>
      <c r="N113" s="289"/>
    </row>
    <row r="114" spans="1:14" ht="36" customHeight="1">
      <c r="A114" s="140" t="str">
        <f>'L1 Finishes'!B33</f>
        <v>27 b</v>
      </c>
      <c r="B114" s="140" t="str">
        <f>'L1 Finishes'!C33</f>
        <v xml:space="preserve">External Paint </v>
      </c>
      <c r="C114" s="140">
        <f>'L1 Finishes'!G33</f>
        <v>8105205</v>
      </c>
      <c r="D114" s="140">
        <f>'L1 Finishes'!H33</f>
        <v>2026300</v>
      </c>
      <c r="E114" s="140">
        <f>'L1 Finishes'!I33</f>
        <v>6078905</v>
      </c>
      <c r="F114" s="140"/>
      <c r="G114" s="614">
        <f>'L1 Finishes'!P33</f>
        <v>2026301.6666666667</v>
      </c>
      <c r="H114" s="614">
        <f>'L1 Finishes'!Q33</f>
        <v>2026301.6666666667</v>
      </c>
      <c r="I114" s="614">
        <v>2026301</v>
      </c>
      <c r="J114" s="614">
        <f>'L1 Finishes'!S33</f>
        <v>0</v>
      </c>
      <c r="K114" s="614">
        <f>'L1 Finishes'!T33</f>
        <v>0</v>
      </c>
      <c r="L114" s="614">
        <f>'L1 Finishes'!U33</f>
        <v>0</v>
      </c>
      <c r="M114" s="283">
        <f t="shared" si="5"/>
        <v>0</v>
      </c>
      <c r="N114" s="289"/>
    </row>
    <row r="115" spans="1:14" ht="36" hidden="1" customHeight="1">
      <c r="A115" s="140">
        <f>'L1 Finishes'!B34</f>
        <v>28</v>
      </c>
      <c r="B115" s="140" t="str">
        <f>'L1 Finishes'!C34</f>
        <v>Tile      (M+L)</v>
      </c>
      <c r="C115" s="140">
        <f>'L1 Finishes'!G34</f>
        <v>0</v>
      </c>
      <c r="D115" s="140">
        <f>'L1 Finishes'!H34</f>
        <v>0</v>
      </c>
      <c r="E115" s="140">
        <f>'L1 Finishes'!I34</f>
        <v>0</v>
      </c>
      <c r="F115" s="140"/>
      <c r="G115" s="614">
        <f>'L1 Finishes'!P34</f>
        <v>0</v>
      </c>
      <c r="H115" s="614">
        <f>'L1 Finishes'!Q34</f>
        <v>0</v>
      </c>
      <c r="I115" s="614">
        <f>'L1 Finishes'!R34</f>
        <v>0</v>
      </c>
      <c r="J115" s="614">
        <f>'L1 Finishes'!S34</f>
        <v>0</v>
      </c>
      <c r="K115" s="614">
        <f>'L1 Finishes'!T34</f>
        <v>0</v>
      </c>
      <c r="L115" s="614">
        <f>'L1 Finishes'!U34</f>
        <v>0</v>
      </c>
      <c r="M115" s="283">
        <f t="shared" si="5"/>
        <v>0</v>
      </c>
      <c r="N115" s="289"/>
    </row>
    <row r="116" spans="1:14" ht="36" hidden="1" customHeight="1">
      <c r="A116" s="140" t="str">
        <f>'L1 Finishes'!B35</f>
        <v>28 b</v>
      </c>
      <c r="B116" s="140" t="str">
        <f>'L1 Finishes'!C35</f>
        <v>Marble Works</v>
      </c>
      <c r="C116" s="140">
        <f>'L1 Finishes'!G35</f>
        <v>0</v>
      </c>
      <c r="D116" s="140">
        <f>'L1 Finishes'!H35</f>
        <v>0</v>
      </c>
      <c r="E116" s="140">
        <f>'L1 Finishes'!I35</f>
        <v>0</v>
      </c>
      <c r="F116" s="140"/>
      <c r="G116" s="614">
        <f>'L1 Finishes'!P35</f>
        <v>0</v>
      </c>
      <c r="H116" s="614">
        <f>'L1 Finishes'!Q35</f>
        <v>0</v>
      </c>
      <c r="I116" s="614">
        <f>'L1 Finishes'!R35</f>
        <v>0</v>
      </c>
      <c r="J116" s="614">
        <f>'L1 Finishes'!S35</f>
        <v>0</v>
      </c>
      <c r="K116" s="614">
        <f>'L1 Finishes'!T35</f>
        <v>0</v>
      </c>
      <c r="L116" s="614">
        <f>'L1 Finishes'!U35</f>
        <v>0</v>
      </c>
      <c r="M116" s="283">
        <f t="shared" si="5"/>
        <v>0</v>
      </c>
      <c r="N116" s="289"/>
    </row>
    <row r="117" spans="1:14" ht="36" hidden="1" customHeight="1">
      <c r="A117" s="140">
        <f>'L1 Finishes'!B36</f>
        <v>29</v>
      </c>
      <c r="B117" s="140" t="str">
        <f>'L1 Finishes'!C36</f>
        <v>BUSWAYS          (M)</v>
      </c>
      <c r="C117" s="140">
        <f>'L1 Finishes'!G36</f>
        <v>0</v>
      </c>
      <c r="D117" s="140">
        <f>'L1 Finishes'!H36</f>
        <v>0</v>
      </c>
      <c r="E117" s="140">
        <f>'L1 Finishes'!I36</f>
        <v>0</v>
      </c>
      <c r="F117" s="140"/>
      <c r="G117" s="614">
        <f>'L1 Finishes'!P36</f>
        <v>0</v>
      </c>
      <c r="H117" s="614">
        <f>'L1 Finishes'!Q36</f>
        <v>0</v>
      </c>
      <c r="I117" s="614">
        <f>'L1 Finishes'!R36</f>
        <v>0</v>
      </c>
      <c r="J117" s="614">
        <f>'L1 Finishes'!S36</f>
        <v>0</v>
      </c>
      <c r="K117" s="614">
        <f>'L1 Finishes'!T36</f>
        <v>0</v>
      </c>
      <c r="L117" s="614">
        <f>'L1 Finishes'!U36</f>
        <v>0</v>
      </c>
      <c r="M117" s="283">
        <f t="shared" si="5"/>
        <v>0</v>
      </c>
      <c r="N117" s="289"/>
    </row>
    <row r="118" spans="1:14" ht="36" hidden="1" customHeight="1">
      <c r="A118" s="140" t="str">
        <f>'L1 Finishes'!B37</f>
        <v>30 a</v>
      </c>
      <c r="B118" s="140" t="str">
        <f>'L1 Finishes'!C37</f>
        <v>Wood  (M+L)</v>
      </c>
      <c r="C118" s="140">
        <f>'L1 Finishes'!G37</f>
        <v>0</v>
      </c>
      <c r="D118" s="140">
        <f>'L1 Finishes'!H37</f>
        <v>0</v>
      </c>
      <c r="E118" s="140">
        <f>'L1 Finishes'!I37</f>
        <v>0</v>
      </c>
      <c r="F118" s="140"/>
      <c r="G118" s="614">
        <f>'L1 Finishes'!P37</f>
        <v>0</v>
      </c>
      <c r="H118" s="614">
        <f>'L1 Finishes'!Q37</f>
        <v>0</v>
      </c>
      <c r="I118" s="614">
        <f>'L1 Finishes'!R37</f>
        <v>0</v>
      </c>
      <c r="J118" s="614">
        <f>'L1 Finishes'!S37</f>
        <v>0</v>
      </c>
      <c r="K118" s="614">
        <f>'L1 Finishes'!T37</f>
        <v>0</v>
      </c>
      <c r="L118" s="614">
        <f>'L1 Finishes'!U37</f>
        <v>0</v>
      </c>
      <c r="M118" s="283">
        <f t="shared" si="5"/>
        <v>0</v>
      </c>
      <c r="N118" s="289"/>
    </row>
    <row r="119" spans="1:14" ht="36" hidden="1" customHeight="1">
      <c r="A119" s="140" t="str">
        <f>'L1 Finishes'!B38</f>
        <v>30 b</v>
      </c>
      <c r="B119" s="140" t="str">
        <f>'L1 Finishes'!C38</f>
        <v>Steel Work (M+L)</v>
      </c>
      <c r="C119" s="140">
        <f>'L1 Finishes'!G38</f>
        <v>0</v>
      </c>
      <c r="D119" s="140">
        <f>'L1 Finishes'!H38</f>
        <v>0</v>
      </c>
      <c r="E119" s="140">
        <f>'L1 Finishes'!I38</f>
        <v>0</v>
      </c>
      <c r="F119" s="140"/>
      <c r="G119" s="614">
        <f>'L1 Finishes'!P38</f>
        <v>0</v>
      </c>
      <c r="H119" s="614">
        <f>'L1 Finishes'!Q38</f>
        <v>0</v>
      </c>
      <c r="I119" s="614">
        <f>'L1 Finishes'!R38</f>
        <v>0</v>
      </c>
      <c r="J119" s="614">
        <f>'L1 Finishes'!S38</f>
        <v>0</v>
      </c>
      <c r="K119" s="614">
        <f>'L1 Finishes'!T38</f>
        <v>0</v>
      </c>
      <c r="L119" s="614">
        <f>'L1 Finishes'!U38</f>
        <v>0</v>
      </c>
      <c r="M119" s="283">
        <f t="shared" si="5"/>
        <v>0</v>
      </c>
      <c r="N119" s="289"/>
    </row>
    <row r="120" spans="1:14" ht="36" customHeight="1">
      <c r="A120" s="140">
        <f>'L1 Finishes'!B39</f>
        <v>31</v>
      </c>
      <c r="B120" s="140" t="str">
        <f>'L1 Finishes'!C39</f>
        <v>Dry Type Transformers     (M)</v>
      </c>
      <c r="C120" s="140">
        <f>'L1 Finishes'!G39</f>
        <v>11741000</v>
      </c>
      <c r="D120" s="140">
        <f>'L1 Finishes'!H39</f>
        <v>5870500</v>
      </c>
      <c r="E120" s="140">
        <f>'L1 Finishes'!I39</f>
        <v>5870500</v>
      </c>
      <c r="F120" s="140"/>
      <c r="G120" s="614">
        <f>'L1 Finishes'!P39</f>
        <v>0</v>
      </c>
      <c r="H120" s="614"/>
      <c r="I120" s="614">
        <f>'L1 Finishes'!R39</f>
        <v>5870500</v>
      </c>
      <c r="J120" s="614">
        <f>'L1 Finishes'!S39</f>
        <v>0</v>
      </c>
      <c r="K120" s="614">
        <f>'L1 Finishes'!T39</f>
        <v>0</v>
      </c>
      <c r="L120" s="614">
        <f>'L1 Finishes'!U39</f>
        <v>0</v>
      </c>
      <c r="M120" s="283">
        <f t="shared" si="5"/>
        <v>0</v>
      </c>
      <c r="N120" s="289"/>
    </row>
    <row r="121" spans="1:14" ht="36" hidden="1" customHeight="1">
      <c r="A121" s="660">
        <f>'L1 Finishes'!B40</f>
        <v>32</v>
      </c>
      <c r="B121" s="660" t="str">
        <f>'L1 Finishes'!C40</f>
        <v>DIESEL GENERATOR &amp; ALLIED WORKS   (M+L)</v>
      </c>
      <c r="C121" s="662">
        <f>'L1 Finishes'!G40</f>
        <v>0</v>
      </c>
      <c r="D121" s="662">
        <f>'L1 Finishes'!H40</f>
        <v>0</v>
      </c>
      <c r="E121" s="662">
        <f>'L1 Finishes'!I40</f>
        <v>0</v>
      </c>
      <c r="F121" s="661"/>
      <c r="G121" s="614">
        <f>'L1 Finishes'!P40</f>
        <v>0</v>
      </c>
      <c r="H121" s="614">
        <f>'L1 Finishes'!Q40</f>
        <v>0</v>
      </c>
      <c r="I121" s="614">
        <f>'L1 Finishes'!R40</f>
        <v>0</v>
      </c>
      <c r="J121" s="614">
        <f>'L1 Finishes'!S40</f>
        <v>0</v>
      </c>
      <c r="K121" s="614">
        <f>'L1 Finishes'!T40</f>
        <v>0</v>
      </c>
      <c r="L121" s="614">
        <f>'L1 Finishes'!U40</f>
        <v>0</v>
      </c>
      <c r="M121" s="283">
        <f t="shared" si="5"/>
        <v>0</v>
      </c>
      <c r="N121" s="289"/>
    </row>
    <row r="122" spans="1:14" ht="36" hidden="1" customHeight="1">
      <c r="A122" s="660">
        <f>'L1 Finishes'!B41</f>
        <v>33</v>
      </c>
      <c r="B122" s="660" t="str">
        <f>'L1 Finishes'!C41</f>
        <v>Chute      (M+L)</v>
      </c>
      <c r="C122" s="662">
        <f>'L1 Finishes'!G41</f>
        <v>0</v>
      </c>
      <c r="D122" s="662">
        <f>'L1 Finishes'!H41</f>
        <v>0</v>
      </c>
      <c r="E122" s="662">
        <f>'L1 Finishes'!I41</f>
        <v>0</v>
      </c>
      <c r="F122" s="661"/>
      <c r="G122" s="614">
        <f>'L1 Finishes'!P41</f>
        <v>0</v>
      </c>
      <c r="H122" s="614">
        <f>'L1 Finishes'!Q41</f>
        <v>0</v>
      </c>
      <c r="I122" s="614">
        <f>'L1 Finishes'!R41</f>
        <v>0</v>
      </c>
      <c r="J122" s="614">
        <f>'L1 Finishes'!S41</f>
        <v>0</v>
      </c>
      <c r="K122" s="614">
        <f>'L1 Finishes'!T41</f>
        <v>0</v>
      </c>
      <c r="L122" s="614">
        <f>'L1 Finishes'!U41</f>
        <v>0</v>
      </c>
      <c r="M122" s="283">
        <f t="shared" si="5"/>
        <v>0</v>
      </c>
      <c r="N122" s="289"/>
    </row>
    <row r="123" spans="1:14" ht="36" hidden="1" customHeight="1">
      <c r="A123" s="660">
        <f>'L1 Finishes'!B42</f>
        <v>34</v>
      </c>
      <c r="B123" s="660" t="str">
        <f>'L1 Finishes'!C42</f>
        <v>LPG System  (M+L)</v>
      </c>
      <c r="C123" s="662">
        <f>'L1 Finishes'!G42</f>
        <v>0</v>
      </c>
      <c r="D123" s="662">
        <f>'L1 Finishes'!H42</f>
        <v>0</v>
      </c>
      <c r="E123" s="662">
        <f>'L1 Finishes'!I42</f>
        <v>0</v>
      </c>
      <c r="F123" s="661"/>
      <c r="G123" s="614">
        <f>'L1 Finishes'!P42</f>
        <v>0</v>
      </c>
      <c r="H123" s="614">
        <f>'L1 Finishes'!Q42</f>
        <v>0</v>
      </c>
      <c r="I123" s="614">
        <f>'L1 Finishes'!R42</f>
        <v>0</v>
      </c>
      <c r="J123" s="614">
        <f>'L1 Finishes'!S42</f>
        <v>0</v>
      </c>
      <c r="K123" s="614">
        <f>'L1 Finishes'!T42</f>
        <v>0</v>
      </c>
      <c r="L123" s="614">
        <f>'L1 Finishes'!U42</f>
        <v>0</v>
      </c>
      <c r="M123" s="283">
        <f t="shared" si="5"/>
        <v>0</v>
      </c>
      <c r="N123" s="289"/>
    </row>
    <row r="124" spans="1:14" ht="36" hidden="1" customHeight="1">
      <c r="A124" s="660">
        <f>'L1 Finishes'!B43</f>
        <v>35</v>
      </c>
      <c r="B124" s="660" t="str">
        <f>'L1 Finishes'!C43</f>
        <v>VERTICAL BACKBONE INFRASTRUCTURE (GPON)  (M+L)</v>
      </c>
      <c r="C124" s="662">
        <f>'L1 Finishes'!G43</f>
        <v>0</v>
      </c>
      <c r="D124" s="662">
        <f>'L1 Finishes'!H43</f>
        <v>0</v>
      </c>
      <c r="E124" s="662">
        <f>'L1 Finishes'!I43</f>
        <v>0</v>
      </c>
      <c r="F124" s="661"/>
      <c r="G124" s="614">
        <f>'L1 Finishes'!P43</f>
        <v>0</v>
      </c>
      <c r="H124" s="614">
        <f>'L1 Finishes'!Q43</f>
        <v>0</v>
      </c>
      <c r="I124" s="614">
        <f>'L1 Finishes'!R43</f>
        <v>0</v>
      </c>
      <c r="J124" s="614">
        <f>'L1 Finishes'!S43</f>
        <v>0</v>
      </c>
      <c r="K124" s="614">
        <f>'L1 Finishes'!T43</f>
        <v>0</v>
      </c>
      <c r="L124" s="614">
        <f>'L1 Finishes'!U43</f>
        <v>0</v>
      </c>
      <c r="M124" s="283">
        <f t="shared" si="5"/>
        <v>0</v>
      </c>
      <c r="N124" s="289"/>
    </row>
    <row r="125" spans="1:14" ht="36" hidden="1" customHeight="1">
      <c r="A125" s="660" t="str">
        <f>'L1 Finishes'!B44</f>
        <v>36a</v>
      </c>
      <c r="B125" s="660" t="str">
        <f>'L1 Finishes'!C44</f>
        <v>SUPPLY OF PLUMBING FIXTURES   (M)</v>
      </c>
      <c r="C125" s="662">
        <f>'L1 Finishes'!G44</f>
        <v>0</v>
      </c>
      <c r="D125" s="662">
        <f>'L1 Finishes'!H44</f>
        <v>0</v>
      </c>
      <c r="E125" s="662">
        <f>'L1 Finishes'!I44</f>
        <v>0</v>
      </c>
      <c r="F125" s="661"/>
      <c r="G125" s="614">
        <f>'L1 Finishes'!P44</f>
        <v>0</v>
      </c>
      <c r="H125" s="614">
        <f>'L1 Finishes'!Q44</f>
        <v>0</v>
      </c>
      <c r="I125" s="614">
        <f>'L1 Finishes'!R44</f>
        <v>0</v>
      </c>
      <c r="J125" s="614">
        <f>'L1 Finishes'!S44</f>
        <v>0</v>
      </c>
      <c r="K125" s="614">
        <f>'L1 Finishes'!T44</f>
        <v>0</v>
      </c>
      <c r="L125" s="614">
        <f>'L1 Finishes'!U44</f>
        <v>0</v>
      </c>
      <c r="M125" s="283">
        <f t="shared" si="5"/>
        <v>0</v>
      </c>
      <c r="N125" s="289"/>
    </row>
    <row r="126" spans="1:14" ht="36" hidden="1" customHeight="1">
      <c r="A126" s="660" t="str">
        <f>'L1 Finishes'!B45</f>
        <v>36b</v>
      </c>
      <c r="B126" s="660" t="str">
        <f>'L1 Finishes'!C45</f>
        <v xml:space="preserve">Mirror </v>
      </c>
      <c r="C126" s="662">
        <f>'L1 Finishes'!G45</f>
        <v>0</v>
      </c>
      <c r="D126" s="662">
        <f>'L1 Finishes'!H45</f>
        <v>0</v>
      </c>
      <c r="E126" s="662">
        <f>'L1 Finishes'!I45</f>
        <v>0</v>
      </c>
      <c r="F126" s="661"/>
      <c r="G126" s="614">
        <f>'L1 Finishes'!P45</f>
        <v>0</v>
      </c>
      <c r="H126" s="614">
        <f>'L1 Finishes'!Q45</f>
        <v>0</v>
      </c>
      <c r="I126" s="614">
        <f>'L1 Finishes'!R45</f>
        <v>0</v>
      </c>
      <c r="J126" s="614">
        <f>'L1 Finishes'!S45</f>
        <v>0</v>
      </c>
      <c r="K126" s="614">
        <f>'L1 Finishes'!T45</f>
        <v>0</v>
      </c>
      <c r="L126" s="614">
        <f>'L1 Finishes'!U45</f>
        <v>0</v>
      </c>
      <c r="M126" s="283">
        <f t="shared" si="5"/>
        <v>0</v>
      </c>
      <c r="N126" s="289"/>
    </row>
    <row r="127" spans="1:14" ht="36" hidden="1" customHeight="1">
      <c r="A127" s="660" t="str">
        <f>'L1 Finishes'!B46</f>
        <v xml:space="preserve">36c </v>
      </c>
      <c r="B127" s="660" t="str">
        <f>'L1 Finishes'!C46</f>
        <v>Shower Cabin</v>
      </c>
      <c r="C127" s="662">
        <f>'L1 Finishes'!G46</f>
        <v>0</v>
      </c>
      <c r="D127" s="662">
        <f>'L1 Finishes'!H46</f>
        <v>0</v>
      </c>
      <c r="E127" s="662">
        <f>'L1 Finishes'!I46</f>
        <v>0</v>
      </c>
      <c r="F127" s="661"/>
      <c r="G127" s="614">
        <f>'L1 Finishes'!P46</f>
        <v>0</v>
      </c>
      <c r="H127" s="614">
        <f>'L1 Finishes'!Q46</f>
        <v>0</v>
      </c>
      <c r="I127" s="614">
        <f>'L1 Finishes'!R46</f>
        <v>0</v>
      </c>
      <c r="J127" s="614">
        <f>'L1 Finishes'!S46</f>
        <v>0</v>
      </c>
      <c r="K127" s="614">
        <f>'L1 Finishes'!T46</f>
        <v>0</v>
      </c>
      <c r="L127" s="614">
        <f>'L1 Finishes'!U46</f>
        <v>0</v>
      </c>
      <c r="M127" s="283">
        <f t="shared" si="5"/>
        <v>0</v>
      </c>
      <c r="N127" s="289"/>
    </row>
    <row r="128" spans="1:14" ht="36" hidden="1" customHeight="1">
      <c r="A128" s="660">
        <f>'L1 Finishes'!B47</f>
        <v>37</v>
      </c>
      <c r="B128" s="660" t="str">
        <f>'L1 Finishes'!C47</f>
        <v>MEDIUM VOLTAGE CABLES &amp; TERMINATION KITS  (M)</v>
      </c>
      <c r="C128" s="662">
        <f>'L1 Finishes'!G47</f>
        <v>0</v>
      </c>
      <c r="D128" s="662">
        <f>'L1 Finishes'!H47</f>
        <v>0</v>
      </c>
      <c r="E128" s="662">
        <f>'L1 Finishes'!I47</f>
        <v>0</v>
      </c>
      <c r="F128" s="661"/>
      <c r="G128" s="614">
        <f>'L1 Finishes'!P47</f>
        <v>0</v>
      </c>
      <c r="H128" s="614">
        <f>'L1 Finishes'!Q47</f>
        <v>0</v>
      </c>
      <c r="I128" s="614">
        <f>'L1 Finishes'!R47</f>
        <v>0</v>
      </c>
      <c r="J128" s="614">
        <f>'L1 Finishes'!S47</f>
        <v>0</v>
      </c>
      <c r="K128" s="614">
        <f>'L1 Finishes'!T47</f>
        <v>0</v>
      </c>
      <c r="L128" s="614">
        <f>'L1 Finishes'!U47</f>
        <v>0</v>
      </c>
      <c r="M128" s="283">
        <f t="shared" si="5"/>
        <v>0</v>
      </c>
      <c r="N128" s="289"/>
    </row>
    <row r="129" spans="1:14" ht="36" hidden="1" customHeight="1">
      <c r="A129" s="660">
        <f>'L1 Finishes'!B48</f>
        <v>38</v>
      </c>
      <c r="B129" s="660" t="str">
        <f>'L1 Finishes'!C48</f>
        <v>SWITCHES &amp; SOCKETS   (M)</v>
      </c>
      <c r="C129" s="662">
        <f>'L1 Finishes'!G48</f>
        <v>0</v>
      </c>
      <c r="D129" s="662">
        <f>'L1 Finishes'!H48</f>
        <v>0</v>
      </c>
      <c r="E129" s="662">
        <f>'L1 Finishes'!I48</f>
        <v>0</v>
      </c>
      <c r="F129" s="661"/>
      <c r="G129" s="614">
        <f>'L1 Finishes'!P48</f>
        <v>0</v>
      </c>
      <c r="H129" s="614">
        <f>'L1 Finishes'!Q48</f>
        <v>0</v>
      </c>
      <c r="I129" s="614">
        <f>'L1 Finishes'!R48</f>
        <v>0</v>
      </c>
      <c r="J129" s="614">
        <f>'L1 Finishes'!S48</f>
        <v>0</v>
      </c>
      <c r="K129" s="614">
        <f>'L1 Finishes'!T48</f>
        <v>0</v>
      </c>
      <c r="L129" s="614">
        <f>'L1 Finishes'!U48</f>
        <v>0</v>
      </c>
      <c r="M129" s="283">
        <f t="shared" si="5"/>
        <v>0</v>
      </c>
      <c r="N129" s="289"/>
    </row>
    <row r="130" spans="1:14" ht="36" hidden="1" customHeight="1">
      <c r="A130" s="660">
        <f>'L1 Finishes'!B49</f>
        <v>39</v>
      </c>
      <c r="B130" s="660" t="str">
        <f>'L1 Finishes'!C49</f>
        <v>LIGHTING FIXTURES    (M)</v>
      </c>
      <c r="C130" s="662">
        <f>'L1 Finishes'!G49</f>
        <v>0</v>
      </c>
      <c r="D130" s="662">
        <f>'L1 Finishes'!H49</f>
        <v>0</v>
      </c>
      <c r="E130" s="662">
        <f>'L1 Finishes'!I49</f>
        <v>0</v>
      </c>
      <c r="F130" s="661"/>
      <c r="G130" s="614">
        <f>'L1 Finishes'!P49</f>
        <v>0</v>
      </c>
      <c r="H130" s="614">
        <f>'L1 Finishes'!Q49</f>
        <v>0</v>
      </c>
      <c r="I130" s="614">
        <f>'L1 Finishes'!R49</f>
        <v>0</v>
      </c>
      <c r="J130" s="614">
        <f>'L1 Finishes'!S49</f>
        <v>0</v>
      </c>
      <c r="K130" s="614">
        <f>'L1 Finishes'!T49</f>
        <v>0</v>
      </c>
      <c r="L130" s="614">
        <f>'L1 Finishes'!U49</f>
        <v>0</v>
      </c>
      <c r="M130" s="283">
        <f t="shared" si="5"/>
        <v>0</v>
      </c>
      <c r="N130" s="289"/>
    </row>
    <row r="131" spans="1:14" ht="36" hidden="1" customHeight="1">
      <c r="A131" s="660">
        <f>'L1 Finishes'!B50</f>
        <v>40</v>
      </c>
      <c r="B131" s="660" t="str">
        <f>'L1 Finishes'!C50</f>
        <v>UPS (UNINTERRUPTIBLE POWER SUPPLY)     (M+L)</v>
      </c>
      <c r="C131" s="662">
        <f>'L1 Finishes'!G50</f>
        <v>0</v>
      </c>
      <c r="D131" s="662">
        <f>'L1 Finishes'!H50</f>
        <v>0</v>
      </c>
      <c r="E131" s="662">
        <f>'L1 Finishes'!I50</f>
        <v>0</v>
      </c>
      <c r="F131" s="661"/>
      <c r="G131" s="614">
        <f>'L1 Finishes'!P50</f>
        <v>0</v>
      </c>
      <c r="H131" s="614">
        <f>'L1 Finishes'!Q50</f>
        <v>0</v>
      </c>
      <c r="I131" s="614">
        <f>'L1 Finishes'!R50</f>
        <v>0</v>
      </c>
      <c r="J131" s="614">
        <f>'L1 Finishes'!S50</f>
        <v>0</v>
      </c>
      <c r="K131" s="614">
        <f>'L1 Finishes'!T50</f>
        <v>0</v>
      </c>
      <c r="L131" s="614">
        <f>'L1 Finishes'!U50</f>
        <v>0</v>
      </c>
      <c r="M131" s="283">
        <f t="shared" si="5"/>
        <v>0</v>
      </c>
      <c r="N131" s="289"/>
    </row>
    <row r="132" spans="1:14" ht="36" hidden="1" customHeight="1">
      <c r="A132" s="660">
        <f>'L1 Finishes'!B51</f>
        <v>41</v>
      </c>
      <c r="B132" s="660" t="str">
        <f>'L1 Finishes'!C51</f>
        <v>CCTV SYSTEM (IP BASED)   (M+L)</v>
      </c>
      <c r="C132" s="662">
        <f>'L1 Finishes'!G51</f>
        <v>0</v>
      </c>
      <c r="D132" s="662">
        <f>'L1 Finishes'!H51</f>
        <v>0</v>
      </c>
      <c r="E132" s="662">
        <f>'L1 Finishes'!I51</f>
        <v>0</v>
      </c>
      <c r="F132" s="661"/>
      <c r="G132" s="614">
        <f>'L1 Finishes'!P51</f>
        <v>0</v>
      </c>
      <c r="H132" s="614">
        <f>'L1 Finishes'!Q51</f>
        <v>0</v>
      </c>
      <c r="I132" s="614">
        <f>'L1 Finishes'!R51</f>
        <v>0</v>
      </c>
      <c r="J132" s="614">
        <f>'L1 Finishes'!S51</f>
        <v>0</v>
      </c>
      <c r="K132" s="614">
        <f>'L1 Finishes'!T51</f>
        <v>0</v>
      </c>
      <c r="L132" s="614">
        <f>'L1 Finishes'!U51</f>
        <v>0</v>
      </c>
      <c r="M132" s="283">
        <f t="shared" si="5"/>
        <v>0</v>
      </c>
      <c r="N132" s="289"/>
    </row>
    <row r="133" spans="1:14" ht="36" hidden="1" customHeight="1">
      <c r="A133" s="660">
        <f>'L1 Finishes'!B52</f>
        <v>42</v>
      </c>
      <c r="B133" s="660" t="str">
        <f>'L1 Finishes'!C52</f>
        <v>Ventilation/Exhaust system    (M+L)</v>
      </c>
      <c r="C133" s="662">
        <f>'L1 Finishes'!G52</f>
        <v>0</v>
      </c>
      <c r="D133" s="662">
        <f>'L1 Finishes'!H52</f>
        <v>0</v>
      </c>
      <c r="E133" s="662">
        <f>'L1 Finishes'!I52</f>
        <v>0</v>
      </c>
      <c r="F133" s="661"/>
      <c r="G133" s="614">
        <f>'L1 Finishes'!P52</f>
        <v>0</v>
      </c>
      <c r="H133" s="614">
        <f>'L1 Finishes'!Q52</f>
        <v>0</v>
      </c>
      <c r="I133" s="614">
        <f>'L1 Finishes'!R52</f>
        <v>0</v>
      </c>
      <c r="J133" s="614">
        <f>'L1 Finishes'!S52</f>
        <v>0</v>
      </c>
      <c r="K133" s="614">
        <f>'L1 Finishes'!T52</f>
        <v>0</v>
      </c>
      <c r="L133" s="614">
        <f>'L1 Finishes'!U52</f>
        <v>0</v>
      </c>
      <c r="M133" s="283">
        <f t="shared" si="5"/>
        <v>0</v>
      </c>
      <c r="N133" s="289"/>
    </row>
    <row r="134" spans="1:14" ht="36" hidden="1" customHeight="1">
      <c r="A134" s="660">
        <f>'L1 Finishes'!B53</f>
        <v>45</v>
      </c>
      <c r="B134" s="660" t="str">
        <f>'L1 Finishes'!C53</f>
        <v>FIRE ALARM SYSTEM      (M+L)</v>
      </c>
      <c r="C134" s="662">
        <f>'L1 Finishes'!G53</f>
        <v>0</v>
      </c>
      <c r="D134" s="662">
        <f>'L1 Finishes'!H53</f>
        <v>0</v>
      </c>
      <c r="E134" s="662">
        <f>'L1 Finishes'!I53</f>
        <v>0</v>
      </c>
      <c r="F134" s="661"/>
      <c r="G134" s="614">
        <f>'L1 Finishes'!P53</f>
        <v>0</v>
      </c>
      <c r="H134" s="614">
        <f>'L1 Finishes'!Q53</f>
        <v>0</v>
      </c>
      <c r="I134" s="614">
        <f>'L1 Finishes'!R53</f>
        <v>0</v>
      </c>
      <c r="J134" s="614">
        <f>'L1 Finishes'!S53</f>
        <v>0</v>
      </c>
      <c r="K134" s="614">
        <f>'L1 Finishes'!T53</f>
        <v>0</v>
      </c>
      <c r="L134" s="614">
        <f>'L1 Finishes'!U53</f>
        <v>0</v>
      </c>
      <c r="M134" s="283">
        <f t="shared" si="5"/>
        <v>0</v>
      </c>
      <c r="N134" s="289"/>
    </row>
    <row r="135" spans="1:14" ht="36" hidden="1" customHeight="1">
      <c r="A135" s="660">
        <f>'L1 Finishes'!B54</f>
        <v>46</v>
      </c>
      <c r="B135" s="660" t="str">
        <f>'L1 Finishes'!C54</f>
        <v>FACILITY LIGHTNING PROTECTION SYSTEM (OFM)</v>
      </c>
      <c r="C135" s="662">
        <f>'L1 Finishes'!G54</f>
        <v>0</v>
      </c>
      <c r="D135" s="662">
        <f>'L1 Finishes'!H54</f>
        <v>0</v>
      </c>
      <c r="E135" s="662">
        <f>'L1 Finishes'!I54</f>
        <v>0</v>
      </c>
      <c r="F135" s="661"/>
      <c r="G135" s="614">
        <f>'L1 Finishes'!P54</f>
        <v>0</v>
      </c>
      <c r="H135" s="614">
        <f>'L1 Finishes'!Q54</f>
        <v>0</v>
      </c>
      <c r="I135" s="614">
        <f>'L1 Finishes'!R54</f>
        <v>0</v>
      </c>
      <c r="J135" s="614">
        <f>'L1 Finishes'!S54</f>
        <v>0</v>
      </c>
      <c r="K135" s="614">
        <f>'L1 Finishes'!T54</f>
        <v>0</v>
      </c>
      <c r="L135" s="614">
        <f>'L1 Finishes'!U54</f>
        <v>0</v>
      </c>
      <c r="M135" s="283">
        <f t="shared" si="5"/>
        <v>0</v>
      </c>
      <c r="N135" s="289"/>
    </row>
    <row r="136" spans="1:14" ht="36" hidden="1" customHeight="1">
      <c r="A136" s="660">
        <f>'L1 Finishes'!B55</f>
        <v>47</v>
      </c>
      <c r="B136" s="660" t="str">
        <f>'L1 Finishes'!C55</f>
        <v>Water storage heater   (M)</v>
      </c>
      <c r="C136" s="662">
        <f>'L1 Finishes'!G55</f>
        <v>0</v>
      </c>
      <c r="D136" s="662">
        <f>'L1 Finishes'!H55</f>
        <v>0</v>
      </c>
      <c r="E136" s="662">
        <f>'L1 Finishes'!I55</f>
        <v>0</v>
      </c>
      <c r="F136" s="661"/>
      <c r="G136" s="614">
        <f>'L1 Finishes'!P55</f>
        <v>0</v>
      </c>
      <c r="H136" s="614">
        <f>'L1 Finishes'!Q55</f>
        <v>0</v>
      </c>
      <c r="I136" s="614">
        <f>'L1 Finishes'!R55</f>
        <v>0</v>
      </c>
      <c r="J136" s="614">
        <f>'L1 Finishes'!S55</f>
        <v>0</v>
      </c>
      <c r="K136" s="614">
        <f>'L1 Finishes'!T55</f>
        <v>0</v>
      </c>
      <c r="L136" s="614">
        <f>'L1 Finishes'!U55</f>
        <v>0</v>
      </c>
      <c r="M136" s="283">
        <f t="shared" si="5"/>
        <v>0</v>
      </c>
      <c r="N136" s="289"/>
    </row>
    <row r="137" spans="1:14" ht="36" hidden="1" customHeight="1">
      <c r="A137" s="660">
        <f>'L1 Finishes'!B56</f>
        <v>48</v>
      </c>
      <c r="B137" s="660" t="str">
        <f>'L1 Finishes'!C56</f>
        <v>PUBLIC ADDRESS SYSTEM   (M)</v>
      </c>
      <c r="C137" s="662">
        <f>'L1 Finishes'!G56</f>
        <v>0</v>
      </c>
      <c r="D137" s="662">
        <f>'L1 Finishes'!H56</f>
        <v>0</v>
      </c>
      <c r="E137" s="662">
        <f>'L1 Finishes'!I56</f>
        <v>0</v>
      </c>
      <c r="F137" s="661"/>
      <c r="G137" s="614">
        <f>'L1 Finishes'!P56</f>
        <v>0</v>
      </c>
      <c r="H137" s="614">
        <f>'L1 Finishes'!Q56</f>
        <v>0</v>
      </c>
      <c r="I137" s="614">
        <f>'L1 Finishes'!R56</f>
        <v>0</v>
      </c>
      <c r="J137" s="614">
        <f>'L1 Finishes'!S56</f>
        <v>0</v>
      </c>
      <c r="K137" s="614">
        <f>'L1 Finishes'!T56</f>
        <v>0</v>
      </c>
      <c r="L137" s="614">
        <f>'L1 Finishes'!U56</f>
        <v>0</v>
      </c>
      <c r="M137" s="283">
        <f t="shared" si="5"/>
        <v>0</v>
      </c>
      <c r="N137" s="289"/>
    </row>
    <row r="138" spans="1:14" ht="36" hidden="1" customHeight="1">
      <c r="A138" s="660">
        <f>'L1 Finishes'!B57</f>
        <v>49</v>
      </c>
      <c r="B138" s="660" t="str">
        <f>'L1 Finishes'!C57</f>
        <v>ACCESS CONTROL SYSTEM   (M)</v>
      </c>
      <c r="C138" s="662">
        <f>'L1 Finishes'!G57</f>
        <v>0</v>
      </c>
      <c r="D138" s="662">
        <f>'L1 Finishes'!H57</f>
        <v>0</v>
      </c>
      <c r="E138" s="662">
        <f>'L1 Finishes'!I57</f>
        <v>0</v>
      </c>
      <c r="F138" s="661"/>
      <c r="G138" s="614">
        <f>'L1 Finishes'!P57</f>
        <v>0</v>
      </c>
      <c r="H138" s="614">
        <f>'L1 Finishes'!Q57</f>
        <v>0</v>
      </c>
      <c r="I138" s="614">
        <f>'L1 Finishes'!R57</f>
        <v>0</v>
      </c>
      <c r="J138" s="614">
        <f>'L1 Finishes'!S57</f>
        <v>0</v>
      </c>
      <c r="K138" s="614">
        <f>'L1 Finishes'!T57</f>
        <v>0</v>
      </c>
      <c r="L138" s="614">
        <f>'L1 Finishes'!U57</f>
        <v>0</v>
      </c>
      <c r="M138" s="283">
        <f t="shared" si="5"/>
        <v>0</v>
      </c>
      <c r="N138" s="289"/>
    </row>
    <row r="139" spans="1:14" ht="35.1" hidden="1" customHeight="1">
      <c r="A139" s="660">
        <f>'L1 Finishes'!B58</f>
        <v>50</v>
      </c>
      <c r="B139" s="660" t="str">
        <f>'L1 Finishes'!C58</f>
        <v>Pump Sets   (M)</v>
      </c>
      <c r="C139" s="662">
        <f>'L1 Finishes'!G58</f>
        <v>0</v>
      </c>
      <c r="D139" s="662">
        <f>'L1 Finishes'!H58</f>
        <v>0</v>
      </c>
      <c r="E139" s="662">
        <f>'L1 Finishes'!I58</f>
        <v>0</v>
      </c>
      <c r="F139" s="88"/>
      <c r="G139" s="614">
        <f>'L1 Finishes'!P58</f>
        <v>0</v>
      </c>
      <c r="H139" s="614">
        <f>'L1 Finishes'!Q58</f>
        <v>0</v>
      </c>
      <c r="I139" s="614">
        <f>'L1 Finishes'!R58</f>
        <v>0</v>
      </c>
      <c r="J139" s="614">
        <f>'L1 Finishes'!S58</f>
        <v>0</v>
      </c>
      <c r="K139" s="614">
        <f>'L1 Finishes'!T58</f>
        <v>0</v>
      </c>
      <c r="L139" s="614">
        <f>'L1 Finishes'!U58</f>
        <v>0</v>
      </c>
      <c r="M139" s="283">
        <f t="shared" si="5"/>
        <v>0</v>
      </c>
      <c r="N139" s="289"/>
    </row>
    <row r="140" spans="1:14" ht="36" hidden="1" customHeight="1">
      <c r="A140" s="660">
        <f>'L1 Finishes'!B59</f>
        <v>51</v>
      </c>
      <c r="B140" s="660" t="str">
        <f>'L1 Finishes'!C59</f>
        <v>FSS Works (Fire Pumps) Basement  (M+L)</v>
      </c>
      <c r="C140" s="662">
        <f>'L1 Finishes'!G59</f>
        <v>0</v>
      </c>
      <c r="D140" s="662">
        <f>'L1 Finishes'!H59</f>
        <v>0</v>
      </c>
      <c r="E140" s="662">
        <f>'L1 Finishes'!I59</f>
        <v>0</v>
      </c>
      <c r="F140" s="56"/>
      <c r="G140" s="614">
        <f>'L1 Finishes'!P59</f>
        <v>0</v>
      </c>
      <c r="H140" s="614">
        <f>'L1 Finishes'!Q59</f>
        <v>0</v>
      </c>
      <c r="I140" s="614">
        <f>'L1 Finishes'!R59</f>
        <v>0</v>
      </c>
      <c r="J140" s="614">
        <f>'L1 Finishes'!S59</f>
        <v>0</v>
      </c>
      <c r="K140" s="614">
        <f>'L1 Finishes'!T59</f>
        <v>0</v>
      </c>
      <c r="L140" s="614">
        <f>'L1 Finishes'!U59</f>
        <v>0</v>
      </c>
      <c r="M140" s="283">
        <f t="shared" si="5"/>
        <v>0</v>
      </c>
      <c r="N140" s="289"/>
    </row>
    <row r="141" spans="1:14" ht="36" hidden="1" customHeight="1">
      <c r="A141" s="660">
        <f>'L1 Finishes'!B60</f>
        <v>52</v>
      </c>
      <c r="B141" s="660" t="str">
        <f>'L1 Finishes'!C60</f>
        <v>ACMV Works (Ac units)   (M+L)</v>
      </c>
      <c r="C141" s="662">
        <f>'L1 Finishes'!G60</f>
        <v>0</v>
      </c>
      <c r="D141" s="662">
        <f>'L1 Finishes'!H60</f>
        <v>0</v>
      </c>
      <c r="E141" s="662">
        <f>'L1 Finishes'!I60</f>
        <v>0</v>
      </c>
      <c r="F141" s="56"/>
      <c r="G141" s="614">
        <f>'L1 Finishes'!P60</f>
        <v>0</v>
      </c>
      <c r="H141" s="614">
        <f>'L1 Finishes'!Q60</f>
        <v>0</v>
      </c>
      <c r="I141" s="614">
        <f>'L1 Finishes'!R60</f>
        <v>0</v>
      </c>
      <c r="J141" s="614">
        <f>'L1 Finishes'!S60</f>
        <v>0</v>
      </c>
      <c r="K141" s="614">
        <f>'L1 Finishes'!T60</f>
        <v>0</v>
      </c>
      <c r="L141" s="614">
        <f>'L1 Finishes'!U60</f>
        <v>0</v>
      </c>
      <c r="M141" s="283">
        <f t="shared" si="5"/>
        <v>0</v>
      </c>
      <c r="N141" s="289"/>
    </row>
    <row r="142" spans="1:14" ht="36" hidden="1" customHeight="1">
      <c r="A142" s="660">
        <f>'L1 Finishes'!B61</f>
        <v>53</v>
      </c>
      <c r="B142" s="660" t="str">
        <f>'L1 Finishes'!C61</f>
        <v>Water meter  (M)</v>
      </c>
      <c r="C142" s="662">
        <f>'L1 Finishes'!G61</f>
        <v>0</v>
      </c>
      <c r="D142" s="662">
        <f>'L1 Finishes'!H61</f>
        <v>0</v>
      </c>
      <c r="E142" s="662">
        <f>'L1 Finishes'!I61</f>
        <v>0</v>
      </c>
      <c r="F142" s="56"/>
      <c r="G142" s="614">
        <f>'L1 Finishes'!P61</f>
        <v>0</v>
      </c>
      <c r="H142" s="614">
        <f>'L1 Finishes'!Q61</f>
        <v>0</v>
      </c>
      <c r="I142" s="614">
        <f>'L1 Finishes'!R61</f>
        <v>0</v>
      </c>
      <c r="J142" s="614">
        <f>'L1 Finishes'!S61</f>
        <v>0</v>
      </c>
      <c r="K142" s="614">
        <f>'L1 Finishes'!T61</f>
        <v>0</v>
      </c>
      <c r="L142" s="614">
        <f>'L1 Finishes'!U61</f>
        <v>0</v>
      </c>
      <c r="M142" s="283">
        <f t="shared" si="5"/>
        <v>0</v>
      </c>
      <c r="N142" s="289"/>
    </row>
    <row r="143" spans="1:14" ht="35.1" hidden="1" customHeight="1">
      <c r="A143" s="660">
        <f>'L1 Finishes'!B62</f>
        <v>54</v>
      </c>
      <c r="B143" s="660" t="str">
        <f>'L1 Finishes'!C62</f>
        <v>Kitchen Hoods  (M)</v>
      </c>
      <c r="C143" s="662">
        <f>'L1 Finishes'!G62</f>
        <v>0</v>
      </c>
      <c r="D143" s="662">
        <f>'L1 Finishes'!H62</f>
        <v>0</v>
      </c>
      <c r="E143" s="662">
        <f>'L1 Finishes'!I62</f>
        <v>0</v>
      </c>
      <c r="F143" s="56"/>
      <c r="G143" s="614">
        <f>'L1 Finishes'!P62</f>
        <v>0</v>
      </c>
      <c r="H143" s="614">
        <f>'L1 Finishes'!Q62</f>
        <v>0</v>
      </c>
      <c r="I143" s="614">
        <f>'L1 Finishes'!R62</f>
        <v>0</v>
      </c>
      <c r="J143" s="614">
        <f>'L1 Finishes'!S62</f>
        <v>0</v>
      </c>
      <c r="K143" s="614">
        <f>'L1 Finishes'!T62</f>
        <v>0</v>
      </c>
      <c r="L143" s="614">
        <f>'L1 Finishes'!U62</f>
        <v>0</v>
      </c>
      <c r="M143" s="283">
        <f t="shared" si="5"/>
        <v>0</v>
      </c>
      <c r="N143" s="289"/>
    </row>
    <row r="144" spans="1:14" ht="36" customHeight="1">
      <c r="A144" s="140">
        <f>'L1 Finishes'!B63</f>
        <v>55</v>
      </c>
      <c r="B144" s="140" t="str">
        <f>'L1 Finishes'!C63</f>
        <v>Travertine</v>
      </c>
      <c r="C144" s="140">
        <f>'L1 Finishes'!G63</f>
        <v>21000000</v>
      </c>
      <c r="D144" s="140">
        <f>'L1 Finishes'!H63</f>
        <v>4960775</v>
      </c>
      <c r="E144" s="140">
        <f>'L1 Finishes'!I63</f>
        <v>16039225</v>
      </c>
      <c r="F144" s="140"/>
      <c r="G144" s="614">
        <f>'L1 Finishes'!P63</f>
        <v>7123656</v>
      </c>
      <c r="H144" s="614">
        <f>'L1 Finishes'!Q63-331742</f>
        <v>6791914</v>
      </c>
      <c r="I144" s="614">
        <f>'L1 Finishes'!R63</f>
        <v>2123656</v>
      </c>
      <c r="J144" s="614">
        <f>'L1 Finishes'!S63</f>
        <v>0</v>
      </c>
      <c r="K144" s="614">
        <f>'L1 Finishes'!T63</f>
        <v>0</v>
      </c>
      <c r="L144" s="614">
        <f>'L1 Finishes'!U63</f>
        <v>0</v>
      </c>
      <c r="M144" s="283">
        <f t="shared" si="5"/>
        <v>0</v>
      </c>
      <c r="N144" s="289"/>
    </row>
    <row r="145" spans="1:14" ht="36" hidden="1" customHeight="1">
      <c r="A145" s="660">
        <f>'L1 Finishes'!B66</f>
        <v>56</v>
      </c>
      <c r="B145" s="660" t="str">
        <f>'L1 Finishes'!C66</f>
        <v>VRF In corridor ( M+L)</v>
      </c>
      <c r="C145" s="662">
        <f>'L1 Finishes'!G66</f>
        <v>0</v>
      </c>
      <c r="D145" s="662">
        <f>'L1 Finishes'!H66</f>
        <v>0</v>
      </c>
      <c r="E145" s="662">
        <f>'L1 Finishes'!I66</f>
        <v>0</v>
      </c>
      <c r="F145" s="56"/>
      <c r="G145" s="614">
        <f>'L1 Finishes'!P64</f>
        <v>47266939.783333331</v>
      </c>
      <c r="H145" s="56">
        <f>'L1 Finishes'!N12</f>
        <v>1592600</v>
      </c>
      <c r="I145" s="56">
        <f>'L1 Finishes'!O12</f>
        <v>0</v>
      </c>
      <c r="J145" s="56">
        <f>'L1 Finishes'!P12</f>
        <v>3772800</v>
      </c>
      <c r="K145" s="56">
        <f>'L1 Finishes'!Q12</f>
        <v>0</v>
      </c>
      <c r="L145" s="56"/>
      <c r="M145" s="283">
        <f t="shared" si="5"/>
        <v>0</v>
      </c>
      <c r="N145" s="289"/>
    </row>
    <row r="146" spans="1:14" ht="36" hidden="1" customHeight="1">
      <c r="A146" s="660">
        <f>'L1 Finishes'!B67</f>
        <v>57</v>
      </c>
      <c r="B146" s="660" t="str">
        <f>'L1 Finishes'!C67</f>
        <v>Kitchen Hob (M)</v>
      </c>
      <c r="C146" s="662">
        <f>'L1 Finishes'!G67</f>
        <v>0</v>
      </c>
      <c r="D146" s="662">
        <f>'L1 Finishes'!H67</f>
        <v>0</v>
      </c>
      <c r="E146" s="662">
        <f>'L1 Finishes'!I67</f>
        <v>0</v>
      </c>
      <c r="F146" s="56"/>
      <c r="G146" s="614">
        <f>'L1 Finishes'!P65</f>
        <v>0</v>
      </c>
      <c r="H146" s="56">
        <f>'L1 Finishes'!N13</f>
        <v>8696400.25</v>
      </c>
      <c r="I146" s="56">
        <f>'L1 Finishes'!O13</f>
        <v>8696400.25</v>
      </c>
      <c r="J146" s="56">
        <f>'L1 Finishes'!P13</f>
        <v>8696400.25</v>
      </c>
      <c r="K146" s="56">
        <f>'L1 Finishes'!Q13</f>
        <v>8696400.25</v>
      </c>
      <c r="L146" s="56"/>
      <c r="M146" s="283">
        <f t="shared" si="5"/>
        <v>0</v>
      </c>
      <c r="N146" s="289"/>
    </row>
    <row r="147" spans="1:14" ht="36" customHeight="1">
      <c r="A147" s="140">
        <f>'L1 Finishes'!B68</f>
        <v>58</v>
      </c>
      <c r="B147" s="140" t="str">
        <f>'L1 Finishes'!C68</f>
        <v>External lights</v>
      </c>
      <c r="C147" s="140">
        <f>'L1 Finishes'!G68</f>
        <v>3731700</v>
      </c>
      <c r="D147" s="140">
        <f>'L1 Finishes'!H68</f>
        <v>3144200</v>
      </c>
      <c r="E147" s="140">
        <f>'L1 Finishes'!I68</f>
        <v>0</v>
      </c>
      <c r="F147" s="140"/>
      <c r="G147" s="614">
        <f>'L1 Finishes'!M26</f>
        <v>0</v>
      </c>
      <c r="H147" s="614"/>
      <c r="I147" s="614"/>
      <c r="J147" s="614">
        <f>'L1 Finishes'!P26</f>
        <v>0</v>
      </c>
      <c r="K147" s="614"/>
      <c r="L147" s="614"/>
      <c r="M147" s="283"/>
      <c r="N147" s="289"/>
    </row>
    <row r="148" spans="1:14" ht="35.1" hidden="1" customHeight="1">
      <c r="A148" s="660">
        <f>'L1 Finishes'!B69</f>
        <v>59</v>
      </c>
      <c r="B148" s="660" t="str">
        <f>'L1 Finishes'!C69</f>
        <v>Paddle Tennis Court  ( M+L)</v>
      </c>
      <c r="C148" s="662">
        <f>'L1 Finishes'!G69</f>
        <v>0</v>
      </c>
      <c r="D148" s="662">
        <f>'L1 Finishes'!H69</f>
        <v>0</v>
      </c>
      <c r="E148" s="662">
        <f>'L1 Finishes'!I69</f>
        <v>0</v>
      </c>
      <c r="F148" s="378"/>
      <c r="G148" s="378"/>
      <c r="H148" s="378">
        <f>'L1 Finishes'!N33</f>
        <v>0</v>
      </c>
      <c r="I148" s="378">
        <f>'L1 Finishes'!O33</f>
        <v>2026301.6666666667</v>
      </c>
      <c r="J148" s="378">
        <f>'L1 Finishes'!P33</f>
        <v>2026301.6666666667</v>
      </c>
      <c r="K148" s="378"/>
      <c r="L148" s="378"/>
      <c r="M148" s="379"/>
      <c r="N148" s="289"/>
    </row>
    <row r="149" spans="1:14" ht="35.1" customHeight="1">
      <c r="A149" s="140">
        <f>'L1 Finishes'!B70</f>
        <v>60</v>
      </c>
      <c r="B149" s="140" t="str">
        <f>'L1 Finishes'!C70</f>
        <v xml:space="preserve">Pergola </v>
      </c>
      <c r="C149" s="140">
        <f>'L1 Finishes'!G70</f>
        <v>2420155</v>
      </c>
      <c r="D149" s="140">
        <f>'L1 Finishes'!H70</f>
        <v>968062</v>
      </c>
      <c r="E149" s="140">
        <f>'L1 Finishes'!I70</f>
        <v>1452093</v>
      </c>
      <c r="F149" s="140"/>
      <c r="G149" s="140"/>
      <c r="H149" s="140"/>
      <c r="I149" s="140"/>
      <c r="J149" s="140"/>
      <c r="K149" s="140"/>
      <c r="L149" s="140"/>
      <c r="M149" s="140"/>
      <c r="N149" s="289"/>
    </row>
    <row r="150" spans="1:14" ht="35.1" hidden="1" customHeight="1">
      <c r="A150" s="353">
        <f>'L1 Finishes'!B71</f>
        <v>61</v>
      </c>
      <c r="B150" s="614" t="str">
        <f>'L1 Finishes'!C71</f>
        <v>AC louvers.</v>
      </c>
      <c r="C150" s="353">
        <f>'L1 Finishes'!G71</f>
        <v>0</v>
      </c>
      <c r="D150" s="353">
        <f>'L1 Finishes'!H71</f>
        <v>0</v>
      </c>
      <c r="E150" s="353">
        <f>'L1 Finishes'!I71</f>
        <v>0</v>
      </c>
      <c r="F150" s="381"/>
      <c r="G150" s="381"/>
      <c r="H150" s="381"/>
      <c r="I150" s="381"/>
      <c r="J150" s="381"/>
      <c r="K150" s="381"/>
      <c r="L150" s="381"/>
      <c r="M150" s="381"/>
      <c r="N150" s="757"/>
    </row>
    <row r="151" spans="1:14" ht="35.1" hidden="1" customHeight="1">
      <c r="A151" s="353">
        <f>'L1 Finishes'!B72</f>
        <v>62</v>
      </c>
      <c r="B151" s="614" t="str">
        <f>'L1 Finishes'!C72</f>
        <v>Roof Top</v>
      </c>
      <c r="C151" s="353">
        <f>'L1 Finishes'!G72</f>
        <v>0</v>
      </c>
      <c r="D151" s="353">
        <f>'L1 Finishes'!H72</f>
        <v>0</v>
      </c>
      <c r="E151" s="353">
        <f>'L1 Finishes'!I72</f>
        <v>0</v>
      </c>
      <c r="F151" s="381"/>
      <c r="G151" s="381"/>
      <c r="H151" s="381"/>
      <c r="I151" s="381"/>
      <c r="J151" s="381"/>
      <c r="K151" s="381"/>
      <c r="L151" s="381"/>
      <c r="M151" s="381"/>
      <c r="N151" s="757"/>
    </row>
    <row r="152" spans="1:14" ht="35.1" hidden="1" customHeight="1">
      <c r="A152" s="353">
        <f>'L1 Finishes'!B73</f>
        <v>63</v>
      </c>
      <c r="B152" s="614" t="str">
        <f>'L1 Finishes'!C73</f>
        <v>Additional wood Work Item.</v>
      </c>
      <c r="C152" s="353">
        <f>'L1 Finishes'!G73</f>
        <v>0</v>
      </c>
      <c r="D152" s="353">
        <f>'L1 Finishes'!H73</f>
        <v>0</v>
      </c>
      <c r="E152" s="353">
        <f>'L1 Finishes'!I73</f>
        <v>0</v>
      </c>
      <c r="F152" s="381"/>
      <c r="G152" s="381"/>
      <c r="H152" s="381"/>
      <c r="I152" s="381"/>
      <c r="J152" s="381"/>
      <c r="K152" s="381"/>
      <c r="L152" s="381"/>
      <c r="M152" s="381"/>
      <c r="N152" s="757"/>
    </row>
    <row r="153" spans="1:14" ht="35.1" hidden="1" customHeight="1">
      <c r="A153" s="353">
        <f>'L1 Finishes'!B74</f>
        <v>64</v>
      </c>
      <c r="B153" s="614" t="str">
        <f>'L1 Finishes'!C74</f>
        <v>Basement Civil Works  ( L1 tower posting )</v>
      </c>
      <c r="C153" s="353">
        <f>'L1 Finishes'!G74</f>
        <v>0</v>
      </c>
      <c r="D153" s="353">
        <f>'L1 Finishes'!H74</f>
        <v>0</v>
      </c>
      <c r="E153" s="353">
        <f>'L1 Finishes'!I74</f>
        <v>0</v>
      </c>
      <c r="F153" s="381"/>
      <c r="G153" s="381"/>
      <c r="H153" s="381"/>
      <c r="I153" s="381"/>
      <c r="J153" s="381"/>
      <c r="K153" s="381"/>
      <c r="L153" s="381"/>
      <c r="M153" s="381"/>
      <c r="N153" s="757"/>
    </row>
    <row r="154" spans="1:14" ht="35.1" hidden="1" customHeight="1">
      <c r="A154" s="353">
        <f>'L1 Finishes'!B75</f>
        <v>65</v>
      </c>
      <c r="B154" s="353" t="str">
        <f>'L1 Finishes'!C75</f>
        <v>Basement Civil MEP     (L1 tower posting )</v>
      </c>
      <c r="C154" s="353">
        <f>'L1 Finishes'!G75</f>
        <v>0</v>
      </c>
      <c r="D154" s="353">
        <f>'L1 Finishes'!H75</f>
        <v>0</v>
      </c>
      <c r="E154" s="353">
        <f>'L1 Finishes'!I75</f>
        <v>0</v>
      </c>
      <c r="F154" s="381"/>
      <c r="G154" s="381"/>
      <c r="H154" s="381"/>
      <c r="I154" s="381"/>
      <c r="J154" s="381"/>
      <c r="K154" s="381"/>
      <c r="L154" s="381"/>
      <c r="M154" s="381"/>
      <c r="N154" s="757"/>
    </row>
    <row r="155" spans="1:14" ht="36" customHeight="1">
      <c r="A155" s="373"/>
      <c r="B155" s="667" t="s">
        <v>69</v>
      </c>
      <c r="C155" s="668">
        <f>C87+C88+C89+C90+C91+C92+C93+C94+C95+C96+C97+C98+C99+C101+C102+C103+C104+C105+C106+C107+C114+C120+C144+C147+C149</f>
        <v>341560587</v>
      </c>
      <c r="D155" s="668">
        <f t="shared" ref="D155:K155" si="6">D87+D88+D89+D90+D91+D92+D93+D94+D95+D96+D97+D98+D99+D101+D102+D103+D104+D105+D106+D107+D114+D120+D144+D147+D149</f>
        <v>146778021.09999999</v>
      </c>
      <c r="E155" s="668">
        <f t="shared" si="6"/>
        <v>181408530.90000001</v>
      </c>
      <c r="F155" s="668">
        <f t="shared" si="6"/>
        <v>0</v>
      </c>
      <c r="G155" s="668">
        <f t="shared" si="6"/>
        <v>52283606.449999996</v>
      </c>
      <c r="H155" s="668">
        <f t="shared" si="6"/>
        <v>64465249.33461538</v>
      </c>
      <c r="I155" s="668">
        <f t="shared" si="6"/>
        <v>38208451.583333336</v>
      </c>
      <c r="J155" s="668">
        <f t="shared" si="6"/>
        <v>24874988.384615384</v>
      </c>
      <c r="K155" s="668">
        <f t="shared" si="6"/>
        <v>1759598.33333333</v>
      </c>
      <c r="L155" s="380"/>
      <c r="M155" s="380"/>
      <c r="N155" s="289"/>
    </row>
    <row r="156" spans="1:14" ht="36" customHeight="1">
      <c r="A156" s="267"/>
      <c r="B156" s="252"/>
      <c r="C156" s="252"/>
      <c r="D156" s="252"/>
      <c r="E156" s="252"/>
      <c r="F156" s="252"/>
      <c r="G156" s="252"/>
      <c r="H156" s="252"/>
      <c r="I156" s="252"/>
      <c r="J156" s="252"/>
      <c r="K156" s="252"/>
      <c r="L156" s="252"/>
      <c r="M156" s="252"/>
      <c r="N156" s="289"/>
    </row>
    <row r="157" spans="1:14" ht="34.5" customHeight="1">
      <c r="A157" s="267"/>
      <c r="B157" s="938" t="s">
        <v>164</v>
      </c>
      <c r="C157" s="959"/>
      <c r="D157" s="959"/>
      <c r="E157" s="959"/>
      <c r="F157" s="959"/>
      <c r="G157" s="959"/>
      <c r="H157" s="959"/>
      <c r="I157" s="959"/>
      <c r="J157" s="959"/>
      <c r="K157" s="959"/>
      <c r="L157" s="959"/>
      <c r="M157" s="960"/>
      <c r="N157" s="289"/>
    </row>
    <row r="158" spans="1:14" ht="34.5" customHeight="1">
      <c r="A158" s="140">
        <f>'L2 Finishes'!B6</f>
        <v>1</v>
      </c>
      <c r="B158" s="140" t="str">
        <f>'L2 Finishes'!C6</f>
        <v>External Brick Works  (M+L)</v>
      </c>
      <c r="C158" s="140">
        <f>'L2 Finishes'!G6</f>
        <v>9308278</v>
      </c>
      <c r="D158" s="140">
        <f>'L2 Finishes'!H6</f>
        <v>8200000</v>
      </c>
      <c r="E158" s="140">
        <f>'L2 Finishes'!I6</f>
        <v>1108278</v>
      </c>
      <c r="F158" s="140"/>
      <c r="G158" s="614">
        <f>'L2 Finishes'!O6</f>
        <v>1108278</v>
      </c>
      <c r="H158" s="614">
        <f>'L2 Finishes'!P6</f>
        <v>0</v>
      </c>
      <c r="I158" s="614">
        <f>'L2 Finishes'!Q6</f>
        <v>0</v>
      </c>
      <c r="J158" s="614">
        <f>'L2 Finishes'!R6</f>
        <v>0</v>
      </c>
      <c r="K158" s="614">
        <f>'L2 Finishes'!S6</f>
        <v>0</v>
      </c>
      <c r="L158" s="614">
        <f>'L2 Finishes'!T6</f>
        <v>0</v>
      </c>
      <c r="M158" s="283">
        <f t="shared" ref="M158:M215" si="7">C158-D158-E158</f>
        <v>0</v>
      </c>
      <c r="N158" s="289"/>
    </row>
    <row r="159" spans="1:14" ht="34.5" customHeight="1">
      <c r="A159" s="140">
        <f>'L2 Finishes'!B7</f>
        <v>2</v>
      </c>
      <c r="B159" s="140" t="str">
        <f>'L2 Finishes'!C7</f>
        <v>Internal Brick Works   (M+L)</v>
      </c>
      <c r="C159" s="140">
        <f>'L2 Finishes'!G7</f>
        <v>74421345</v>
      </c>
      <c r="D159" s="140">
        <f>'L2 Finishes'!H7</f>
        <v>6852212</v>
      </c>
      <c r="E159" s="140">
        <f>'L2 Finishes'!I7</f>
        <v>67569133</v>
      </c>
      <c r="F159" s="140"/>
      <c r="G159" s="614">
        <f>'L2 Finishes'!O7</f>
        <v>13550108</v>
      </c>
      <c r="H159" s="614">
        <f>'L2 Finishes'!P7</f>
        <v>13550108</v>
      </c>
      <c r="I159" s="614">
        <f>'L2 Finishes'!Q7</f>
        <v>13550108</v>
      </c>
      <c r="J159" s="614">
        <f>'L2 Finishes'!R7</f>
        <v>13550108</v>
      </c>
      <c r="K159" s="614">
        <f>'L2 Finishes'!S7</f>
        <v>13550108</v>
      </c>
      <c r="L159" s="614">
        <f>'L2 Finishes'!T7</f>
        <v>0</v>
      </c>
      <c r="M159" s="283">
        <f t="shared" si="7"/>
        <v>0</v>
      </c>
      <c r="N159" s="289"/>
    </row>
    <row r="160" spans="1:14" ht="34.5" customHeight="1">
      <c r="A160" s="664">
        <f>'L2 Finishes'!B8</f>
        <v>3</v>
      </c>
      <c r="B160" s="670" t="str">
        <f>'L2 Finishes'!C8</f>
        <v>Electrical Conduiting   (M+L)</v>
      </c>
      <c r="C160" s="664">
        <f>'L2 Finishes'!G8</f>
        <v>8241141.1500000004</v>
      </c>
      <c r="D160" s="664">
        <f>'L2 Finishes'!H8</f>
        <v>0</v>
      </c>
      <c r="E160" s="664">
        <f>'L2 Finishes'!I8</f>
        <v>8241141.1500000004</v>
      </c>
      <c r="F160" s="664"/>
      <c r="G160" s="614">
        <f>'L2 Finishes'!O8</f>
        <v>3102759.3333333335</v>
      </c>
      <c r="H160" s="614">
        <f>'L2 Finishes'!P8</f>
        <v>3102759.3333333335</v>
      </c>
      <c r="I160" s="614">
        <f>'L2 Finishes'!Q8-1067136</f>
        <v>2035623.3333333335</v>
      </c>
      <c r="J160" s="614">
        <f>'L2 Finishes'!R8</f>
        <v>0</v>
      </c>
      <c r="K160" s="614">
        <f>'L2 Finishes'!S8</f>
        <v>0</v>
      </c>
      <c r="L160" s="614">
        <f>'L2 Finishes'!T8</f>
        <v>0</v>
      </c>
      <c r="M160" s="283">
        <f t="shared" si="7"/>
        <v>0</v>
      </c>
      <c r="N160" s="289"/>
    </row>
    <row r="161" spans="1:14" ht="34.5" customHeight="1">
      <c r="A161" s="664">
        <f>'L2 Finishes'!B9</f>
        <v>4</v>
      </c>
      <c r="B161" s="670" t="str">
        <f>'L2 Finishes'!C9</f>
        <v>Plumbing  Conduiting   (M+L)</v>
      </c>
      <c r="C161" s="664">
        <f>'L2 Finishes'!G9</f>
        <v>7051077.9000000004</v>
      </c>
      <c r="D161" s="664">
        <f>'L2 Finishes'!H9</f>
        <v>0</v>
      </c>
      <c r="E161" s="664">
        <f>'L2 Finishes'!I9</f>
        <v>7051077.9000000004</v>
      </c>
      <c r="F161" s="664"/>
      <c r="G161" s="614">
        <f>'L2 Finishes'!O9</f>
        <v>2350359.3000000003</v>
      </c>
      <c r="H161" s="614">
        <f>'L2 Finishes'!P9</f>
        <v>2350359.3000000003</v>
      </c>
      <c r="I161" s="614">
        <f>'L2 Finishes'!Q9</f>
        <v>2350359.3000000003</v>
      </c>
      <c r="J161" s="614">
        <f>'L2 Finishes'!R9</f>
        <v>0</v>
      </c>
      <c r="K161" s="614">
        <f>'L2 Finishes'!S9</f>
        <v>0</v>
      </c>
      <c r="L161" s="614">
        <f>'L2 Finishes'!T9</f>
        <v>0</v>
      </c>
      <c r="M161" s="283">
        <f t="shared" si="7"/>
        <v>0</v>
      </c>
      <c r="N161" s="289"/>
    </row>
    <row r="162" spans="1:14" ht="34.5" customHeight="1">
      <c r="A162" s="140">
        <f>'L2 Finishes'!B10</f>
        <v>5</v>
      </c>
      <c r="B162" s="140" t="str">
        <f>'L2 Finishes'!C10</f>
        <v>SOIL, WASTE VENT AND RAIN WATER DRAINAGE SYSTEM  (M)</v>
      </c>
      <c r="C162" s="140">
        <f>'L2 Finishes'!G10</f>
        <v>11666143</v>
      </c>
      <c r="D162" s="140">
        <f>'L2 Finishes'!H10</f>
        <v>0</v>
      </c>
      <c r="E162" s="140">
        <f>'L2 Finishes'!I10</f>
        <v>11666143</v>
      </c>
      <c r="F162" s="140"/>
      <c r="G162" s="614">
        <f>'L2 Finishes'!O10</f>
        <v>2333229</v>
      </c>
      <c r="H162" s="614">
        <f>'L2 Finishes'!P10</f>
        <v>2333229</v>
      </c>
      <c r="I162" s="614">
        <f>'L2 Finishes'!Q10</f>
        <v>2333229</v>
      </c>
      <c r="J162" s="614">
        <f>'L2 Finishes'!R10</f>
        <v>2333229</v>
      </c>
      <c r="K162" s="614">
        <f>'L2 Finishes'!S10</f>
        <v>2333229</v>
      </c>
      <c r="L162" s="614">
        <f>'L2 Finishes'!T10</f>
        <v>0</v>
      </c>
      <c r="M162" s="283">
        <f t="shared" si="7"/>
        <v>0</v>
      </c>
      <c r="N162" s="289"/>
    </row>
    <row r="163" spans="1:14" ht="34.5" hidden="1" customHeight="1">
      <c r="A163" s="614">
        <f>'L2 Finishes'!B11</f>
        <v>6</v>
      </c>
      <c r="B163" s="614" t="str">
        <f>'L2 Finishes'!C11</f>
        <v>PCC   (M+L)</v>
      </c>
      <c r="C163" s="614">
        <f>'L2 Finishes'!G11</f>
        <v>0</v>
      </c>
      <c r="D163" s="614">
        <f>'L2 Finishes'!H11</f>
        <v>0</v>
      </c>
      <c r="E163" s="614">
        <f>'L2 Finishes'!I11</f>
        <v>0</v>
      </c>
      <c r="F163" s="614"/>
      <c r="G163" s="614">
        <f>'L2 Finishes'!O11</f>
        <v>0</v>
      </c>
      <c r="H163" s="614">
        <f>'L2 Finishes'!P11</f>
        <v>0</v>
      </c>
      <c r="I163" s="614">
        <f>'L2 Finishes'!Q11</f>
        <v>0</v>
      </c>
      <c r="J163" s="614">
        <f>'L2 Finishes'!R11</f>
        <v>0</v>
      </c>
      <c r="K163" s="614">
        <f>'L2 Finishes'!S11</f>
        <v>0</v>
      </c>
      <c r="L163" s="614">
        <f>'L2 Finishes'!T11</f>
        <v>0</v>
      </c>
      <c r="M163" s="283">
        <f t="shared" si="7"/>
        <v>0</v>
      </c>
      <c r="N163" s="289"/>
    </row>
    <row r="164" spans="1:14" ht="34.5" customHeight="1">
      <c r="A164" s="140">
        <f>'L2 Finishes'!B12</f>
        <v>7</v>
      </c>
      <c r="B164" s="140" t="str">
        <f>'L2 Finishes'!C12</f>
        <v>External Plaster  (M+L)</v>
      </c>
      <c r="C164" s="140">
        <v>5364800</v>
      </c>
      <c r="D164" s="140">
        <f>'L2 Finishes'!H12</f>
        <v>4227589</v>
      </c>
      <c r="E164" s="140">
        <f>'L2 Finishes'!I12</f>
        <v>1137211</v>
      </c>
      <c r="F164" s="140"/>
      <c r="G164" s="614">
        <f>'L2 Finishes'!O12</f>
        <v>1137211</v>
      </c>
      <c r="H164" s="614">
        <f>'L2 Finishes'!P12</f>
        <v>0</v>
      </c>
      <c r="I164" s="614">
        <f>'L2 Finishes'!Q12</f>
        <v>0</v>
      </c>
      <c r="J164" s="614">
        <f>'L2 Finishes'!R12</f>
        <v>0</v>
      </c>
      <c r="K164" s="614">
        <f>'L2 Finishes'!S12</f>
        <v>0</v>
      </c>
      <c r="L164" s="614">
        <f>'L2 Finishes'!T12</f>
        <v>0</v>
      </c>
      <c r="M164" s="283">
        <f t="shared" si="7"/>
        <v>0</v>
      </c>
      <c r="N164" s="289"/>
    </row>
    <row r="165" spans="1:14" ht="34.5" customHeight="1">
      <c r="A165" s="140">
        <f>'L2 Finishes'!B13</f>
        <v>8</v>
      </c>
      <c r="B165" s="140" t="str">
        <f>'L2 Finishes'!C13</f>
        <v>Internal Plaster   (M+L)</v>
      </c>
      <c r="C165" s="140">
        <v>34785601</v>
      </c>
      <c r="D165" s="140">
        <f>'L2 Finishes'!H13</f>
        <v>0</v>
      </c>
      <c r="E165" s="140">
        <f>'L2 Finishes'!I13</f>
        <v>34785601</v>
      </c>
      <c r="F165" s="140"/>
      <c r="G165" s="614">
        <f>'L2 Finishes'!O13</f>
        <v>0</v>
      </c>
      <c r="H165" s="614">
        <f>'L2 Finishes'!P13</f>
        <v>6957120.2000000002</v>
      </c>
      <c r="I165" s="614">
        <f>'L2 Finishes'!Q13</f>
        <v>6957120.2000000002</v>
      </c>
      <c r="J165" s="614">
        <f>'L2 Finishes'!R13</f>
        <v>6957120.2000000002</v>
      </c>
      <c r="K165" s="614">
        <f>'L2 Finishes'!S13</f>
        <v>6957120.2000000002</v>
      </c>
      <c r="L165" s="614">
        <f>'L2 Finishes'!T13</f>
        <v>6957120.2000000002</v>
      </c>
      <c r="M165" s="283">
        <f t="shared" si="7"/>
        <v>0</v>
      </c>
      <c r="N165" s="289"/>
    </row>
    <row r="166" spans="1:14" ht="34.5" customHeight="1">
      <c r="A166" s="664">
        <f>'L2 Finishes'!B14</f>
        <v>10</v>
      </c>
      <c r="B166" s="664" t="str">
        <f>'L2 Finishes'!C14</f>
        <v>Subcontract Electrical   (L)</v>
      </c>
      <c r="C166" s="664">
        <f>'L2 Finishes'!G14</f>
        <v>6399674.5499999998</v>
      </c>
      <c r="D166" s="664">
        <f>'L2 Finishes'!H14</f>
        <v>0</v>
      </c>
      <c r="E166" s="664">
        <f>'L2 Finishes'!I14</f>
        <v>6399674.5499999998</v>
      </c>
      <c r="F166" s="664"/>
      <c r="G166" s="614">
        <f>'L2 Finishes'!O14</f>
        <v>2607274.8166666669</v>
      </c>
      <c r="H166" s="614">
        <f>'L2 Finishes'!P14</f>
        <v>2607274.8166666669</v>
      </c>
      <c r="I166" s="614">
        <f>'L2 Finishes'!Q14-1422149</f>
        <v>1185125.8166666669</v>
      </c>
      <c r="J166" s="614"/>
      <c r="K166" s="614"/>
      <c r="L166" s="614"/>
      <c r="M166" s="283">
        <f t="shared" si="7"/>
        <v>0</v>
      </c>
      <c r="N166" s="289"/>
    </row>
    <row r="167" spans="1:14" ht="34.5" customHeight="1">
      <c r="A167" s="664">
        <f>'L2 Finishes'!B15</f>
        <v>11</v>
      </c>
      <c r="B167" s="664" t="str">
        <f>'L2 Finishes'!C15</f>
        <v>Subcontract Plumbing    (L)</v>
      </c>
      <c r="C167" s="664">
        <f>'L2 Finishes'!G15</f>
        <v>7894247.8500000006</v>
      </c>
      <c r="D167" s="664">
        <f>'L2 Finishes'!H15</f>
        <v>0</v>
      </c>
      <c r="E167" s="664">
        <f>'L2 Finishes'!I15</f>
        <v>7894247.8500000006</v>
      </c>
      <c r="F167" s="664"/>
      <c r="G167" s="614">
        <f>'L2 Finishes'!O15</f>
        <v>3216175.0499999993</v>
      </c>
      <c r="H167" s="614">
        <f>'L2 Finishes'!P15</f>
        <v>3216175.0499999993</v>
      </c>
      <c r="I167" s="614">
        <f>'L2 Finishes'!Q15-1754277</f>
        <v>1461898.0499999993</v>
      </c>
      <c r="J167" s="614"/>
      <c r="K167" s="614"/>
      <c r="L167" s="614"/>
      <c r="M167" s="283">
        <f t="shared" si="7"/>
        <v>0</v>
      </c>
      <c r="N167" s="289"/>
    </row>
    <row r="168" spans="1:14" ht="34.5" hidden="1" customHeight="1">
      <c r="A168" s="614">
        <f>'L2 Finishes'!B16</f>
        <v>12</v>
      </c>
      <c r="B168" s="614" t="str">
        <f>'L2 Finishes'!C16</f>
        <v>CABLE CONTAINMENT   (M)</v>
      </c>
      <c r="C168" s="614">
        <f>'L2 Finishes'!G16</f>
        <v>0</v>
      </c>
      <c r="D168" s="614">
        <f>'L2 Finishes'!H16</f>
        <v>0</v>
      </c>
      <c r="E168" s="614">
        <f>'L2 Finishes'!I16</f>
        <v>0</v>
      </c>
      <c r="F168" s="614"/>
      <c r="G168" s="614">
        <f>'L2 Finishes'!O16</f>
        <v>0</v>
      </c>
      <c r="H168" s="614">
        <f>'L2 Finishes'!P16</f>
        <v>0</v>
      </c>
      <c r="I168" s="614">
        <f>'L2 Finishes'!Q16</f>
        <v>0</v>
      </c>
      <c r="J168" s="614">
        <f>'L2 Finishes'!R16</f>
        <v>0</v>
      </c>
      <c r="K168" s="614">
        <f>'L2 Finishes'!S16</f>
        <v>0</v>
      </c>
      <c r="L168" s="614">
        <f>'L2 Finishes'!T16</f>
        <v>0</v>
      </c>
      <c r="M168" s="283">
        <f t="shared" si="7"/>
        <v>0</v>
      </c>
      <c r="N168" s="289"/>
    </row>
    <row r="169" spans="1:14" ht="34.5" hidden="1" customHeight="1">
      <c r="A169" s="614">
        <f>'L2 Finishes'!B17</f>
        <v>13</v>
      </c>
      <c r="B169" s="671" t="str">
        <f>'L2 Finishes'!C17</f>
        <v>Subcontract Firefighting     (L)</v>
      </c>
      <c r="C169" s="614">
        <f>'L2 Finishes'!G17</f>
        <v>0</v>
      </c>
      <c r="D169" s="614">
        <f>'L2 Finishes'!H17</f>
        <v>0</v>
      </c>
      <c r="E169" s="614">
        <f>'L2 Finishes'!I17</f>
        <v>0</v>
      </c>
      <c r="F169" s="614"/>
      <c r="G169" s="614">
        <f>'L2 Finishes'!O17</f>
        <v>0</v>
      </c>
      <c r="H169" s="614">
        <f>'L2 Finishes'!P17</f>
        <v>0</v>
      </c>
      <c r="I169" s="614">
        <f>'L2 Finishes'!Q17</f>
        <v>0</v>
      </c>
      <c r="J169" s="614">
        <f>'L2 Finishes'!R17</f>
        <v>0</v>
      </c>
      <c r="K169" s="614">
        <f>'L2 Finishes'!S17</f>
        <v>0</v>
      </c>
      <c r="L169" s="614">
        <f>'L2 Finishes'!T17</f>
        <v>0</v>
      </c>
      <c r="M169" s="283">
        <f t="shared" si="7"/>
        <v>0</v>
      </c>
      <c r="N169" s="289"/>
    </row>
    <row r="170" spans="1:14" ht="34.5" hidden="1" customHeight="1">
      <c r="A170" s="614">
        <f>'L2 Finishes'!B18</f>
        <v>14</v>
      </c>
      <c r="B170" s="671" t="str">
        <f>'L2 Finishes'!C18</f>
        <v>FSS Works (Piping)    (M)</v>
      </c>
      <c r="C170" s="614">
        <f>'L2 Finishes'!G18</f>
        <v>0</v>
      </c>
      <c r="D170" s="614">
        <f>'L2 Finishes'!H18</f>
        <v>0</v>
      </c>
      <c r="E170" s="614">
        <f>'L2 Finishes'!I18</f>
        <v>0</v>
      </c>
      <c r="F170" s="614"/>
      <c r="G170" s="614">
        <f>'L2 Finishes'!O18</f>
        <v>0</v>
      </c>
      <c r="H170" s="614">
        <f>'L2 Finishes'!P18</f>
        <v>0</v>
      </c>
      <c r="I170" s="614">
        <f>'L2 Finishes'!Q18</f>
        <v>0</v>
      </c>
      <c r="J170" s="614">
        <f>'L2 Finishes'!R18</f>
        <v>0</v>
      </c>
      <c r="K170" s="614">
        <f>'L2 Finishes'!S18</f>
        <v>0</v>
      </c>
      <c r="L170" s="614">
        <f>'L2 Finishes'!T18</f>
        <v>0</v>
      </c>
      <c r="M170" s="283">
        <f t="shared" si="7"/>
        <v>0</v>
      </c>
      <c r="N170" s="289"/>
    </row>
    <row r="171" spans="1:14" ht="34.5" hidden="1" customHeight="1">
      <c r="A171" s="614">
        <f>'L2 Finishes'!B19</f>
        <v>15</v>
      </c>
      <c r="B171" s="671" t="str">
        <f>'L2 Finishes'!C19</f>
        <v>Subcontract HVAC      (M+L)</v>
      </c>
      <c r="C171" s="614">
        <f>'L2 Finishes'!G19</f>
        <v>0</v>
      </c>
      <c r="D171" s="614">
        <f>'L2 Finishes'!H19</f>
        <v>0</v>
      </c>
      <c r="E171" s="614">
        <f>'L2 Finishes'!I19</f>
        <v>0</v>
      </c>
      <c r="F171" s="614"/>
      <c r="G171" s="614">
        <f>'L2 Finishes'!O19</f>
        <v>0</v>
      </c>
      <c r="H171" s="614">
        <f>'L2 Finishes'!P19</f>
        <v>0</v>
      </c>
      <c r="I171" s="614">
        <f>'L2 Finishes'!Q19</f>
        <v>0</v>
      </c>
      <c r="J171" s="614">
        <f>'L2 Finishes'!R19</f>
        <v>0</v>
      </c>
      <c r="K171" s="614">
        <f>'L2 Finishes'!S19</f>
        <v>0</v>
      </c>
      <c r="L171" s="614">
        <f>'L2 Finishes'!T19</f>
        <v>0</v>
      </c>
      <c r="M171" s="283">
        <f t="shared" si="7"/>
        <v>0</v>
      </c>
      <c r="N171" s="289"/>
    </row>
    <row r="172" spans="1:14" ht="34.5" hidden="1" customHeight="1">
      <c r="A172" s="614">
        <f>'L2 Finishes'!B20</f>
        <v>16</v>
      </c>
      <c r="B172" s="671" t="str">
        <f>'L2 Finishes'!C20</f>
        <v>Copper Pipe + Accessories       (M+L)</v>
      </c>
      <c r="C172" s="614">
        <f>'L2 Finishes'!G20</f>
        <v>0</v>
      </c>
      <c r="D172" s="614">
        <f>'L2 Finishes'!H20</f>
        <v>0</v>
      </c>
      <c r="E172" s="614">
        <f>'L2 Finishes'!I20</f>
        <v>0</v>
      </c>
      <c r="F172" s="614"/>
      <c r="G172" s="614">
        <f>'L2 Finishes'!O20</f>
        <v>0</v>
      </c>
      <c r="H172" s="614">
        <f>'L2 Finishes'!P20</f>
        <v>0</v>
      </c>
      <c r="I172" s="614">
        <f>'L2 Finishes'!Q20</f>
        <v>0</v>
      </c>
      <c r="J172" s="614">
        <f>'L2 Finishes'!R20</f>
        <v>0</v>
      </c>
      <c r="K172" s="614">
        <f>'L2 Finishes'!S20</f>
        <v>0</v>
      </c>
      <c r="L172" s="614">
        <f>'L2 Finishes'!T20</f>
        <v>0</v>
      </c>
      <c r="M172" s="283">
        <f t="shared" si="7"/>
        <v>0</v>
      </c>
      <c r="N172" s="289"/>
    </row>
    <row r="173" spans="1:14" ht="34.5" hidden="1" customHeight="1">
      <c r="A173" s="614">
        <f>'L2 Finishes'!B21</f>
        <v>17</v>
      </c>
      <c r="B173" s="671" t="str">
        <f>'L2 Finishes'!C21</f>
        <v>LPG Works      (M)</v>
      </c>
      <c r="C173" s="614">
        <f>'L2 Finishes'!G21</f>
        <v>0</v>
      </c>
      <c r="D173" s="614">
        <f>'L2 Finishes'!H21</f>
        <v>0</v>
      </c>
      <c r="E173" s="614">
        <f>'L2 Finishes'!I21</f>
        <v>0</v>
      </c>
      <c r="F173" s="614"/>
      <c r="G173" s="614">
        <f>'L2 Finishes'!O21</f>
        <v>0</v>
      </c>
      <c r="H173" s="614">
        <f>'L2 Finishes'!P21</f>
        <v>0</v>
      </c>
      <c r="I173" s="614">
        <f>'L2 Finishes'!Q21</f>
        <v>0</v>
      </c>
      <c r="J173" s="614">
        <f>'L2 Finishes'!R21</f>
        <v>0</v>
      </c>
      <c r="K173" s="614">
        <f>'L2 Finishes'!S21</f>
        <v>0</v>
      </c>
      <c r="L173" s="614">
        <f>'L2 Finishes'!T21</f>
        <v>0</v>
      </c>
      <c r="M173" s="283">
        <f t="shared" si="7"/>
        <v>0</v>
      </c>
      <c r="N173" s="289"/>
    </row>
    <row r="174" spans="1:14" ht="34.5" hidden="1" customHeight="1">
      <c r="A174" s="614">
        <f>'L2 Finishes'!B22</f>
        <v>18</v>
      </c>
      <c r="B174" s="671" t="str">
        <f>'L2 Finishes'!C22</f>
        <v>WIRING / WIRING ACCESSORIES  (M)</v>
      </c>
      <c r="C174" s="614">
        <f>'L2 Finishes'!G22</f>
        <v>0</v>
      </c>
      <c r="D174" s="614">
        <f>'L2 Finishes'!H22</f>
        <v>0</v>
      </c>
      <c r="E174" s="614">
        <f>'L2 Finishes'!I22</f>
        <v>0</v>
      </c>
      <c r="F174" s="614"/>
      <c r="G174" s="614">
        <f>'L2 Finishes'!O22</f>
        <v>0</v>
      </c>
      <c r="H174" s="614">
        <f>'L2 Finishes'!P22</f>
        <v>0</v>
      </c>
      <c r="I174" s="614">
        <f>'L2 Finishes'!Q22</f>
        <v>0</v>
      </c>
      <c r="J174" s="614">
        <f>'L2 Finishes'!R22</f>
        <v>0</v>
      </c>
      <c r="K174" s="614">
        <f>'L2 Finishes'!S22</f>
        <v>0</v>
      </c>
      <c r="L174" s="614">
        <f>'L2 Finishes'!T22</f>
        <v>0</v>
      </c>
      <c r="M174" s="283">
        <f t="shared" si="7"/>
        <v>0</v>
      </c>
      <c r="N174" s="289"/>
    </row>
    <row r="175" spans="1:14" ht="34.5" hidden="1" customHeight="1">
      <c r="A175" s="614">
        <f>'L2 Finishes'!B23</f>
        <v>19</v>
      </c>
      <c r="B175" s="671" t="str">
        <f>'L2 Finishes'!C23</f>
        <v>MAIN / SUB-MAIN CABLES    (M)</v>
      </c>
      <c r="C175" s="614">
        <f>'L2 Finishes'!G23</f>
        <v>0</v>
      </c>
      <c r="D175" s="614">
        <f>'L2 Finishes'!H23</f>
        <v>0</v>
      </c>
      <c r="E175" s="614">
        <f>'L2 Finishes'!I23</f>
        <v>0</v>
      </c>
      <c r="F175" s="614"/>
      <c r="G175" s="614">
        <f>'L2 Finishes'!O23</f>
        <v>0</v>
      </c>
      <c r="H175" s="614">
        <f>'L2 Finishes'!P23</f>
        <v>0</v>
      </c>
      <c r="I175" s="614">
        <f>'L2 Finishes'!Q23</f>
        <v>0</v>
      </c>
      <c r="J175" s="614">
        <f>'L2 Finishes'!R23</f>
        <v>0</v>
      </c>
      <c r="K175" s="614">
        <f>'L2 Finishes'!S23</f>
        <v>0</v>
      </c>
      <c r="L175" s="614">
        <f>'L2 Finishes'!T23</f>
        <v>0</v>
      </c>
      <c r="M175" s="283">
        <f t="shared" si="7"/>
        <v>0</v>
      </c>
      <c r="N175" s="289"/>
    </row>
    <row r="176" spans="1:14" ht="34.5" hidden="1" customHeight="1">
      <c r="A176" s="614">
        <f>'L2 Finishes'!B24</f>
        <v>20</v>
      </c>
      <c r="B176" s="671" t="str">
        <f>'L2 Finishes'!C24</f>
        <v>VOICE &amp; DATA COMMUNICATION  (M+L)</v>
      </c>
      <c r="C176" s="614">
        <f>'L2 Finishes'!G24</f>
        <v>0</v>
      </c>
      <c r="D176" s="614">
        <f>'L2 Finishes'!H24</f>
        <v>0</v>
      </c>
      <c r="E176" s="614">
        <f>'L2 Finishes'!I24</f>
        <v>0</v>
      </c>
      <c r="F176" s="614"/>
      <c r="G176" s="614">
        <f>'L2 Finishes'!O24</f>
        <v>0</v>
      </c>
      <c r="H176" s="614">
        <f>'L2 Finishes'!P24</f>
        <v>0</v>
      </c>
      <c r="I176" s="614">
        <f>'L2 Finishes'!Q24</f>
        <v>0</v>
      </c>
      <c r="J176" s="614">
        <f>'L2 Finishes'!R24</f>
        <v>0</v>
      </c>
      <c r="K176" s="614">
        <f>'L2 Finishes'!S24</f>
        <v>0</v>
      </c>
      <c r="L176" s="614">
        <f>'L2 Finishes'!T24</f>
        <v>0</v>
      </c>
      <c r="M176" s="283">
        <f t="shared" si="7"/>
        <v>0</v>
      </c>
      <c r="N176" s="289"/>
    </row>
    <row r="177" spans="1:14" ht="34.5" hidden="1" customHeight="1">
      <c r="A177" s="614">
        <f>'L2 Finishes'!B25</f>
        <v>21</v>
      </c>
      <c r="B177" s="671" t="str">
        <f>'L2 Finishes'!C25</f>
        <v>Pipes for Water Supply and fitting    (M)</v>
      </c>
      <c r="C177" s="614">
        <f>'L2 Finishes'!G25</f>
        <v>0</v>
      </c>
      <c r="D177" s="614">
        <f>'L2 Finishes'!H25</f>
        <v>0</v>
      </c>
      <c r="E177" s="614">
        <f>'L2 Finishes'!I25</f>
        <v>0</v>
      </c>
      <c r="F177" s="614"/>
      <c r="G177" s="614">
        <f>'L2 Finishes'!O25</f>
        <v>0</v>
      </c>
      <c r="H177" s="614">
        <f>'L2 Finishes'!P25</f>
        <v>0</v>
      </c>
      <c r="I177" s="614">
        <f>'L2 Finishes'!Q25</f>
        <v>0</v>
      </c>
      <c r="J177" s="614">
        <f>'L2 Finishes'!R25</f>
        <v>0</v>
      </c>
      <c r="K177" s="614">
        <f>'L2 Finishes'!S25</f>
        <v>0</v>
      </c>
      <c r="L177" s="614">
        <f>'L2 Finishes'!T25</f>
        <v>0</v>
      </c>
      <c r="M177" s="283">
        <f t="shared" si="7"/>
        <v>0</v>
      </c>
      <c r="N177" s="289"/>
    </row>
    <row r="178" spans="1:14" ht="34.5" customHeight="1">
      <c r="A178" s="665">
        <f>'L2 Finishes'!B26</f>
        <v>22</v>
      </c>
      <c r="B178" s="665" t="str">
        <f>'L2 Finishes'!C26</f>
        <v>Elevator    (M+L)</v>
      </c>
      <c r="C178" s="665">
        <f>'L2 Finishes'!G26</f>
        <v>33292000</v>
      </c>
      <c r="D178" s="665">
        <f>'L2 Finishes'!H26</f>
        <v>0</v>
      </c>
      <c r="E178" s="665">
        <f>'L2 Finishes'!I26</f>
        <v>33292000</v>
      </c>
      <c r="F178" s="665"/>
      <c r="G178" s="614">
        <f>'L2 Finishes'!O26</f>
        <v>13224000</v>
      </c>
      <c r="H178" s="614">
        <f>'L2 Finishes'!P26</f>
        <v>0</v>
      </c>
      <c r="I178" s="614">
        <f>'L2 Finishes'!Q26</f>
        <v>11934000</v>
      </c>
      <c r="J178" s="614">
        <f>'L2 Finishes'!R26</f>
        <v>7934000</v>
      </c>
      <c r="K178" s="614">
        <f>'L2 Finishes'!S26</f>
        <v>0</v>
      </c>
      <c r="L178" s="614">
        <f>'L2 Finishes'!T26</f>
        <v>0</v>
      </c>
      <c r="M178" s="283">
        <f t="shared" si="7"/>
        <v>0</v>
      </c>
      <c r="N178" s="289"/>
    </row>
    <row r="179" spans="1:14" ht="34.5" hidden="1" customHeight="1">
      <c r="A179" s="614" t="str">
        <f>'L2 Finishes'!B27</f>
        <v>24 a</v>
      </c>
      <c r="B179" s="669" t="str">
        <f>'L2 Finishes'!C27</f>
        <v>Aluminum Work   (M+L)</v>
      </c>
      <c r="C179" s="140">
        <f>'L2 Finishes'!G27</f>
        <v>0</v>
      </c>
      <c r="D179" s="140">
        <f>'L2 Finishes'!H27</f>
        <v>0</v>
      </c>
      <c r="E179" s="140">
        <f>'L2 Finishes'!I27</f>
        <v>0</v>
      </c>
      <c r="F179" s="140"/>
      <c r="G179" s="614">
        <f>'L2 Finishes'!O27</f>
        <v>0</v>
      </c>
      <c r="H179" s="614">
        <f>'L2 Finishes'!P27</f>
        <v>0</v>
      </c>
      <c r="I179" s="614">
        <f>'L2 Finishes'!Q27</f>
        <v>0</v>
      </c>
      <c r="J179" s="614">
        <f>'L2 Finishes'!R27</f>
        <v>0</v>
      </c>
      <c r="K179" s="614">
        <f>'L2 Finishes'!S27</f>
        <v>0</v>
      </c>
      <c r="L179" s="614">
        <f>'L2 Finishes'!T27</f>
        <v>0</v>
      </c>
      <c r="M179" s="283">
        <f t="shared" si="7"/>
        <v>0</v>
      </c>
      <c r="N179" s="289"/>
    </row>
    <row r="180" spans="1:14" ht="34.5" hidden="1" customHeight="1">
      <c r="A180" s="614" t="str">
        <f>'L2 Finishes'!B28</f>
        <v>24 b</v>
      </c>
      <c r="B180" s="669" t="str">
        <f>'L2 Finishes'!C28</f>
        <v>Glass Work   (M+L)</v>
      </c>
      <c r="C180" s="140">
        <f>'L2 Finishes'!G28</f>
        <v>0</v>
      </c>
      <c r="D180" s="140">
        <f>'L2 Finishes'!H28</f>
        <v>0</v>
      </c>
      <c r="E180" s="140">
        <f>'L2 Finishes'!I28</f>
        <v>0</v>
      </c>
      <c r="F180" s="140"/>
      <c r="G180" s="614">
        <f>'L2 Finishes'!O28</f>
        <v>0</v>
      </c>
      <c r="H180" s="614">
        <f>'L2 Finishes'!P28</f>
        <v>0</v>
      </c>
      <c r="I180" s="614">
        <f>'L2 Finishes'!Q28</f>
        <v>0</v>
      </c>
      <c r="J180" s="614">
        <f>'L2 Finishes'!R28</f>
        <v>0</v>
      </c>
      <c r="K180" s="614">
        <f>'L2 Finishes'!S28</f>
        <v>0</v>
      </c>
      <c r="L180" s="614">
        <f>'L2 Finishes'!T28</f>
        <v>0</v>
      </c>
      <c r="M180" s="283">
        <f t="shared" si="7"/>
        <v>0</v>
      </c>
      <c r="N180" s="289"/>
    </row>
    <row r="181" spans="1:14" ht="34.5" hidden="1" customHeight="1">
      <c r="A181" s="614" t="str">
        <f>'L2 Finishes'!B29</f>
        <v>24 b</v>
      </c>
      <c r="B181" s="669" t="str">
        <f>'L2 Finishes'!C29</f>
        <v>Balcony Glass  (M+L)</v>
      </c>
      <c r="C181" s="140">
        <f>'L2 Finishes'!G29</f>
        <v>0</v>
      </c>
      <c r="D181" s="140">
        <f>'L2 Finishes'!H29</f>
        <v>0</v>
      </c>
      <c r="E181" s="140">
        <f>'L2 Finishes'!I29</f>
        <v>0</v>
      </c>
      <c r="F181" s="140"/>
      <c r="G181" s="614">
        <f>'L2 Finishes'!O29</f>
        <v>0</v>
      </c>
      <c r="H181" s="614">
        <f>'L2 Finishes'!P29</f>
        <v>0</v>
      </c>
      <c r="I181" s="614">
        <f>'L2 Finishes'!Q29</f>
        <v>0</v>
      </c>
      <c r="J181" s="614">
        <f>'L2 Finishes'!R29</f>
        <v>0</v>
      </c>
      <c r="K181" s="614">
        <f>'L2 Finishes'!S29</f>
        <v>0</v>
      </c>
      <c r="L181" s="614">
        <f>'L2 Finishes'!T29</f>
        <v>0</v>
      </c>
      <c r="M181" s="283">
        <f t="shared" si="7"/>
        <v>0</v>
      </c>
      <c r="N181" s="289"/>
    </row>
    <row r="182" spans="1:14" ht="34.5" hidden="1" customHeight="1">
      <c r="A182" s="614">
        <f>'L2 Finishes'!B30</f>
        <v>25</v>
      </c>
      <c r="B182" s="669" t="str">
        <f>'L2 Finishes'!C30</f>
        <v>Ceiling Work    (M+L)</v>
      </c>
      <c r="C182" s="140">
        <f>'L2 Finishes'!G30</f>
        <v>0</v>
      </c>
      <c r="D182" s="140">
        <f>'L2 Finishes'!H30</f>
        <v>0</v>
      </c>
      <c r="E182" s="140">
        <f>'L2 Finishes'!I30</f>
        <v>0</v>
      </c>
      <c r="F182" s="140"/>
      <c r="G182" s="614">
        <f>'L2 Finishes'!O30</f>
        <v>0</v>
      </c>
      <c r="H182" s="614">
        <f>'L2 Finishes'!P30</f>
        <v>0</v>
      </c>
      <c r="I182" s="614">
        <f>'L2 Finishes'!Q30</f>
        <v>0</v>
      </c>
      <c r="J182" s="614">
        <f>'L2 Finishes'!R30</f>
        <v>0</v>
      </c>
      <c r="K182" s="614">
        <f>'L2 Finishes'!S30</f>
        <v>0</v>
      </c>
      <c r="L182" s="614">
        <f>'L2 Finishes'!T30</f>
        <v>0</v>
      </c>
      <c r="M182" s="283">
        <f t="shared" si="7"/>
        <v>0</v>
      </c>
      <c r="N182" s="289"/>
    </row>
    <row r="183" spans="1:14" ht="34.5" hidden="1" customHeight="1">
      <c r="A183" s="614">
        <f>'L2 Finishes'!B31</f>
        <v>26</v>
      </c>
      <c r="B183" s="669" t="str">
        <f>'L2 Finishes'!C31</f>
        <v>DISTRIBUTION BOARDS   (M)</v>
      </c>
      <c r="C183" s="140">
        <f>'L2 Finishes'!G31</f>
        <v>0</v>
      </c>
      <c r="D183" s="140">
        <f>'L2 Finishes'!H31</f>
        <v>0</v>
      </c>
      <c r="E183" s="140">
        <f>'L2 Finishes'!I31</f>
        <v>0</v>
      </c>
      <c r="F183" s="140"/>
      <c r="G183" s="614">
        <f>'L2 Finishes'!O31</f>
        <v>0</v>
      </c>
      <c r="H183" s="614">
        <f>'L2 Finishes'!P31</f>
        <v>0</v>
      </c>
      <c r="I183" s="614">
        <f>'L2 Finishes'!Q31</f>
        <v>0</v>
      </c>
      <c r="J183" s="614">
        <f>'L2 Finishes'!R31</f>
        <v>0</v>
      </c>
      <c r="K183" s="614">
        <f>'L2 Finishes'!S31</f>
        <v>0</v>
      </c>
      <c r="L183" s="614">
        <f>'L2 Finishes'!T31</f>
        <v>0</v>
      </c>
      <c r="M183" s="283">
        <f t="shared" si="7"/>
        <v>0</v>
      </c>
      <c r="N183" s="289"/>
    </row>
    <row r="184" spans="1:14" ht="34.5" hidden="1" customHeight="1">
      <c r="A184" s="614" t="str">
        <f>'L2 Finishes'!B32</f>
        <v>27 a</v>
      </c>
      <c r="B184" s="669" t="str">
        <f>'L2 Finishes'!C32</f>
        <v>Internal Paint     (M+L)</v>
      </c>
      <c r="C184" s="140">
        <f>'L2 Finishes'!G32</f>
        <v>0</v>
      </c>
      <c r="D184" s="140">
        <f>'L2 Finishes'!H32</f>
        <v>0</v>
      </c>
      <c r="E184" s="140">
        <f>'L2 Finishes'!I32</f>
        <v>0</v>
      </c>
      <c r="F184" s="140"/>
      <c r="G184" s="614">
        <f>'L2 Finishes'!O32</f>
        <v>0</v>
      </c>
      <c r="H184" s="614">
        <f>'L2 Finishes'!P32</f>
        <v>0</v>
      </c>
      <c r="I184" s="614">
        <f>'L2 Finishes'!Q32</f>
        <v>0</v>
      </c>
      <c r="J184" s="614">
        <f>'L2 Finishes'!R32</f>
        <v>0</v>
      </c>
      <c r="K184" s="614">
        <f>'L2 Finishes'!S32</f>
        <v>0</v>
      </c>
      <c r="L184" s="614">
        <f>'L2 Finishes'!T32</f>
        <v>0</v>
      </c>
      <c r="M184" s="283">
        <f t="shared" si="7"/>
        <v>0</v>
      </c>
      <c r="N184" s="289"/>
    </row>
    <row r="185" spans="1:14" ht="34.5" customHeight="1">
      <c r="A185" s="140" t="str">
        <f>'L2 Finishes'!B33</f>
        <v>27 b</v>
      </c>
      <c r="B185" s="140" t="str">
        <f>'L2 Finishes'!C33</f>
        <v xml:space="preserve">External Paint </v>
      </c>
      <c r="C185" s="140">
        <f>'L2 Finishes'!G33</f>
        <v>8105205</v>
      </c>
      <c r="D185" s="140">
        <f>'L2 Finishes'!H33</f>
        <v>2026300</v>
      </c>
      <c r="E185" s="140">
        <f>'L2 Finishes'!I33</f>
        <v>6078905</v>
      </c>
      <c r="F185" s="140">
        <f>'L2 Finishes'!J33</f>
        <v>0</v>
      </c>
      <c r="G185" s="614">
        <f>'L2 Finishes'!O33</f>
        <v>0</v>
      </c>
      <c r="H185" s="614">
        <f>'L2 Finishes'!P33</f>
        <v>2026301.6666666667</v>
      </c>
      <c r="I185" s="614">
        <f>'L2 Finishes'!Q33</f>
        <v>2026301.6666666667</v>
      </c>
      <c r="J185" s="614">
        <f>'L2 Finishes'!R33</f>
        <v>2026301.6666666667</v>
      </c>
      <c r="K185" s="614">
        <f>'L2 Finishes'!S33</f>
        <v>0</v>
      </c>
      <c r="L185" s="614">
        <f>'L2 Finishes'!T33</f>
        <v>0</v>
      </c>
      <c r="M185" s="283">
        <f t="shared" si="7"/>
        <v>0</v>
      </c>
      <c r="N185" s="289"/>
    </row>
    <row r="186" spans="1:14" ht="34.5" hidden="1" customHeight="1">
      <c r="A186" s="614">
        <f>'L2 Finishes'!B34</f>
        <v>28</v>
      </c>
      <c r="B186" s="669" t="str">
        <f>'L2 Finishes'!C34</f>
        <v>Tile      (M+L)</v>
      </c>
      <c r="C186" s="140">
        <f>'L2 Finishes'!G34</f>
        <v>0</v>
      </c>
      <c r="D186" s="140">
        <f>'L2 Finishes'!H34</f>
        <v>0</v>
      </c>
      <c r="E186" s="140">
        <f>'L2 Finishes'!I34</f>
        <v>0</v>
      </c>
      <c r="F186" s="140"/>
      <c r="G186" s="614">
        <f>'L2 Finishes'!O34</f>
        <v>0</v>
      </c>
      <c r="H186" s="614">
        <f>'L2 Finishes'!P34</f>
        <v>0</v>
      </c>
      <c r="I186" s="614">
        <f>'L2 Finishes'!Q34</f>
        <v>0</v>
      </c>
      <c r="J186" s="614">
        <f>'L2 Finishes'!R34</f>
        <v>0</v>
      </c>
      <c r="K186" s="614">
        <f>'L2 Finishes'!S34</f>
        <v>0</v>
      </c>
      <c r="L186" s="614">
        <f>'L2 Finishes'!T34</f>
        <v>0</v>
      </c>
      <c r="M186" s="283">
        <f t="shared" si="7"/>
        <v>0</v>
      </c>
      <c r="N186" s="289"/>
    </row>
    <row r="187" spans="1:14" ht="34.5" hidden="1" customHeight="1">
      <c r="A187" s="614" t="str">
        <f>'L2 Finishes'!B35</f>
        <v>28 b</v>
      </c>
      <c r="B187" s="669" t="str">
        <f>'L2 Finishes'!C35</f>
        <v>Marble Works</v>
      </c>
      <c r="C187" s="140">
        <f>'L2 Finishes'!G35</f>
        <v>0</v>
      </c>
      <c r="D187" s="140">
        <f>'L2 Finishes'!H35</f>
        <v>0</v>
      </c>
      <c r="E187" s="140">
        <f>'L2 Finishes'!I35</f>
        <v>0</v>
      </c>
      <c r="F187" s="140"/>
      <c r="G187" s="614">
        <f>'L2 Finishes'!O35</f>
        <v>0</v>
      </c>
      <c r="H187" s="614">
        <f>'L2 Finishes'!P35</f>
        <v>0</v>
      </c>
      <c r="I187" s="614">
        <f>'L2 Finishes'!Q35</f>
        <v>0</v>
      </c>
      <c r="J187" s="614">
        <f>'L2 Finishes'!R35</f>
        <v>0</v>
      </c>
      <c r="K187" s="614">
        <f>'L2 Finishes'!S35</f>
        <v>0</v>
      </c>
      <c r="L187" s="614">
        <f>'L2 Finishes'!T35</f>
        <v>0</v>
      </c>
      <c r="M187" s="283">
        <f t="shared" si="7"/>
        <v>0</v>
      </c>
      <c r="N187" s="289"/>
    </row>
    <row r="188" spans="1:14" ht="34.5" hidden="1" customHeight="1">
      <c r="A188" s="614">
        <f>'L2 Finishes'!B36</f>
        <v>29</v>
      </c>
      <c r="B188" s="669" t="str">
        <f>'L2 Finishes'!C36</f>
        <v>BUSWAYS          (M)</v>
      </c>
      <c r="C188" s="140">
        <f>'L2 Finishes'!G36</f>
        <v>0</v>
      </c>
      <c r="D188" s="140">
        <f>'L2 Finishes'!H36</f>
        <v>0</v>
      </c>
      <c r="E188" s="140">
        <f>'L2 Finishes'!I36</f>
        <v>0</v>
      </c>
      <c r="F188" s="140"/>
      <c r="G188" s="614">
        <f>'L2 Finishes'!O36</f>
        <v>0</v>
      </c>
      <c r="H188" s="614">
        <f>'L2 Finishes'!P36</f>
        <v>0</v>
      </c>
      <c r="I188" s="614">
        <f>'L2 Finishes'!Q36</f>
        <v>0</v>
      </c>
      <c r="J188" s="614">
        <f>'L2 Finishes'!R36</f>
        <v>0</v>
      </c>
      <c r="K188" s="614">
        <f>'L2 Finishes'!S36</f>
        <v>0</v>
      </c>
      <c r="L188" s="614">
        <f>'L2 Finishes'!T36</f>
        <v>0</v>
      </c>
      <c r="M188" s="283">
        <f t="shared" si="7"/>
        <v>0</v>
      </c>
      <c r="N188" s="289"/>
    </row>
    <row r="189" spans="1:14" ht="34.5" hidden="1" customHeight="1">
      <c r="A189" s="614" t="str">
        <f>'L2 Finishes'!B37</f>
        <v>30 a</v>
      </c>
      <c r="B189" s="669" t="str">
        <f>'L2 Finishes'!C37</f>
        <v>Wood  (M+L)</v>
      </c>
      <c r="C189" s="140">
        <f>'L2 Finishes'!G37</f>
        <v>0</v>
      </c>
      <c r="D189" s="140">
        <f>'L2 Finishes'!H37</f>
        <v>0</v>
      </c>
      <c r="E189" s="140">
        <f>'L2 Finishes'!I37</f>
        <v>0</v>
      </c>
      <c r="F189" s="140"/>
      <c r="G189" s="614">
        <f>'L2 Finishes'!O37</f>
        <v>0</v>
      </c>
      <c r="H189" s="614">
        <f>'L2 Finishes'!P37</f>
        <v>0</v>
      </c>
      <c r="I189" s="614">
        <f>'L2 Finishes'!Q37</f>
        <v>0</v>
      </c>
      <c r="J189" s="614">
        <f>'L2 Finishes'!R37</f>
        <v>0</v>
      </c>
      <c r="K189" s="614">
        <f>'L2 Finishes'!S37</f>
        <v>0</v>
      </c>
      <c r="L189" s="614">
        <f>'L2 Finishes'!T37</f>
        <v>0</v>
      </c>
      <c r="M189" s="283">
        <f t="shared" si="7"/>
        <v>0</v>
      </c>
      <c r="N189" s="289"/>
    </row>
    <row r="190" spans="1:14" ht="34.5" hidden="1" customHeight="1">
      <c r="A190" s="614" t="str">
        <f>'L2 Finishes'!B38</f>
        <v>30 b</v>
      </c>
      <c r="B190" s="669" t="str">
        <f>'L2 Finishes'!C38</f>
        <v>Steel Work (M+L)</v>
      </c>
      <c r="C190" s="140">
        <f>'L2 Finishes'!G38</f>
        <v>0</v>
      </c>
      <c r="D190" s="140">
        <f>'L2 Finishes'!H38</f>
        <v>0</v>
      </c>
      <c r="E190" s="140">
        <f>'L2 Finishes'!I38</f>
        <v>0</v>
      </c>
      <c r="F190" s="140"/>
      <c r="G190" s="614">
        <f>'L2 Finishes'!O38</f>
        <v>0</v>
      </c>
      <c r="H190" s="614">
        <f>'L2 Finishes'!P38</f>
        <v>0</v>
      </c>
      <c r="I190" s="614">
        <f>'L2 Finishes'!Q38</f>
        <v>0</v>
      </c>
      <c r="J190" s="614">
        <f>'L2 Finishes'!R38</f>
        <v>0</v>
      </c>
      <c r="K190" s="614">
        <f>'L2 Finishes'!S38</f>
        <v>0</v>
      </c>
      <c r="L190" s="614">
        <f>'L2 Finishes'!T38</f>
        <v>0</v>
      </c>
      <c r="M190" s="283">
        <f t="shared" si="7"/>
        <v>0</v>
      </c>
      <c r="N190" s="289"/>
    </row>
    <row r="191" spans="1:14" ht="34.5" customHeight="1">
      <c r="A191" s="140">
        <f>'L2 Finishes'!B39</f>
        <v>31</v>
      </c>
      <c r="B191" s="140" t="str">
        <f>'L2 Finishes'!C39</f>
        <v>Dry Type Transformers     (M)</v>
      </c>
      <c r="C191" s="140">
        <f>'L2 Finishes'!G39</f>
        <v>11741000</v>
      </c>
      <c r="D191" s="140">
        <f>'L2 Finishes'!H39</f>
        <v>5870500</v>
      </c>
      <c r="E191" s="140">
        <f>'L2 Finishes'!I39</f>
        <v>5870500</v>
      </c>
      <c r="F191" s="140">
        <f>'L2 Finishes'!J39</f>
        <v>0</v>
      </c>
      <c r="G191" s="614">
        <f>'L2 Finishes'!O39</f>
        <v>0</v>
      </c>
      <c r="H191" s="614">
        <f>'L2 Finishes'!P39</f>
        <v>0</v>
      </c>
      <c r="I191" s="614">
        <f>'L2 Finishes'!Q39</f>
        <v>0</v>
      </c>
      <c r="J191" s="614">
        <f>'L2 Finishes'!R39</f>
        <v>5870500</v>
      </c>
      <c r="K191" s="614">
        <f>'L2 Finishes'!S39</f>
        <v>0</v>
      </c>
      <c r="L191" s="614">
        <f>'L2 Finishes'!T39</f>
        <v>0</v>
      </c>
      <c r="M191" s="283">
        <f t="shared" si="7"/>
        <v>0</v>
      </c>
      <c r="N191" s="289"/>
    </row>
    <row r="192" spans="1:14" ht="34.5" hidden="1" customHeight="1">
      <c r="A192" s="614">
        <f>'L2 Finishes'!B40</f>
        <v>32</v>
      </c>
      <c r="B192" s="669" t="str">
        <f>'L2 Finishes'!C40</f>
        <v>DIESEL GENERATOR &amp; ALLIED WORKS   (M+L)</v>
      </c>
      <c r="C192" s="140">
        <f>'L2 Finishes'!G40</f>
        <v>0</v>
      </c>
      <c r="D192" s="140">
        <f>'L2 Finishes'!H40</f>
        <v>0</v>
      </c>
      <c r="E192" s="140">
        <f>'L2 Finishes'!I40</f>
        <v>0</v>
      </c>
      <c r="F192" s="140"/>
      <c r="G192" s="614">
        <f>'L2 Finishes'!O40</f>
        <v>0</v>
      </c>
      <c r="H192" s="614">
        <f>'L2 Finishes'!P40</f>
        <v>0</v>
      </c>
      <c r="I192" s="614">
        <f>'L2 Finishes'!Q40</f>
        <v>0</v>
      </c>
      <c r="J192" s="614">
        <f>'L2 Finishes'!R40</f>
        <v>0</v>
      </c>
      <c r="K192" s="614">
        <f>'L2 Finishes'!S40</f>
        <v>0</v>
      </c>
      <c r="L192" s="614">
        <f>'L2 Finishes'!T40</f>
        <v>0</v>
      </c>
      <c r="M192" s="283">
        <f t="shared" si="7"/>
        <v>0</v>
      </c>
      <c r="N192" s="289"/>
    </row>
    <row r="193" spans="1:14" ht="34.5" hidden="1" customHeight="1">
      <c r="A193" s="614">
        <f>'L2 Finishes'!B41</f>
        <v>33</v>
      </c>
      <c r="B193" s="669" t="str">
        <f>'L2 Finishes'!C41</f>
        <v>Chute      (M+L)</v>
      </c>
      <c r="C193" s="140">
        <f>'L2 Finishes'!G41</f>
        <v>0</v>
      </c>
      <c r="D193" s="140">
        <f>'L2 Finishes'!H41</f>
        <v>0</v>
      </c>
      <c r="E193" s="140">
        <f>'L2 Finishes'!I41</f>
        <v>0</v>
      </c>
      <c r="F193" s="140"/>
      <c r="G193" s="614">
        <f>'L2 Finishes'!O41</f>
        <v>0</v>
      </c>
      <c r="H193" s="614">
        <f>'L2 Finishes'!P41</f>
        <v>0</v>
      </c>
      <c r="I193" s="614">
        <f>'L2 Finishes'!Q41</f>
        <v>0</v>
      </c>
      <c r="J193" s="614">
        <f>'L2 Finishes'!R41</f>
        <v>0</v>
      </c>
      <c r="K193" s="614">
        <f>'L2 Finishes'!S41</f>
        <v>0</v>
      </c>
      <c r="L193" s="614">
        <f>'L2 Finishes'!T41</f>
        <v>0</v>
      </c>
      <c r="M193" s="283">
        <f t="shared" si="7"/>
        <v>0</v>
      </c>
      <c r="N193" s="289"/>
    </row>
    <row r="194" spans="1:14" ht="34.5" hidden="1" customHeight="1">
      <c r="A194" s="614">
        <f>'L2 Finishes'!B42</f>
        <v>34</v>
      </c>
      <c r="B194" s="669" t="str">
        <f>'L2 Finishes'!C42</f>
        <v>LPG System  (M+L)</v>
      </c>
      <c r="C194" s="140">
        <f>'L2 Finishes'!G42</f>
        <v>0</v>
      </c>
      <c r="D194" s="140">
        <f>'L2 Finishes'!H42</f>
        <v>0</v>
      </c>
      <c r="E194" s="140">
        <f>'L2 Finishes'!I42</f>
        <v>0</v>
      </c>
      <c r="F194" s="140"/>
      <c r="G194" s="614">
        <f>'L2 Finishes'!O42</f>
        <v>0</v>
      </c>
      <c r="H194" s="614">
        <f>'L2 Finishes'!P42</f>
        <v>0</v>
      </c>
      <c r="I194" s="614">
        <f>'L2 Finishes'!Q42</f>
        <v>0</v>
      </c>
      <c r="J194" s="614">
        <f>'L2 Finishes'!R42</f>
        <v>0</v>
      </c>
      <c r="K194" s="614">
        <f>'L2 Finishes'!S42</f>
        <v>0</v>
      </c>
      <c r="L194" s="614">
        <f>'L2 Finishes'!T42</f>
        <v>0</v>
      </c>
      <c r="M194" s="283">
        <f t="shared" si="7"/>
        <v>0</v>
      </c>
      <c r="N194" s="289"/>
    </row>
    <row r="195" spans="1:14" ht="34.5" hidden="1" customHeight="1">
      <c r="A195" s="614">
        <f>'L2 Finishes'!B43</f>
        <v>35</v>
      </c>
      <c r="B195" s="669" t="str">
        <f>'L2 Finishes'!C43</f>
        <v>VERTICAL BACKBONE INFRASTRUCTURE (GPON)  (M+L)</v>
      </c>
      <c r="C195" s="140">
        <f>'L2 Finishes'!G43</f>
        <v>0</v>
      </c>
      <c r="D195" s="140">
        <f>'L2 Finishes'!H43</f>
        <v>0</v>
      </c>
      <c r="E195" s="140">
        <f>'L2 Finishes'!I43</f>
        <v>0</v>
      </c>
      <c r="F195" s="140"/>
      <c r="G195" s="614">
        <f>'L2 Finishes'!O43</f>
        <v>0</v>
      </c>
      <c r="H195" s="614">
        <f>'L2 Finishes'!P43</f>
        <v>0</v>
      </c>
      <c r="I195" s="614">
        <f>'L2 Finishes'!Q43</f>
        <v>0</v>
      </c>
      <c r="J195" s="614">
        <f>'L2 Finishes'!R43</f>
        <v>0</v>
      </c>
      <c r="K195" s="614">
        <f>'L2 Finishes'!S43</f>
        <v>0</v>
      </c>
      <c r="L195" s="614">
        <f>'L2 Finishes'!T43</f>
        <v>0</v>
      </c>
      <c r="M195" s="283">
        <f t="shared" si="7"/>
        <v>0</v>
      </c>
      <c r="N195" s="289"/>
    </row>
    <row r="196" spans="1:14" ht="34.5" hidden="1" customHeight="1">
      <c r="A196" s="614" t="str">
        <f>'L2 Finishes'!B44</f>
        <v>36a</v>
      </c>
      <c r="B196" s="669" t="str">
        <f>'L2 Finishes'!C44</f>
        <v>SUPPLY OF PLUMBING FIXTURES   (M)</v>
      </c>
      <c r="C196" s="140">
        <f>'L2 Finishes'!G44</f>
        <v>0</v>
      </c>
      <c r="D196" s="140">
        <f>'L2 Finishes'!H44</f>
        <v>0</v>
      </c>
      <c r="E196" s="140">
        <f>'L2 Finishes'!I44</f>
        <v>0</v>
      </c>
      <c r="F196" s="140"/>
      <c r="G196" s="614">
        <f>'L2 Finishes'!O44</f>
        <v>0</v>
      </c>
      <c r="H196" s="614">
        <f>'L2 Finishes'!P44</f>
        <v>0</v>
      </c>
      <c r="I196" s="614">
        <f>'L2 Finishes'!Q44</f>
        <v>0</v>
      </c>
      <c r="J196" s="614">
        <f>'L2 Finishes'!R44</f>
        <v>0</v>
      </c>
      <c r="K196" s="614">
        <f>'L2 Finishes'!S44</f>
        <v>0</v>
      </c>
      <c r="L196" s="614">
        <f>'L2 Finishes'!T44</f>
        <v>0</v>
      </c>
      <c r="M196" s="283">
        <f t="shared" si="7"/>
        <v>0</v>
      </c>
      <c r="N196" s="289"/>
    </row>
    <row r="197" spans="1:14" ht="34.5" hidden="1" customHeight="1">
      <c r="A197" s="614" t="str">
        <f>'L2 Finishes'!B45</f>
        <v>36b</v>
      </c>
      <c r="B197" s="669" t="str">
        <f>'L2 Finishes'!C45</f>
        <v xml:space="preserve">Mirror </v>
      </c>
      <c r="C197" s="140">
        <f>'L2 Finishes'!G45</f>
        <v>0</v>
      </c>
      <c r="D197" s="140">
        <f>'L2 Finishes'!H45</f>
        <v>0</v>
      </c>
      <c r="E197" s="140">
        <f>'L2 Finishes'!I45</f>
        <v>0</v>
      </c>
      <c r="F197" s="140"/>
      <c r="G197" s="614">
        <f>'L2 Finishes'!O45</f>
        <v>0</v>
      </c>
      <c r="H197" s="614">
        <f>'L2 Finishes'!P45</f>
        <v>0</v>
      </c>
      <c r="I197" s="614">
        <f>'L2 Finishes'!Q45</f>
        <v>0</v>
      </c>
      <c r="J197" s="614">
        <f>'L2 Finishes'!R45</f>
        <v>0</v>
      </c>
      <c r="K197" s="614">
        <f>'L2 Finishes'!S45</f>
        <v>0</v>
      </c>
      <c r="L197" s="614">
        <f>'L2 Finishes'!T45</f>
        <v>0</v>
      </c>
      <c r="M197" s="283">
        <f t="shared" si="7"/>
        <v>0</v>
      </c>
      <c r="N197" s="289"/>
    </row>
    <row r="198" spans="1:14" ht="34.5" hidden="1" customHeight="1">
      <c r="A198" s="614" t="str">
        <f>'L2 Finishes'!B46</f>
        <v xml:space="preserve">36c </v>
      </c>
      <c r="B198" s="669" t="str">
        <f>'L2 Finishes'!C46</f>
        <v>Shower Cabin</v>
      </c>
      <c r="C198" s="140">
        <f>'L2 Finishes'!G46</f>
        <v>0</v>
      </c>
      <c r="D198" s="140">
        <f>'L2 Finishes'!H46</f>
        <v>0</v>
      </c>
      <c r="E198" s="140">
        <f>'L2 Finishes'!I46</f>
        <v>0</v>
      </c>
      <c r="F198" s="140"/>
      <c r="G198" s="614">
        <f>'L2 Finishes'!O46</f>
        <v>0</v>
      </c>
      <c r="H198" s="614">
        <f>'L2 Finishes'!P46</f>
        <v>0</v>
      </c>
      <c r="I198" s="614">
        <f>'L2 Finishes'!Q46</f>
        <v>0</v>
      </c>
      <c r="J198" s="614">
        <f>'L2 Finishes'!R46</f>
        <v>0</v>
      </c>
      <c r="K198" s="614">
        <f>'L2 Finishes'!S46</f>
        <v>0</v>
      </c>
      <c r="L198" s="614">
        <f>'L2 Finishes'!T46</f>
        <v>0</v>
      </c>
      <c r="M198" s="283">
        <f t="shared" si="7"/>
        <v>0</v>
      </c>
      <c r="N198" s="289"/>
    </row>
    <row r="199" spans="1:14" ht="34.5" hidden="1" customHeight="1">
      <c r="A199" s="614">
        <f>'L2 Finishes'!B47</f>
        <v>37</v>
      </c>
      <c r="B199" s="669" t="str">
        <f>'L2 Finishes'!C47</f>
        <v>MEDIUM VOLTAGE CABLES &amp; TERMINATION KITS  (M)</v>
      </c>
      <c r="C199" s="140">
        <f>'L2 Finishes'!G47</f>
        <v>0</v>
      </c>
      <c r="D199" s="140">
        <f>'L2 Finishes'!H47</f>
        <v>0</v>
      </c>
      <c r="E199" s="140">
        <f>'L2 Finishes'!I47</f>
        <v>0</v>
      </c>
      <c r="F199" s="140"/>
      <c r="G199" s="614">
        <f>'L2 Finishes'!O47</f>
        <v>0</v>
      </c>
      <c r="H199" s="614">
        <f>'L2 Finishes'!P47</f>
        <v>0</v>
      </c>
      <c r="I199" s="614">
        <f>'L2 Finishes'!Q47</f>
        <v>0</v>
      </c>
      <c r="J199" s="614">
        <f>'L2 Finishes'!R47</f>
        <v>0</v>
      </c>
      <c r="K199" s="614">
        <f>'L2 Finishes'!S47</f>
        <v>0</v>
      </c>
      <c r="L199" s="614">
        <f>'L2 Finishes'!T47</f>
        <v>0</v>
      </c>
      <c r="M199" s="283">
        <f t="shared" si="7"/>
        <v>0</v>
      </c>
      <c r="N199" s="289"/>
    </row>
    <row r="200" spans="1:14" ht="34.5" hidden="1" customHeight="1">
      <c r="A200" s="614">
        <f>'L2 Finishes'!B48</f>
        <v>38</v>
      </c>
      <c r="B200" s="669" t="str">
        <f>'L2 Finishes'!C48</f>
        <v>SWITCHES &amp; SOCKETS   (M)</v>
      </c>
      <c r="C200" s="140">
        <f>'L2 Finishes'!G48</f>
        <v>0</v>
      </c>
      <c r="D200" s="140">
        <f>'L2 Finishes'!H48</f>
        <v>0</v>
      </c>
      <c r="E200" s="140">
        <f>'L2 Finishes'!I48</f>
        <v>0</v>
      </c>
      <c r="F200" s="140"/>
      <c r="G200" s="614">
        <f>'L2 Finishes'!O48</f>
        <v>0</v>
      </c>
      <c r="H200" s="614">
        <f>'L2 Finishes'!P48</f>
        <v>0</v>
      </c>
      <c r="I200" s="614">
        <f>'L2 Finishes'!Q48</f>
        <v>0</v>
      </c>
      <c r="J200" s="614">
        <f>'L2 Finishes'!R48</f>
        <v>0</v>
      </c>
      <c r="K200" s="614">
        <f>'L2 Finishes'!S48</f>
        <v>0</v>
      </c>
      <c r="L200" s="614">
        <f>'L2 Finishes'!T48</f>
        <v>0</v>
      </c>
      <c r="M200" s="283">
        <f t="shared" si="7"/>
        <v>0</v>
      </c>
      <c r="N200" s="289"/>
    </row>
    <row r="201" spans="1:14" ht="34.5" hidden="1" customHeight="1">
      <c r="A201" s="614">
        <f>'L2 Finishes'!B49</f>
        <v>39</v>
      </c>
      <c r="B201" s="669" t="str">
        <f>'L2 Finishes'!C49</f>
        <v>LIGHTING FIXTURES    (M)</v>
      </c>
      <c r="C201" s="140">
        <f>'L2 Finishes'!G49</f>
        <v>0</v>
      </c>
      <c r="D201" s="140">
        <f>'L2 Finishes'!H49</f>
        <v>0</v>
      </c>
      <c r="E201" s="140">
        <f>'L2 Finishes'!I49</f>
        <v>0</v>
      </c>
      <c r="F201" s="140"/>
      <c r="G201" s="614">
        <f>'L2 Finishes'!O49</f>
        <v>0</v>
      </c>
      <c r="H201" s="614">
        <f>'L2 Finishes'!P49</f>
        <v>0</v>
      </c>
      <c r="I201" s="614">
        <f>'L2 Finishes'!Q49</f>
        <v>0</v>
      </c>
      <c r="J201" s="614">
        <f>'L2 Finishes'!R49</f>
        <v>0</v>
      </c>
      <c r="K201" s="614">
        <f>'L2 Finishes'!S49</f>
        <v>0</v>
      </c>
      <c r="L201" s="614">
        <f>'L2 Finishes'!T49</f>
        <v>0</v>
      </c>
      <c r="M201" s="283">
        <f t="shared" si="7"/>
        <v>0</v>
      </c>
      <c r="N201" s="289"/>
    </row>
    <row r="202" spans="1:14" ht="34.5" hidden="1" customHeight="1">
      <c r="A202" s="614">
        <f>'L2 Finishes'!B50</f>
        <v>40</v>
      </c>
      <c r="B202" s="669" t="str">
        <f>'L2 Finishes'!C50</f>
        <v>UPS (UNINTERRUPTIBLE POWER SUPPLY)     (M+L)</v>
      </c>
      <c r="C202" s="140">
        <f>'L2 Finishes'!G50</f>
        <v>0</v>
      </c>
      <c r="D202" s="140">
        <f>'L2 Finishes'!H50</f>
        <v>0</v>
      </c>
      <c r="E202" s="140">
        <f>'L2 Finishes'!I50</f>
        <v>0</v>
      </c>
      <c r="F202" s="140"/>
      <c r="G202" s="614">
        <f>'L2 Finishes'!O50</f>
        <v>0</v>
      </c>
      <c r="H202" s="614">
        <f>'L2 Finishes'!P50</f>
        <v>0</v>
      </c>
      <c r="I202" s="614">
        <f>'L2 Finishes'!Q50</f>
        <v>0</v>
      </c>
      <c r="J202" s="614">
        <f>'L2 Finishes'!R50</f>
        <v>0</v>
      </c>
      <c r="K202" s="614">
        <f>'L2 Finishes'!S50</f>
        <v>0</v>
      </c>
      <c r="L202" s="614">
        <f>'L2 Finishes'!T50</f>
        <v>0</v>
      </c>
      <c r="M202" s="283">
        <f t="shared" si="7"/>
        <v>0</v>
      </c>
      <c r="N202" s="289"/>
    </row>
    <row r="203" spans="1:14" ht="34.5" hidden="1" customHeight="1">
      <c r="A203" s="614">
        <f>'L2 Finishes'!B51</f>
        <v>41</v>
      </c>
      <c r="B203" s="669" t="str">
        <f>'L2 Finishes'!C51</f>
        <v>CCTV SYSTEM (IP BASED)   (M+L)</v>
      </c>
      <c r="C203" s="140">
        <f>'L2 Finishes'!G51</f>
        <v>0</v>
      </c>
      <c r="D203" s="140">
        <f>'L2 Finishes'!H51</f>
        <v>0</v>
      </c>
      <c r="E203" s="140">
        <f>'L2 Finishes'!I51</f>
        <v>0</v>
      </c>
      <c r="F203" s="140"/>
      <c r="G203" s="614">
        <f>'L2 Finishes'!O51</f>
        <v>0</v>
      </c>
      <c r="H203" s="614">
        <f>'L2 Finishes'!P51</f>
        <v>0</v>
      </c>
      <c r="I203" s="614">
        <f>'L2 Finishes'!Q51</f>
        <v>0</v>
      </c>
      <c r="J203" s="614">
        <f>'L2 Finishes'!R51</f>
        <v>0</v>
      </c>
      <c r="K203" s="614">
        <f>'L2 Finishes'!S51</f>
        <v>0</v>
      </c>
      <c r="L203" s="614">
        <f>'L2 Finishes'!T51</f>
        <v>0</v>
      </c>
      <c r="M203" s="283">
        <f t="shared" si="7"/>
        <v>0</v>
      </c>
      <c r="N203" s="289"/>
    </row>
    <row r="204" spans="1:14" ht="34.5" hidden="1" customHeight="1">
      <c r="A204" s="614">
        <f>'L2 Finishes'!B52</f>
        <v>42</v>
      </c>
      <c r="B204" s="669" t="str">
        <f>'L2 Finishes'!C52</f>
        <v>Ventilation/Exhaust system    (M+L)</v>
      </c>
      <c r="C204" s="140">
        <f>'L2 Finishes'!G52</f>
        <v>0</v>
      </c>
      <c r="D204" s="140">
        <f>'L2 Finishes'!H52</f>
        <v>0</v>
      </c>
      <c r="E204" s="140">
        <f>'L2 Finishes'!I52</f>
        <v>0</v>
      </c>
      <c r="F204" s="140"/>
      <c r="G204" s="614">
        <f>'L2 Finishes'!O52</f>
        <v>0</v>
      </c>
      <c r="H204" s="614">
        <f>'L2 Finishes'!P52</f>
        <v>0</v>
      </c>
      <c r="I204" s="614">
        <f>'L2 Finishes'!Q52</f>
        <v>0</v>
      </c>
      <c r="J204" s="614">
        <f>'L2 Finishes'!R52</f>
        <v>0</v>
      </c>
      <c r="K204" s="614">
        <f>'L2 Finishes'!S52</f>
        <v>0</v>
      </c>
      <c r="L204" s="614">
        <f>'L2 Finishes'!T52</f>
        <v>0</v>
      </c>
      <c r="M204" s="283">
        <f t="shared" si="7"/>
        <v>0</v>
      </c>
      <c r="N204" s="289"/>
    </row>
    <row r="205" spans="1:14" ht="34.5" hidden="1" customHeight="1">
      <c r="A205" s="614">
        <f>'L2 Finishes'!B53</f>
        <v>45</v>
      </c>
      <c r="B205" s="669" t="str">
        <f>'L2 Finishes'!C53</f>
        <v>FIRE ALARM SYSTEM      (M+L)</v>
      </c>
      <c r="C205" s="140">
        <f>'L2 Finishes'!G53</f>
        <v>0</v>
      </c>
      <c r="D205" s="140">
        <f>'L2 Finishes'!H53</f>
        <v>0</v>
      </c>
      <c r="E205" s="140">
        <f>'L2 Finishes'!I53</f>
        <v>0</v>
      </c>
      <c r="F205" s="140"/>
      <c r="G205" s="614">
        <f>'L2 Finishes'!O53</f>
        <v>0</v>
      </c>
      <c r="H205" s="614">
        <f>'L2 Finishes'!P53</f>
        <v>0</v>
      </c>
      <c r="I205" s="614">
        <f>'L2 Finishes'!Q53</f>
        <v>0</v>
      </c>
      <c r="J205" s="614">
        <f>'L2 Finishes'!R53</f>
        <v>0</v>
      </c>
      <c r="K205" s="614">
        <f>'L2 Finishes'!S53</f>
        <v>0</v>
      </c>
      <c r="L205" s="614">
        <f>'L2 Finishes'!T53</f>
        <v>0</v>
      </c>
      <c r="M205" s="283">
        <f t="shared" si="7"/>
        <v>0</v>
      </c>
      <c r="N205" s="289"/>
    </row>
    <row r="206" spans="1:14" ht="34.5" hidden="1" customHeight="1">
      <c r="A206" s="614">
        <f>'L2 Finishes'!B54</f>
        <v>46</v>
      </c>
      <c r="B206" s="669" t="str">
        <f>'L2 Finishes'!C54</f>
        <v>FACILITY LIGHTNING PROTECTION SYSTEM (OFM)</v>
      </c>
      <c r="C206" s="140">
        <f>'L2 Finishes'!G54</f>
        <v>0</v>
      </c>
      <c r="D206" s="140">
        <f>'L2 Finishes'!H54</f>
        <v>0</v>
      </c>
      <c r="E206" s="140">
        <f>'L2 Finishes'!I54</f>
        <v>0</v>
      </c>
      <c r="F206" s="140"/>
      <c r="G206" s="614">
        <f>'L2 Finishes'!O54</f>
        <v>0</v>
      </c>
      <c r="H206" s="614">
        <f>'L2 Finishes'!P54</f>
        <v>0</v>
      </c>
      <c r="I206" s="614">
        <f>'L2 Finishes'!Q54</f>
        <v>0</v>
      </c>
      <c r="J206" s="614">
        <f>'L2 Finishes'!R54</f>
        <v>0</v>
      </c>
      <c r="K206" s="614">
        <f>'L2 Finishes'!S54</f>
        <v>0</v>
      </c>
      <c r="L206" s="614">
        <f>'L2 Finishes'!T54</f>
        <v>0</v>
      </c>
      <c r="M206" s="283">
        <f t="shared" si="7"/>
        <v>0</v>
      </c>
      <c r="N206" s="289"/>
    </row>
    <row r="207" spans="1:14" ht="34.5" hidden="1" customHeight="1">
      <c r="A207" s="614">
        <f>'L2 Finishes'!B55</f>
        <v>47</v>
      </c>
      <c r="B207" s="669" t="str">
        <f>'L2 Finishes'!C55</f>
        <v>Water storage heater   (M)</v>
      </c>
      <c r="C207" s="140">
        <f>'L2 Finishes'!G55</f>
        <v>0</v>
      </c>
      <c r="D207" s="140">
        <f>'L2 Finishes'!H55</f>
        <v>0</v>
      </c>
      <c r="E207" s="140">
        <f>'L2 Finishes'!I55</f>
        <v>0</v>
      </c>
      <c r="F207" s="140"/>
      <c r="G207" s="614">
        <f>'L2 Finishes'!O55</f>
        <v>0</v>
      </c>
      <c r="H207" s="614">
        <f>'L2 Finishes'!P55</f>
        <v>0</v>
      </c>
      <c r="I207" s="614">
        <f>'L2 Finishes'!Q55</f>
        <v>0</v>
      </c>
      <c r="J207" s="614">
        <f>'L2 Finishes'!R55</f>
        <v>0</v>
      </c>
      <c r="K207" s="614">
        <f>'L2 Finishes'!S55</f>
        <v>0</v>
      </c>
      <c r="L207" s="614">
        <f>'L2 Finishes'!T55</f>
        <v>0</v>
      </c>
      <c r="M207" s="283">
        <f t="shared" si="7"/>
        <v>0</v>
      </c>
      <c r="N207" s="289"/>
    </row>
    <row r="208" spans="1:14" ht="34.5" hidden="1" customHeight="1">
      <c r="A208" s="614">
        <f>'L2 Finishes'!B56</f>
        <v>48</v>
      </c>
      <c r="B208" s="669" t="str">
        <f>'L2 Finishes'!C56</f>
        <v>PUBLIC ADDRESS SYSTEM   (M)</v>
      </c>
      <c r="C208" s="140">
        <f>'L2 Finishes'!G56</f>
        <v>0</v>
      </c>
      <c r="D208" s="140">
        <f>'L2 Finishes'!H56</f>
        <v>0</v>
      </c>
      <c r="E208" s="140">
        <f>'L2 Finishes'!I56</f>
        <v>0</v>
      </c>
      <c r="F208" s="140"/>
      <c r="G208" s="614">
        <f>'L2 Finishes'!O56</f>
        <v>0</v>
      </c>
      <c r="H208" s="614">
        <f>'L2 Finishes'!P56</f>
        <v>0</v>
      </c>
      <c r="I208" s="614">
        <f>'L2 Finishes'!Q56</f>
        <v>0</v>
      </c>
      <c r="J208" s="614">
        <f>'L2 Finishes'!R56</f>
        <v>0</v>
      </c>
      <c r="K208" s="614">
        <f>'L2 Finishes'!S56</f>
        <v>0</v>
      </c>
      <c r="L208" s="614">
        <f>'L2 Finishes'!T56</f>
        <v>0</v>
      </c>
      <c r="M208" s="283">
        <f t="shared" si="7"/>
        <v>0</v>
      </c>
      <c r="N208" s="289"/>
    </row>
    <row r="209" spans="1:14" ht="34.5" hidden="1" customHeight="1">
      <c r="A209" s="614">
        <f>'L2 Finishes'!B57</f>
        <v>49</v>
      </c>
      <c r="B209" s="669" t="str">
        <f>'L2 Finishes'!C57</f>
        <v>ACCESS CONTROL SYSTEM   (M)</v>
      </c>
      <c r="C209" s="140">
        <f>'L2 Finishes'!G57</f>
        <v>0</v>
      </c>
      <c r="D209" s="140">
        <f>'L2 Finishes'!H57</f>
        <v>0</v>
      </c>
      <c r="E209" s="140">
        <f>'L2 Finishes'!I57</f>
        <v>0</v>
      </c>
      <c r="F209" s="140"/>
      <c r="G209" s="614">
        <f>'L2 Finishes'!O57</f>
        <v>0</v>
      </c>
      <c r="H209" s="614">
        <f>'L2 Finishes'!P57</f>
        <v>0</v>
      </c>
      <c r="I209" s="614">
        <f>'L2 Finishes'!Q57</f>
        <v>0</v>
      </c>
      <c r="J209" s="614">
        <f>'L2 Finishes'!R57</f>
        <v>0</v>
      </c>
      <c r="K209" s="614">
        <f>'L2 Finishes'!S57</f>
        <v>0</v>
      </c>
      <c r="L209" s="614">
        <f>'L2 Finishes'!T57</f>
        <v>0</v>
      </c>
      <c r="M209" s="283">
        <f t="shared" si="7"/>
        <v>0</v>
      </c>
      <c r="N209" s="289"/>
    </row>
    <row r="210" spans="1:14" ht="34.5" hidden="1" customHeight="1">
      <c r="A210" s="614">
        <f>'L2 Finishes'!B58</f>
        <v>50</v>
      </c>
      <c r="B210" s="669" t="str">
        <f>'L2 Finishes'!C58</f>
        <v>Pump Sets   (M)</v>
      </c>
      <c r="C210" s="140">
        <f>'L2 Finishes'!G58</f>
        <v>0</v>
      </c>
      <c r="D210" s="140">
        <f>'L2 Finishes'!H58</f>
        <v>0</v>
      </c>
      <c r="E210" s="140">
        <f>'L2 Finishes'!I58</f>
        <v>0</v>
      </c>
      <c r="F210" s="140"/>
      <c r="G210" s="614">
        <f>'L2 Finishes'!O58</f>
        <v>0</v>
      </c>
      <c r="H210" s="614">
        <f>'L2 Finishes'!P58</f>
        <v>0</v>
      </c>
      <c r="I210" s="614">
        <f>'L2 Finishes'!Q58</f>
        <v>0</v>
      </c>
      <c r="J210" s="614">
        <f>'L2 Finishes'!R58</f>
        <v>0</v>
      </c>
      <c r="K210" s="614">
        <f>'L2 Finishes'!S58</f>
        <v>0</v>
      </c>
      <c r="L210" s="614">
        <f>'L2 Finishes'!T58</f>
        <v>0</v>
      </c>
      <c r="M210" s="283">
        <f t="shared" si="7"/>
        <v>0</v>
      </c>
      <c r="N210" s="289"/>
    </row>
    <row r="211" spans="1:14" ht="34.5" hidden="1" customHeight="1">
      <c r="A211" s="614">
        <f>'L2 Finishes'!B59</f>
        <v>51</v>
      </c>
      <c r="B211" s="669" t="str">
        <f>'L2 Finishes'!C59</f>
        <v>FSS Works (Fire Pumps) Basement  (M+L)</v>
      </c>
      <c r="C211" s="140">
        <f>'L2 Finishes'!G59</f>
        <v>0</v>
      </c>
      <c r="D211" s="140">
        <f>'L2 Finishes'!H59</f>
        <v>0</v>
      </c>
      <c r="E211" s="140">
        <f>'L2 Finishes'!I59</f>
        <v>0</v>
      </c>
      <c r="F211" s="140"/>
      <c r="G211" s="614">
        <f>'L2 Finishes'!O59</f>
        <v>0</v>
      </c>
      <c r="H211" s="614">
        <f>'L2 Finishes'!P59</f>
        <v>0</v>
      </c>
      <c r="I211" s="614">
        <f>'L2 Finishes'!Q59</f>
        <v>0</v>
      </c>
      <c r="J211" s="614">
        <f>'L2 Finishes'!R59</f>
        <v>0</v>
      </c>
      <c r="K211" s="614">
        <f>'L2 Finishes'!S59</f>
        <v>0</v>
      </c>
      <c r="L211" s="614">
        <f>'L2 Finishes'!T59</f>
        <v>0</v>
      </c>
      <c r="M211" s="283">
        <f t="shared" si="7"/>
        <v>0</v>
      </c>
      <c r="N211" s="289"/>
    </row>
    <row r="212" spans="1:14" ht="34.5" hidden="1" customHeight="1">
      <c r="A212" s="614">
        <f>'L2 Finishes'!B60</f>
        <v>52</v>
      </c>
      <c r="B212" s="669" t="str">
        <f>'L2 Finishes'!C60</f>
        <v>ACMV Works (Ac units)   (M+L)</v>
      </c>
      <c r="C212" s="140">
        <f>'L2 Finishes'!G60</f>
        <v>0</v>
      </c>
      <c r="D212" s="140">
        <f>'L2 Finishes'!H60</f>
        <v>0</v>
      </c>
      <c r="E212" s="140">
        <f>'L2 Finishes'!I60</f>
        <v>0</v>
      </c>
      <c r="F212" s="140"/>
      <c r="G212" s="614">
        <f>'L2 Finishes'!O60</f>
        <v>0</v>
      </c>
      <c r="H212" s="614">
        <f>'L2 Finishes'!P60</f>
        <v>0</v>
      </c>
      <c r="I212" s="614">
        <f>'L2 Finishes'!Q60</f>
        <v>0</v>
      </c>
      <c r="J212" s="614">
        <f>'L2 Finishes'!R60</f>
        <v>0</v>
      </c>
      <c r="K212" s="614">
        <f>'L2 Finishes'!S60</f>
        <v>0</v>
      </c>
      <c r="L212" s="614">
        <f>'L2 Finishes'!T60</f>
        <v>0</v>
      </c>
      <c r="M212" s="283">
        <f t="shared" si="7"/>
        <v>0</v>
      </c>
      <c r="N212" s="289"/>
    </row>
    <row r="213" spans="1:14" ht="34.5" hidden="1" customHeight="1">
      <c r="A213" s="614">
        <f>'L2 Finishes'!B61</f>
        <v>53</v>
      </c>
      <c r="B213" s="669" t="str">
        <f>'L2 Finishes'!C61</f>
        <v>Water meter  (M)</v>
      </c>
      <c r="C213" s="140">
        <f>'L2 Finishes'!G61</f>
        <v>0</v>
      </c>
      <c r="D213" s="140">
        <f>'L2 Finishes'!H61</f>
        <v>0</v>
      </c>
      <c r="E213" s="140">
        <f>'L2 Finishes'!I61</f>
        <v>0</v>
      </c>
      <c r="F213" s="140"/>
      <c r="G213" s="614">
        <f>'L2 Finishes'!O61</f>
        <v>0</v>
      </c>
      <c r="H213" s="614">
        <f>'L2 Finishes'!P61</f>
        <v>0</v>
      </c>
      <c r="I213" s="614">
        <f>'L2 Finishes'!Q61</f>
        <v>0</v>
      </c>
      <c r="J213" s="614">
        <f>'L2 Finishes'!R61</f>
        <v>0</v>
      </c>
      <c r="K213" s="614">
        <f>'L2 Finishes'!S61</f>
        <v>0</v>
      </c>
      <c r="L213" s="614">
        <f>'L2 Finishes'!T61</f>
        <v>0</v>
      </c>
      <c r="M213" s="283">
        <f t="shared" si="7"/>
        <v>0</v>
      </c>
      <c r="N213" s="289"/>
    </row>
    <row r="214" spans="1:14" ht="34.5" hidden="1" customHeight="1">
      <c r="A214" s="614">
        <f>'L2 Finishes'!B62</f>
        <v>54</v>
      </c>
      <c r="B214" s="669" t="str">
        <f>'L2 Finishes'!C62</f>
        <v>Kitchen Hoods  (M)</v>
      </c>
      <c r="C214" s="140">
        <f>'L2 Finishes'!G62</f>
        <v>0</v>
      </c>
      <c r="D214" s="140">
        <f>'L2 Finishes'!H62</f>
        <v>0</v>
      </c>
      <c r="E214" s="140">
        <f>'L2 Finishes'!I62</f>
        <v>0</v>
      </c>
      <c r="F214" s="140"/>
      <c r="G214" s="614">
        <f>'L2 Finishes'!O62</f>
        <v>0</v>
      </c>
      <c r="H214" s="614">
        <f>'L2 Finishes'!P62</f>
        <v>0</v>
      </c>
      <c r="I214" s="614">
        <f>'L2 Finishes'!Q62</f>
        <v>0</v>
      </c>
      <c r="J214" s="614">
        <f>'L2 Finishes'!R62</f>
        <v>0</v>
      </c>
      <c r="K214" s="614">
        <f>'L2 Finishes'!S62</f>
        <v>0</v>
      </c>
      <c r="L214" s="614">
        <f>'L2 Finishes'!T62</f>
        <v>0</v>
      </c>
      <c r="M214" s="283">
        <f t="shared" si="7"/>
        <v>0</v>
      </c>
      <c r="N214" s="289"/>
    </row>
    <row r="215" spans="1:14" ht="34.5" customHeight="1">
      <c r="A215" s="140">
        <f>'L2 Finishes'!B63</f>
        <v>55</v>
      </c>
      <c r="B215" s="140" t="str">
        <f>'L2 Finishes'!C63</f>
        <v>Travertine</v>
      </c>
      <c r="C215" s="140">
        <f>'L2 Finishes'!G63</f>
        <v>21000000</v>
      </c>
      <c r="D215" s="140">
        <f>'L2 Finishes'!H63</f>
        <v>4144005</v>
      </c>
      <c r="E215" s="140">
        <f>'L2 Finishes'!I63</f>
        <v>16855995</v>
      </c>
      <c r="F215" s="140"/>
      <c r="G215" s="614">
        <f>'L2 Finishes'!O63</f>
        <v>7000000</v>
      </c>
      <c r="H215" s="614">
        <f>'L2 Finishes'!P63</f>
        <v>7000000</v>
      </c>
      <c r="I215" s="614">
        <f>'L2 Finishes'!Q63</f>
        <v>3000000</v>
      </c>
      <c r="J215" s="614">
        <f>'L2 Finishes'!R63</f>
        <v>0</v>
      </c>
      <c r="K215" s="614">
        <f>'L2 Finishes'!S63</f>
        <v>0</v>
      </c>
      <c r="L215" s="614">
        <f>'L2 Finishes'!T63</f>
        <v>0</v>
      </c>
      <c r="M215" s="283">
        <f t="shared" si="7"/>
        <v>0</v>
      </c>
      <c r="N215" s="289"/>
    </row>
    <row r="216" spans="1:14" ht="34.5" hidden="1" customHeight="1">
      <c r="A216" s="614">
        <f>'L2 Finishes'!B67</f>
        <v>56</v>
      </c>
      <c r="B216" s="614" t="str">
        <f>'L2 Finishes'!C67</f>
        <v>VRF In corridor ( M+L)</v>
      </c>
      <c r="C216" s="614">
        <f>'L2 Finishes'!F67</f>
        <v>35000000</v>
      </c>
      <c r="D216" s="614">
        <f>'L2 Finishes'!G67</f>
        <v>0</v>
      </c>
      <c r="E216" s="614">
        <f>'L2 Finishes'!H67</f>
        <v>0</v>
      </c>
      <c r="F216" s="614"/>
      <c r="G216" s="614"/>
      <c r="H216" s="614"/>
      <c r="I216" s="614"/>
      <c r="J216" s="614">
        <f>'L2 Finishes'!K67</f>
        <v>0</v>
      </c>
      <c r="K216" s="614">
        <f>'L2 Finishes'!L67</f>
        <v>0</v>
      </c>
      <c r="L216" s="614"/>
      <c r="M216" s="770"/>
      <c r="N216" s="289"/>
    </row>
    <row r="217" spans="1:14" ht="34.5" hidden="1" customHeight="1">
      <c r="A217" s="614">
        <f>'L2 Finishes'!B68</f>
        <v>57</v>
      </c>
      <c r="B217" s="614" t="str">
        <f>'L2 Finishes'!C68</f>
        <v>Kitchen Hob (M)</v>
      </c>
      <c r="C217" s="614">
        <f>'L2 Finishes'!F68</f>
        <v>6000000</v>
      </c>
      <c r="D217" s="614">
        <f>'L2 Finishes'!G68</f>
        <v>0</v>
      </c>
      <c r="E217" s="614">
        <f>'L2 Finishes'!H68</f>
        <v>0</v>
      </c>
      <c r="F217" s="614"/>
      <c r="G217" s="614"/>
      <c r="H217" s="614"/>
      <c r="I217" s="614"/>
      <c r="J217" s="614"/>
      <c r="K217" s="614"/>
      <c r="L217" s="614"/>
      <c r="M217" s="770"/>
      <c r="N217" s="289"/>
    </row>
    <row r="218" spans="1:14" ht="34.5" customHeight="1">
      <c r="A218" s="140">
        <f>'L2 Finishes'!B69</f>
        <v>58</v>
      </c>
      <c r="B218" s="140" t="str">
        <f>'L2 Finishes'!C69</f>
        <v>External lights</v>
      </c>
      <c r="C218" s="140">
        <f>'L2 Finishes'!F69</f>
        <v>3731700</v>
      </c>
      <c r="D218" s="140">
        <f>'L2 Finishes'!G69</f>
        <v>3731700</v>
      </c>
      <c r="E218" s="140">
        <f>'L2 Finishes'!H69</f>
        <v>3144200</v>
      </c>
      <c r="F218" s="661"/>
      <c r="G218" s="614"/>
      <c r="H218" s="614"/>
      <c r="I218" s="614"/>
      <c r="J218" s="614"/>
      <c r="K218" s="614"/>
      <c r="L218" s="614"/>
      <c r="M218" s="283"/>
      <c r="N218" s="289"/>
    </row>
    <row r="219" spans="1:14" ht="36" hidden="1" customHeight="1">
      <c r="A219" s="614">
        <f>'L2 Finishes'!B70</f>
        <v>59</v>
      </c>
      <c r="B219" s="614" t="str">
        <f>'L2 Finishes'!C70</f>
        <v>Paddle Tennis Court  ( M+L)</v>
      </c>
      <c r="C219" s="614">
        <f>'L2 Finishes'!F70</f>
        <v>0</v>
      </c>
      <c r="D219" s="614">
        <f>'L2 Finishes'!G70</f>
        <v>0</v>
      </c>
      <c r="E219" s="614">
        <f>'L2 Finishes'!H70</f>
        <v>0</v>
      </c>
      <c r="F219" s="361"/>
      <c r="G219" s="614"/>
      <c r="H219" s="614"/>
      <c r="I219" s="614"/>
      <c r="J219" s="614"/>
      <c r="K219" s="614"/>
      <c r="L219" s="614"/>
      <c r="M219" s="782"/>
      <c r="N219" s="289"/>
    </row>
    <row r="220" spans="1:14" ht="43.5" customHeight="1">
      <c r="A220" s="145">
        <f>'L2 Finishes'!B71</f>
        <v>60</v>
      </c>
      <c r="B220" s="145" t="str">
        <f>'L2 Finishes'!C71</f>
        <v xml:space="preserve">Pergola </v>
      </c>
      <c r="C220" s="145">
        <f>'L2 Finishes'!F71</f>
        <v>2420155</v>
      </c>
      <c r="D220" s="145">
        <f>'L2 Finishes'!G71</f>
        <v>2420155</v>
      </c>
      <c r="E220" s="145">
        <f>'L2 Finishes'!H71</f>
        <v>968062</v>
      </c>
      <c r="F220" s="145"/>
      <c r="G220" s="353"/>
      <c r="H220" s="353"/>
      <c r="I220" s="353"/>
      <c r="J220" s="353"/>
      <c r="K220" s="353"/>
      <c r="L220" s="353"/>
      <c r="M220" s="785"/>
      <c r="N220" s="757"/>
    </row>
    <row r="221" spans="1:14" ht="35.1" hidden="1" customHeight="1">
      <c r="A221" s="783">
        <f>'L2 Finishes'!B72</f>
        <v>61</v>
      </c>
      <c r="B221" s="613" t="str">
        <f>'L2 Finishes'!C72</f>
        <v>AC louvers.</v>
      </c>
      <c r="C221" s="613">
        <f>'L2 Finishes'!F72</f>
        <v>10102400</v>
      </c>
      <c r="D221" s="613">
        <f>'L2 Finishes'!G72</f>
        <v>0</v>
      </c>
      <c r="E221" s="613">
        <f>'L2 Finishes'!H72</f>
        <v>0</v>
      </c>
      <c r="F221" s="672"/>
      <c r="G221" s="88"/>
      <c r="H221" s="88"/>
      <c r="I221" s="88"/>
      <c r="J221" s="88"/>
      <c r="K221" s="88"/>
      <c r="L221" s="88">
        <f>'L2 Finishes'!Q26</f>
        <v>11934000</v>
      </c>
      <c r="M221" s="784"/>
      <c r="N221" s="774"/>
    </row>
    <row r="222" spans="1:14" ht="36" hidden="1" customHeight="1">
      <c r="A222" s="775">
        <f>'L2 Finishes'!B73</f>
        <v>62</v>
      </c>
      <c r="B222" s="614" t="str">
        <f>'L2 Finishes'!C73</f>
        <v>Roof Top</v>
      </c>
      <c r="C222" s="614">
        <f>'L2 Finishes'!F73</f>
        <v>20820099.299999997</v>
      </c>
      <c r="D222" s="614">
        <f>'L2 Finishes'!G73</f>
        <v>0</v>
      </c>
      <c r="E222" s="614">
        <f>'L2 Finishes'!H73</f>
        <v>0</v>
      </c>
      <c r="F222" s="772"/>
      <c r="G222" s="773"/>
      <c r="H222" s="773"/>
      <c r="I222" s="378"/>
      <c r="J222" s="378">
        <f>'L2 Finishes'!O33</f>
        <v>0</v>
      </c>
      <c r="K222" s="378">
        <f>'L2 Finishes'!P33</f>
        <v>2026301.6666666667</v>
      </c>
      <c r="L222" s="378"/>
      <c r="M222" s="776"/>
      <c r="N222" s="774"/>
    </row>
    <row r="223" spans="1:14" ht="36" hidden="1" customHeight="1">
      <c r="A223" s="775">
        <f>'L2 Finishes'!B74</f>
        <v>63</v>
      </c>
      <c r="B223" s="614" t="str">
        <f>'L2 Finishes'!C74</f>
        <v>Additional wood Work Item.</v>
      </c>
      <c r="C223" s="614">
        <f>'L2 Finishes'!F74</f>
        <v>9428397.2999999989</v>
      </c>
      <c r="D223" s="614">
        <f>'L2 Finishes'!G74</f>
        <v>0</v>
      </c>
      <c r="E223" s="614">
        <f>'L2 Finishes'!H74</f>
        <v>0</v>
      </c>
      <c r="F223" s="769"/>
      <c r="G223" s="773"/>
      <c r="H223" s="773"/>
      <c r="I223" s="378"/>
      <c r="J223" s="378"/>
      <c r="K223" s="378"/>
      <c r="L223" s="378"/>
      <c r="M223" s="776"/>
      <c r="N223" s="774"/>
    </row>
    <row r="224" spans="1:14" ht="36" hidden="1" customHeight="1">
      <c r="A224" s="775">
        <f>'L2 Finishes'!B75</f>
        <v>64</v>
      </c>
      <c r="B224" s="614" t="str">
        <f>'L2 Finishes'!C75</f>
        <v>Basement Civil Works  (L2  tower posting )</v>
      </c>
      <c r="C224" s="614">
        <f>'L2 Finishes'!F75</f>
        <v>26500000</v>
      </c>
      <c r="D224" s="614">
        <f>'L2 Finishes'!G75</f>
        <v>0</v>
      </c>
      <c r="E224" s="614">
        <f>'L2 Finishes'!H75</f>
        <v>0</v>
      </c>
      <c r="F224" s="771"/>
      <c r="G224" s="771"/>
      <c r="H224" s="771"/>
      <c r="I224" s="771"/>
      <c r="J224" s="771"/>
      <c r="K224" s="771"/>
      <c r="L224" s="771"/>
      <c r="M224" s="777"/>
      <c r="N224" s="774"/>
    </row>
    <row r="225" spans="1:14" ht="36" hidden="1" customHeight="1" thickBot="1">
      <c r="A225" s="778">
        <f>'L2 Finishes'!B76</f>
        <v>65</v>
      </c>
      <c r="B225" s="779" t="str">
        <f>'L2 Finishes'!C76</f>
        <v>Basement Civil MEP     (L2 tower posting )</v>
      </c>
      <c r="C225" s="779">
        <f>'L2 Finishes'!F76</f>
        <v>12000000</v>
      </c>
      <c r="D225" s="779">
        <f>'L2 Finishes'!G76</f>
        <v>0</v>
      </c>
      <c r="E225" s="779">
        <f>'L2 Finishes'!H76</f>
        <v>0</v>
      </c>
      <c r="F225" s="780"/>
      <c r="G225" s="780"/>
      <c r="H225" s="780"/>
      <c r="I225" s="780"/>
      <c r="J225" s="780"/>
      <c r="K225" s="780"/>
      <c r="L225" s="780"/>
      <c r="M225" s="781"/>
      <c r="N225" s="774"/>
    </row>
    <row r="226" spans="1:14" ht="51" customHeight="1">
      <c r="A226" s="373"/>
      <c r="B226" s="382" t="s">
        <v>69</v>
      </c>
      <c r="C226" s="383">
        <f>C158+C159+C160+C161+C162+C163+C164+C165+C166+C167+C178+C185+C191+C215+C220+C218</f>
        <v>245422368.45000002</v>
      </c>
      <c r="D226" s="383">
        <f t="shared" ref="D226:M226" si="8">D158+D159+D160+D161+D162+D163+D164+D165+D166+D167+D178+D185+D191+D215+D220+D218</f>
        <v>37472461</v>
      </c>
      <c r="E226" s="383">
        <f t="shared" si="8"/>
        <v>212062169.45000002</v>
      </c>
      <c r="F226" s="383">
        <f t="shared" si="8"/>
        <v>0</v>
      </c>
      <c r="G226" s="383">
        <f t="shared" si="8"/>
        <v>49629394.5</v>
      </c>
      <c r="H226" s="383">
        <f t="shared" si="8"/>
        <v>43143327.36666666</v>
      </c>
      <c r="I226" s="383">
        <f t="shared" si="8"/>
        <v>46833765.366666667</v>
      </c>
      <c r="J226" s="383">
        <f t="shared" si="8"/>
        <v>38671258.866666667</v>
      </c>
      <c r="K226" s="383">
        <f t="shared" si="8"/>
        <v>22840457.199999999</v>
      </c>
      <c r="L226" s="383">
        <f t="shared" si="8"/>
        <v>6957120.2000000002</v>
      </c>
      <c r="M226" s="383">
        <f t="shared" si="8"/>
        <v>0</v>
      </c>
      <c r="N226" s="289"/>
    </row>
    <row r="227" spans="1:14" ht="36" customHeight="1">
      <c r="A227" s="267"/>
      <c r="B227" s="938" t="s">
        <v>165</v>
      </c>
      <c r="C227" s="939"/>
      <c r="D227" s="939"/>
      <c r="E227" s="939"/>
      <c r="F227" s="939"/>
      <c r="G227" s="939"/>
      <c r="H227" s="939"/>
      <c r="I227" s="939"/>
      <c r="J227" s="939"/>
      <c r="K227" s="939"/>
      <c r="L227" s="939"/>
      <c r="M227" s="940"/>
      <c r="N227" s="289"/>
    </row>
    <row r="228" spans="1:14" ht="35.1" customHeight="1">
      <c r="A228" s="140">
        <v>1</v>
      </c>
      <c r="B228" s="256" t="s">
        <v>166</v>
      </c>
      <c r="C228" s="251">
        <v>6220700</v>
      </c>
      <c r="D228" s="251">
        <v>2762019</v>
      </c>
      <c r="E228" s="251">
        <f>C228-D228</f>
        <v>3458681</v>
      </c>
      <c r="F228" s="56"/>
      <c r="G228" s="680">
        <v>3458681</v>
      </c>
      <c r="H228" s="680"/>
      <c r="I228" s="680"/>
      <c r="J228" s="680"/>
      <c r="K228" s="56"/>
      <c r="L228" s="56"/>
      <c r="M228" s="283">
        <f t="shared" ref="M228:M234" si="9">C228-D228-E228</f>
        <v>0</v>
      </c>
      <c r="N228" s="289"/>
    </row>
    <row r="229" spans="1:14" ht="36" customHeight="1">
      <c r="A229" s="140">
        <v>2</v>
      </c>
      <c r="B229" s="254" t="s">
        <v>167</v>
      </c>
      <c r="C229" s="251">
        <f>5928921+3500000</f>
        <v>9428921</v>
      </c>
      <c r="D229" s="251">
        <f>C229-H229</f>
        <v>5928921</v>
      </c>
      <c r="E229" s="251">
        <f t="shared" ref="E229:E234" si="10">C229-D229</f>
        <v>3500000</v>
      </c>
      <c r="F229" s="56"/>
      <c r="G229" s="680"/>
      <c r="H229" s="680">
        <v>3500000</v>
      </c>
      <c r="I229" s="680"/>
      <c r="J229" s="680"/>
      <c r="K229" s="56"/>
      <c r="L229" s="56"/>
      <c r="M229" s="283">
        <f t="shared" si="9"/>
        <v>0</v>
      </c>
      <c r="N229" s="289"/>
    </row>
    <row r="230" spans="1:14" ht="36" customHeight="1">
      <c r="A230" s="140">
        <v>3</v>
      </c>
      <c r="B230" s="254" t="s">
        <v>168</v>
      </c>
      <c r="C230" s="251">
        <v>2868500</v>
      </c>
      <c r="D230" s="251">
        <v>1241083</v>
      </c>
      <c r="E230" s="251">
        <f t="shared" si="10"/>
        <v>1627417</v>
      </c>
      <c r="F230" s="56"/>
      <c r="G230" s="680">
        <v>1627417</v>
      </c>
      <c r="H230" s="680"/>
      <c r="I230" s="680"/>
      <c r="J230" s="680"/>
      <c r="K230" s="56"/>
      <c r="L230" s="56"/>
      <c r="M230" s="283">
        <f t="shared" si="9"/>
        <v>0</v>
      </c>
      <c r="N230" s="289"/>
    </row>
    <row r="231" spans="1:14" ht="35.1" customHeight="1">
      <c r="A231" s="140">
        <v>4</v>
      </c>
      <c r="B231" s="254" t="s">
        <v>169</v>
      </c>
      <c r="C231" s="251">
        <v>1900000</v>
      </c>
      <c r="D231" s="255"/>
      <c r="E231" s="251">
        <f t="shared" si="10"/>
        <v>1900000</v>
      </c>
      <c r="F231" s="56"/>
      <c r="G231" s="680">
        <v>1900000</v>
      </c>
      <c r="H231" s="680"/>
      <c r="I231" s="680"/>
      <c r="J231" s="680"/>
      <c r="K231" s="56"/>
      <c r="L231" s="56"/>
      <c r="M231" s="283">
        <f t="shared" si="9"/>
        <v>0</v>
      </c>
      <c r="N231" s="289"/>
    </row>
    <row r="232" spans="1:14" ht="36" customHeight="1">
      <c r="A232" s="140">
        <v>5</v>
      </c>
      <c r="B232" s="254" t="s">
        <v>170</v>
      </c>
      <c r="C232" s="251">
        <f>2679525+462000</f>
        <v>3141525</v>
      </c>
      <c r="D232" s="251">
        <f>1873568+180450</f>
        <v>2054018</v>
      </c>
      <c r="E232" s="251">
        <f t="shared" si="10"/>
        <v>1087507</v>
      </c>
      <c r="F232" s="56"/>
      <c r="G232" s="680">
        <f>1126522-39015</f>
        <v>1087507</v>
      </c>
      <c r="H232" s="680"/>
      <c r="I232" s="680"/>
      <c r="J232" s="680"/>
      <c r="K232" s="56"/>
      <c r="L232" s="56"/>
      <c r="M232" s="283">
        <f t="shared" si="9"/>
        <v>0</v>
      </c>
      <c r="N232" s="289"/>
    </row>
    <row r="233" spans="1:14" ht="36" customHeight="1">
      <c r="A233" s="140">
        <v>6</v>
      </c>
      <c r="B233" s="256" t="s">
        <v>163</v>
      </c>
      <c r="C233" s="384">
        <v>12834922</v>
      </c>
      <c r="D233" s="384">
        <f>C233*0.4</f>
        <v>5133968.8000000007</v>
      </c>
      <c r="E233" s="251">
        <f t="shared" si="10"/>
        <v>7700953.1999999993</v>
      </c>
      <c r="F233" s="370"/>
      <c r="G233" s="680">
        <v>2566984.3999999985</v>
      </c>
      <c r="H233" s="680">
        <v>2566984.3999999985</v>
      </c>
      <c r="I233" s="680">
        <f>2310285.96+256698</f>
        <v>2566983.96</v>
      </c>
      <c r="J233" s="680"/>
      <c r="K233" s="370"/>
      <c r="L233" s="370"/>
      <c r="M233" s="283">
        <f t="shared" si="9"/>
        <v>0</v>
      </c>
      <c r="N233" s="289"/>
    </row>
    <row r="234" spans="1:14" ht="36" customHeight="1">
      <c r="A234" s="140">
        <v>7</v>
      </c>
      <c r="B234" s="256" t="s">
        <v>85</v>
      </c>
      <c r="C234" s="384">
        <v>15000000</v>
      </c>
      <c r="D234" s="384"/>
      <c r="E234" s="251">
        <f t="shared" si="10"/>
        <v>15000000</v>
      </c>
      <c r="F234" s="384"/>
      <c r="G234" s="703">
        <v>5000000</v>
      </c>
      <c r="H234" s="703">
        <v>5000000</v>
      </c>
      <c r="I234" s="703">
        <v>5000000</v>
      </c>
      <c r="J234" s="370"/>
      <c r="K234" s="370"/>
      <c r="L234" s="370"/>
      <c r="M234" s="283">
        <f t="shared" si="9"/>
        <v>0</v>
      </c>
      <c r="N234" s="289"/>
    </row>
    <row r="235" spans="1:14" ht="36" hidden="1" customHeight="1">
      <c r="A235" s="268">
        <v>8</v>
      </c>
      <c r="B235" s="254" t="s">
        <v>172</v>
      </c>
      <c r="C235" s="255"/>
      <c r="D235" s="255"/>
      <c r="E235" s="251"/>
      <c r="F235" s="56"/>
      <c r="G235" s="56"/>
      <c r="H235" s="56"/>
      <c r="I235" s="56"/>
      <c r="J235" s="56"/>
      <c r="K235" s="56"/>
      <c r="L235" s="56"/>
      <c r="M235" s="288"/>
      <c r="N235" s="289"/>
    </row>
    <row r="236" spans="1:14" ht="34.5" hidden="1" customHeight="1">
      <c r="A236" s="268">
        <v>9</v>
      </c>
      <c r="B236" s="659" t="s">
        <v>19</v>
      </c>
      <c r="C236" s="255"/>
      <c r="D236" s="255"/>
      <c r="E236" s="251"/>
      <c r="F236" s="56"/>
      <c r="G236" s="56"/>
      <c r="H236" s="56"/>
      <c r="I236" s="56"/>
      <c r="J236" s="56"/>
      <c r="K236" s="56"/>
      <c r="L236" s="56"/>
      <c r="M236" s="288"/>
      <c r="N236" s="289"/>
    </row>
    <row r="237" spans="1:14" ht="34.5" hidden="1" customHeight="1">
      <c r="A237" s="268">
        <v>10</v>
      </c>
      <c r="B237" s="659" t="s">
        <v>276</v>
      </c>
      <c r="C237" s="255"/>
      <c r="D237" s="255"/>
      <c r="E237" s="251"/>
      <c r="F237" s="329"/>
      <c r="G237" s="56"/>
      <c r="H237" s="56"/>
      <c r="I237" s="56"/>
      <c r="J237" s="56"/>
      <c r="K237" s="56"/>
      <c r="L237" s="56"/>
      <c r="M237" s="288"/>
      <c r="N237" s="289"/>
    </row>
    <row r="238" spans="1:14" ht="34.5" hidden="1" customHeight="1">
      <c r="A238" s="268">
        <v>11</v>
      </c>
      <c r="B238" s="659" t="s">
        <v>277</v>
      </c>
      <c r="C238" s="255"/>
      <c r="D238" s="255"/>
      <c r="E238" s="251"/>
      <c r="F238" s="329"/>
      <c r="G238" s="56"/>
      <c r="H238" s="56"/>
      <c r="I238" s="56"/>
      <c r="J238" s="56"/>
      <c r="K238" s="56"/>
      <c r="L238" s="56"/>
      <c r="M238" s="288"/>
      <c r="N238" s="289"/>
    </row>
    <row r="239" spans="1:14" ht="34.5" customHeight="1">
      <c r="A239" s="268"/>
      <c r="B239" s="705" t="s">
        <v>275</v>
      </c>
      <c r="C239" s="682">
        <f>C233+C232+C231+C230+C229+C228+C234</f>
        <v>51394568</v>
      </c>
      <c r="D239" s="682">
        <f>D233+D232+D231+D230+D229+D228+D234</f>
        <v>17120009.800000001</v>
      </c>
      <c r="E239" s="682">
        <f t="shared" ref="E239:I239" si="11">E233+E232+E231+E230+E229+E228+E234</f>
        <v>34274558.200000003</v>
      </c>
      <c r="F239" s="682">
        <f t="shared" si="11"/>
        <v>0</v>
      </c>
      <c r="G239" s="682">
        <f t="shared" si="11"/>
        <v>15640589.399999999</v>
      </c>
      <c r="H239" s="682">
        <f t="shared" si="11"/>
        <v>11066984.399999999</v>
      </c>
      <c r="I239" s="682">
        <f t="shared" si="11"/>
        <v>7566983.96</v>
      </c>
      <c r="J239" s="682"/>
      <c r="K239" s="682"/>
      <c r="L239" s="682"/>
      <c r="M239" s="682"/>
      <c r="N239" s="289"/>
    </row>
    <row r="240" spans="1:14" ht="35.1" customHeight="1">
      <c r="A240" s="140">
        <v>1</v>
      </c>
      <c r="B240" s="254" t="s">
        <v>256</v>
      </c>
      <c r="C240" s="251">
        <v>36000000</v>
      </c>
      <c r="D240" s="251">
        <v>18000000</v>
      </c>
      <c r="E240" s="251">
        <f t="shared" ref="E240" si="12">C240-D240</f>
        <v>18000000</v>
      </c>
      <c r="F240" s="329"/>
      <c r="G240" s="681"/>
      <c r="H240" s="704">
        <v>18000000</v>
      </c>
      <c r="I240" s="681"/>
      <c r="J240" s="681"/>
      <c r="K240" s="5"/>
      <c r="L240" s="5"/>
      <c r="M240" s="283">
        <f t="shared" ref="M240:M246" si="13">C240-D240-E240</f>
        <v>0</v>
      </c>
      <c r="N240" s="289"/>
    </row>
    <row r="241" spans="1:14" ht="35.1" customHeight="1">
      <c r="A241" s="140">
        <v>2</v>
      </c>
      <c r="B241" s="254" t="s">
        <v>278</v>
      </c>
      <c r="C241" s="251">
        <v>16999424</v>
      </c>
      <c r="D241" s="251">
        <f>C241*0.25</f>
        <v>4249856</v>
      </c>
      <c r="E241" s="251">
        <f>C241</f>
        <v>16999424</v>
      </c>
      <c r="F241" s="329"/>
      <c r="G241" s="681">
        <f>C241*0.25</f>
        <v>4249856</v>
      </c>
      <c r="H241" s="681">
        <f>C241*0.4</f>
        <v>6799769.6000000006</v>
      </c>
      <c r="I241" s="681">
        <f>C241*0.35</f>
        <v>5949798.3999999994</v>
      </c>
      <c r="J241" s="681"/>
      <c r="K241" s="5"/>
      <c r="L241" s="5"/>
      <c r="M241" s="283">
        <f t="shared" si="13"/>
        <v>-4249856</v>
      </c>
      <c r="N241" s="289"/>
    </row>
    <row r="242" spans="1:14" ht="35.1" customHeight="1">
      <c r="A242" s="140">
        <v>3</v>
      </c>
      <c r="B242" s="254" t="s">
        <v>279</v>
      </c>
      <c r="C242" s="251">
        <v>5916720</v>
      </c>
      <c r="D242" s="251">
        <f t="shared" ref="D242:D243" si="14">C242*0.25</f>
        <v>1479180</v>
      </c>
      <c r="E242" s="251">
        <f t="shared" ref="E242:E243" si="15">C242</f>
        <v>5916720</v>
      </c>
      <c r="F242" s="329"/>
      <c r="G242" s="681">
        <f t="shared" ref="G242:G243" si="16">C242*0.25</f>
        <v>1479180</v>
      </c>
      <c r="H242" s="681">
        <f t="shared" ref="H242:H243" si="17">C242*0.4</f>
        <v>2366688</v>
      </c>
      <c r="I242" s="681">
        <f t="shared" ref="I242:I243" si="18">C242*0.35</f>
        <v>2070851.9999999998</v>
      </c>
      <c r="J242" s="681"/>
      <c r="K242" s="5"/>
      <c r="L242" s="5"/>
      <c r="M242" s="283">
        <f t="shared" si="13"/>
        <v>-1479180</v>
      </c>
      <c r="N242" s="289"/>
    </row>
    <row r="243" spans="1:14" ht="35.1" customHeight="1">
      <c r="A243" s="140">
        <v>4</v>
      </c>
      <c r="B243" s="254" t="s">
        <v>280</v>
      </c>
      <c r="C243" s="251">
        <v>8350094</v>
      </c>
      <c r="D243" s="251">
        <f t="shared" si="14"/>
        <v>2087523.5</v>
      </c>
      <c r="E243" s="251">
        <f t="shared" si="15"/>
        <v>8350094</v>
      </c>
      <c r="F243" s="329"/>
      <c r="G243" s="681">
        <f t="shared" si="16"/>
        <v>2087523.5</v>
      </c>
      <c r="H243" s="681">
        <f t="shared" si="17"/>
        <v>3340037.6</v>
      </c>
      <c r="I243" s="681">
        <f t="shared" si="18"/>
        <v>2922532.9</v>
      </c>
      <c r="J243" s="681"/>
      <c r="K243" s="5"/>
      <c r="L243" s="5"/>
      <c r="M243" s="283">
        <f t="shared" si="13"/>
        <v>-2087523.5</v>
      </c>
      <c r="N243" s="289"/>
    </row>
    <row r="244" spans="1:14" ht="35.1" customHeight="1">
      <c r="A244" s="664">
        <v>5</v>
      </c>
      <c r="B244" s="320" t="s">
        <v>281</v>
      </c>
      <c r="C244" s="311">
        <v>4000000</v>
      </c>
      <c r="D244" s="311"/>
      <c r="E244" s="311">
        <f>C244</f>
        <v>4000000</v>
      </c>
      <c r="F244" s="686"/>
      <c r="G244" s="681">
        <v>2000000</v>
      </c>
      <c r="H244" s="681">
        <v>2000000</v>
      </c>
      <c r="I244" s="681"/>
      <c r="J244" s="684"/>
      <c r="K244" s="5"/>
      <c r="L244" s="5"/>
      <c r="M244" s="283">
        <f t="shared" si="13"/>
        <v>0</v>
      </c>
      <c r="N244" s="289"/>
    </row>
    <row r="245" spans="1:14" ht="35.1" hidden="1" customHeight="1">
      <c r="A245" s="377">
        <v>6</v>
      </c>
      <c r="B245" s="685" t="s">
        <v>276</v>
      </c>
      <c r="C245" s="681"/>
      <c r="D245" s="681"/>
      <c r="E245" s="681"/>
      <c r="F245" s="329"/>
      <c r="G245" s="681"/>
      <c r="H245" s="681"/>
      <c r="I245" s="681"/>
      <c r="J245" s="684"/>
      <c r="K245" s="5"/>
      <c r="L245" s="5"/>
      <c r="M245" s="283">
        <f t="shared" si="13"/>
        <v>0</v>
      </c>
      <c r="N245" s="289"/>
    </row>
    <row r="246" spans="1:14" ht="36" customHeight="1">
      <c r="A246" s="941"/>
      <c r="B246" s="284" t="s">
        <v>69</v>
      </c>
      <c r="C246" s="340">
        <f>C240+C241+C242+C243</f>
        <v>67266238</v>
      </c>
      <c r="D246" s="340">
        <f t="shared" ref="D246:I246" si="19">D240+D241+D242+D243</f>
        <v>25816559.5</v>
      </c>
      <c r="E246" s="340">
        <f t="shared" si="19"/>
        <v>49266238</v>
      </c>
      <c r="F246" s="340">
        <f t="shared" si="19"/>
        <v>0</v>
      </c>
      <c r="G246" s="340">
        <f t="shared" si="19"/>
        <v>7816559.5</v>
      </c>
      <c r="H246" s="340">
        <f t="shared" si="19"/>
        <v>30506495.200000003</v>
      </c>
      <c r="I246" s="340">
        <f t="shared" si="19"/>
        <v>10943183.299999999</v>
      </c>
      <c r="J246" s="683"/>
      <c r="K246" s="341"/>
      <c r="L246" s="341"/>
      <c r="M246" s="283">
        <f t="shared" si="13"/>
        <v>-7816559.5</v>
      </c>
      <c r="N246" s="289"/>
    </row>
    <row r="247" spans="1:14" ht="36" customHeight="1">
      <c r="A247" s="942"/>
      <c r="B247" s="252"/>
      <c r="C247" s="944"/>
      <c r="D247" s="945"/>
      <c r="E247" s="946"/>
      <c r="F247" s="252"/>
      <c r="G247" s="252"/>
      <c r="H247" s="252"/>
      <c r="I247" s="252"/>
      <c r="J247" s="252"/>
      <c r="K247" s="252"/>
      <c r="L247" s="252"/>
      <c r="M247" s="252"/>
      <c r="N247" s="290"/>
    </row>
    <row r="248" spans="1:14" ht="36" customHeight="1">
      <c r="A248" s="942"/>
      <c r="B248" s="252"/>
      <c r="C248" s="257"/>
      <c r="D248" s="258"/>
      <c r="E248" s="259"/>
      <c r="F248" s="252"/>
      <c r="G248" s="252"/>
      <c r="H248" s="252"/>
      <c r="I248" s="252"/>
      <c r="J248" s="252"/>
      <c r="K248" s="252"/>
      <c r="L248" s="252"/>
      <c r="M248" s="252"/>
      <c r="N248" s="290"/>
    </row>
    <row r="249" spans="1:14" ht="35.1" customHeight="1">
      <c r="A249" s="943"/>
      <c r="B249" s="253" t="s">
        <v>120</v>
      </c>
      <c r="C249" s="245">
        <f t="shared" ref="C249:L249" si="20">C246+C226+C155+C85+C239</f>
        <v>2296933003.4499998</v>
      </c>
      <c r="D249" s="245">
        <f t="shared" si="20"/>
        <v>1153553265.0999999</v>
      </c>
      <c r="E249" s="245">
        <f t="shared" si="20"/>
        <v>1143251988.8500001</v>
      </c>
      <c r="F249" s="245">
        <f t="shared" si="20"/>
        <v>13638828</v>
      </c>
      <c r="G249" s="245">
        <f t="shared" si="20"/>
        <v>293052628.9216969</v>
      </c>
      <c r="H249" s="245">
        <f t="shared" si="20"/>
        <v>379653248.04503232</v>
      </c>
      <c r="I249" s="245">
        <f t="shared" si="20"/>
        <v>303315683.51204365</v>
      </c>
      <c r="J249" s="245">
        <f t="shared" si="20"/>
        <v>131573145.04419117</v>
      </c>
      <c r="K249" s="245">
        <f t="shared" si="20"/>
        <v>24600055.533333328</v>
      </c>
      <c r="L249" s="245">
        <f t="shared" si="20"/>
        <v>6957120.2000000002</v>
      </c>
      <c r="M249" s="245"/>
      <c r="N249" s="293"/>
    </row>
    <row r="250" spans="1:14" ht="71.099999999999994" customHeight="1" thickBot="1">
      <c r="A250" s="269"/>
      <c r="B250" s="947"/>
      <c r="C250" s="948"/>
      <c r="D250" s="948"/>
      <c r="E250" s="948"/>
      <c r="F250" s="948"/>
      <c r="G250" s="948"/>
      <c r="H250" s="948"/>
      <c r="I250" s="948"/>
      <c r="J250" s="948"/>
      <c r="K250" s="948"/>
      <c r="L250" s="948"/>
      <c r="M250" s="948"/>
      <c r="N250" s="949"/>
    </row>
  </sheetData>
  <mergeCells count="12">
    <mergeCell ref="A246:A249"/>
    <mergeCell ref="C247:E247"/>
    <mergeCell ref="B250:N250"/>
    <mergeCell ref="B11:E11"/>
    <mergeCell ref="B12:M12"/>
    <mergeCell ref="B86:M86"/>
    <mergeCell ref="B157:M157"/>
    <mergeCell ref="B1:N1"/>
    <mergeCell ref="A2:B2"/>
    <mergeCell ref="C2:K3"/>
    <mergeCell ref="A3:B3"/>
    <mergeCell ref="B227:M227"/>
  </mergeCells>
  <phoneticPr fontId="25" type="noConversion"/>
  <pageMargins left="0.7" right="0.7" top="0.75" bottom="0.75" header="0.3" footer="0.3"/>
  <pageSetup paperSize="121" scale="34" orientation="portrait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FE76-088D-40EE-972A-8B9760B930CB}">
  <sheetPr>
    <pageSetUpPr fitToPage="1"/>
  </sheetPr>
  <dimension ref="A1:X89"/>
  <sheetViews>
    <sheetView view="pageBreakPreview" zoomScale="60" zoomScaleNormal="100" workbookViewId="0">
      <selection activeCell="B48" sqref="B48"/>
    </sheetView>
  </sheetViews>
  <sheetFormatPr defaultColWidth="9.140625" defaultRowHeight="13.5"/>
  <cols>
    <col min="1" max="1" width="5" style="386" customWidth="1"/>
    <col min="2" max="2" width="35.85546875" style="386" customWidth="1"/>
    <col min="3" max="3" width="24" style="386" customWidth="1"/>
    <col min="4" max="4" width="18.42578125" style="386" bestFit="1" customWidth="1"/>
    <col min="5" max="5" width="17.85546875" style="386" bestFit="1" customWidth="1"/>
    <col min="6" max="6" width="11.7109375" style="386" customWidth="1"/>
    <col min="7" max="7" width="8.42578125" style="386" hidden="1" customWidth="1"/>
    <col min="8" max="13" width="16.5703125" style="386" customWidth="1"/>
    <col min="14" max="14" width="49.28515625" style="386" customWidth="1"/>
    <col min="15" max="15" width="15.140625" style="386" bestFit="1" customWidth="1"/>
    <col min="16" max="17" width="9.140625" style="386"/>
    <col min="18" max="18" width="9.7109375" style="386" bestFit="1" customWidth="1"/>
    <col min="19" max="23" width="9.140625" style="386"/>
    <col min="24" max="24" width="9.7109375" style="386" bestFit="1" customWidth="1"/>
    <col min="25" max="16384" width="9.140625" style="386"/>
  </cols>
  <sheetData>
    <row r="1" spans="1:24" ht="52.5" customHeight="1" thickBot="1">
      <c r="A1" s="995" t="s">
        <v>253</v>
      </c>
      <c r="B1" s="996"/>
      <c r="C1" s="996"/>
      <c r="D1" s="996"/>
      <c r="E1" s="996"/>
      <c r="F1" s="996"/>
      <c r="G1" s="996"/>
      <c r="H1" s="996"/>
      <c r="I1" s="996"/>
      <c r="J1" s="996"/>
      <c r="K1" s="996"/>
      <c r="L1" s="996"/>
      <c r="M1" s="996"/>
      <c r="N1" s="385">
        <f ca="1">TODAY()</f>
        <v>46010</v>
      </c>
    </row>
    <row r="2" spans="1:24" ht="6" customHeight="1">
      <c r="A2" s="997" t="s">
        <v>266</v>
      </c>
      <c r="B2" s="999" t="s">
        <v>176</v>
      </c>
      <c r="C2" s="1001" t="s">
        <v>177</v>
      </c>
      <c r="D2" s="1001" t="s">
        <v>178</v>
      </c>
      <c r="E2" s="1001" t="s">
        <v>179</v>
      </c>
      <c r="F2" s="1001" t="s">
        <v>180</v>
      </c>
      <c r="G2" s="1001" t="s">
        <v>181</v>
      </c>
      <c r="H2" s="1001" t="s">
        <v>182</v>
      </c>
      <c r="I2" s="1001" t="s">
        <v>183</v>
      </c>
      <c r="J2" s="1001" t="s">
        <v>184</v>
      </c>
      <c r="K2" s="1001" t="s">
        <v>185</v>
      </c>
      <c r="L2" s="1001" t="s">
        <v>186</v>
      </c>
      <c r="M2" s="1001" t="s">
        <v>187</v>
      </c>
      <c r="N2" s="1003" t="s">
        <v>58</v>
      </c>
      <c r="R2" s="387">
        <f ca="1">TODAY()</f>
        <v>46010</v>
      </c>
      <c r="X2" s="387">
        <f ca="1">TODAY()</f>
        <v>46010</v>
      </c>
    </row>
    <row r="3" spans="1:24" s="592" customFormat="1" ht="29.1" customHeight="1" thickBot="1">
      <c r="A3" s="998"/>
      <c r="B3" s="1000"/>
      <c r="C3" s="1002"/>
      <c r="D3" s="1002"/>
      <c r="E3" s="1002"/>
      <c r="F3" s="1002"/>
      <c r="G3" s="1002"/>
      <c r="H3" s="1002"/>
      <c r="I3" s="1002"/>
      <c r="J3" s="1002"/>
      <c r="K3" s="1002"/>
      <c r="L3" s="1002"/>
      <c r="M3" s="1002"/>
      <c r="N3" s="1004"/>
    </row>
    <row r="4" spans="1:24" ht="17.100000000000001" customHeight="1" thickBot="1">
      <c r="A4" s="981" t="s">
        <v>188</v>
      </c>
      <c r="B4" s="982"/>
      <c r="C4" s="982"/>
      <c r="D4" s="982"/>
      <c r="E4" s="982"/>
      <c r="F4" s="982"/>
      <c r="G4" s="982"/>
      <c r="H4" s="982"/>
      <c r="I4" s="982"/>
      <c r="J4" s="982"/>
      <c r="K4" s="982"/>
      <c r="L4" s="982"/>
      <c r="M4" s="982"/>
      <c r="N4" s="984"/>
    </row>
    <row r="5" spans="1:24" ht="25.5" customHeight="1" thickBot="1">
      <c r="A5" s="388">
        <v>2</v>
      </c>
      <c r="B5" s="389" t="s">
        <v>189</v>
      </c>
      <c r="C5" s="390" t="s">
        <v>190</v>
      </c>
      <c r="D5" s="390"/>
      <c r="E5" s="390"/>
      <c r="F5" s="390"/>
      <c r="G5" s="391"/>
      <c r="H5" s="392">
        <v>45703</v>
      </c>
      <c r="I5" s="392">
        <v>45792</v>
      </c>
      <c r="J5" s="392">
        <v>45792</v>
      </c>
      <c r="K5" s="393"/>
      <c r="L5" s="394">
        <v>1</v>
      </c>
      <c r="M5" s="395">
        <v>0.96</v>
      </c>
      <c r="N5" s="396"/>
    </row>
    <row r="6" spans="1:24" ht="18" customHeight="1" thickBot="1">
      <c r="A6" s="981" t="s">
        <v>191</v>
      </c>
      <c r="B6" s="982"/>
      <c r="C6" s="982"/>
      <c r="D6" s="982"/>
      <c r="E6" s="982"/>
      <c r="F6" s="982"/>
      <c r="G6" s="982"/>
      <c r="H6" s="982"/>
      <c r="I6" s="982"/>
      <c r="J6" s="982"/>
      <c r="K6" s="982"/>
      <c r="L6" s="983"/>
      <c r="M6" s="983"/>
      <c r="N6" s="984"/>
    </row>
    <row r="7" spans="1:24" ht="18" customHeight="1">
      <c r="A7" s="397">
        <v>0</v>
      </c>
      <c r="B7" s="398" t="s">
        <v>6</v>
      </c>
      <c r="C7" s="408" t="s">
        <v>194</v>
      </c>
      <c r="D7" s="399">
        <f>'Approved Item-Actual'!C13</f>
        <v>14500000</v>
      </c>
      <c r="E7" s="399">
        <f>'Approved Item-Actual'!D13</f>
        <v>14500000</v>
      </c>
      <c r="F7" s="400">
        <f t="shared" ref="F7:F8" si="0">E7/D7</f>
        <v>1</v>
      </c>
      <c r="G7" s="401">
        <v>4</v>
      </c>
      <c r="H7" s="402">
        <v>45311</v>
      </c>
      <c r="I7" s="402">
        <f>H7+(30*3)</f>
        <v>45401</v>
      </c>
      <c r="J7" s="402">
        <v>45491</v>
      </c>
      <c r="K7" s="403"/>
      <c r="L7" s="404">
        <v>1</v>
      </c>
      <c r="M7" s="404">
        <v>1</v>
      </c>
      <c r="N7" s="405"/>
    </row>
    <row r="8" spans="1:24" ht="18" customHeight="1">
      <c r="A8" s="406">
        <v>0</v>
      </c>
      <c r="B8" s="407" t="s">
        <v>7</v>
      </c>
      <c r="C8" s="408" t="s">
        <v>194</v>
      </c>
      <c r="D8" s="399">
        <f>'Approved Item-Actual'!C14</f>
        <v>92385014</v>
      </c>
      <c r="E8" s="399">
        <f>'Approved Item-Actual'!D14</f>
        <v>93066444</v>
      </c>
      <c r="F8" s="409">
        <f t="shared" si="0"/>
        <v>1.007375979831534</v>
      </c>
      <c r="G8" s="410">
        <v>8</v>
      </c>
      <c r="H8" s="411">
        <v>45371</v>
      </c>
      <c r="I8" s="411">
        <f>H8+242</f>
        <v>45613</v>
      </c>
      <c r="J8" s="411">
        <v>45613</v>
      </c>
      <c r="K8" s="412"/>
      <c r="L8" s="404">
        <v>1</v>
      </c>
      <c r="M8" s="404">
        <v>1</v>
      </c>
      <c r="N8" s="413"/>
    </row>
    <row r="9" spans="1:24" ht="18" customHeight="1">
      <c r="A9" s="406">
        <v>0</v>
      </c>
      <c r="B9" s="407" t="s">
        <v>193</v>
      </c>
      <c r="C9" s="408" t="s">
        <v>194</v>
      </c>
      <c r="D9" s="414">
        <f>'Approved Item-Actual'!C21</f>
        <v>25545140</v>
      </c>
      <c r="E9" s="414">
        <f>'Approved Item-Actual'!D21</f>
        <v>23545140</v>
      </c>
      <c r="F9" s="415"/>
      <c r="G9" s="415"/>
      <c r="H9" s="415"/>
      <c r="I9" s="415"/>
      <c r="J9" s="415"/>
      <c r="K9" s="416"/>
      <c r="L9" s="404">
        <v>1</v>
      </c>
      <c r="M9" s="404">
        <v>1</v>
      </c>
      <c r="N9" s="417"/>
    </row>
    <row r="10" spans="1:24" ht="22.5" customHeight="1">
      <c r="A10" s="418">
        <v>1</v>
      </c>
      <c r="B10" s="419" t="s">
        <v>195</v>
      </c>
      <c r="C10" s="420" t="s">
        <v>192</v>
      </c>
      <c r="D10" s="421">
        <f>'Approved Item-Actual'!C15</f>
        <v>29485630</v>
      </c>
      <c r="E10" s="421">
        <f>'Approved Item-Actual'!D15</f>
        <v>28472773.399999999</v>
      </c>
      <c r="F10" s="415">
        <f>E10/D10</f>
        <v>0.96564914502420329</v>
      </c>
      <c r="G10" s="422">
        <v>6</v>
      </c>
      <c r="H10" s="423">
        <v>45402</v>
      </c>
      <c r="I10" s="423">
        <v>45585</v>
      </c>
      <c r="J10" s="423">
        <v>45915</v>
      </c>
      <c r="K10" s="424"/>
      <c r="L10" s="404">
        <v>1</v>
      </c>
      <c r="M10" s="404">
        <v>1</v>
      </c>
      <c r="N10" s="425"/>
    </row>
    <row r="11" spans="1:24" ht="22.5" customHeight="1">
      <c r="A11" s="426">
        <v>2</v>
      </c>
      <c r="B11" s="427" t="s">
        <v>196</v>
      </c>
      <c r="C11" s="428" t="s">
        <v>192</v>
      </c>
      <c r="D11" s="429">
        <f>'Approved Item-Actual'!C16</f>
        <v>23645601</v>
      </c>
      <c r="E11" s="429">
        <f>'Approved Item-Actual'!D16</f>
        <v>21009948</v>
      </c>
      <c r="F11" s="409">
        <f t="shared" ref="F11:F54" si="1">E11/D11</f>
        <v>0.88853516558957413</v>
      </c>
      <c r="G11" s="430">
        <v>6</v>
      </c>
      <c r="H11" s="431">
        <v>45402</v>
      </c>
      <c r="I11" s="431">
        <v>45585</v>
      </c>
      <c r="J11" s="423">
        <v>45916</v>
      </c>
      <c r="K11" s="432"/>
      <c r="L11" s="404">
        <v>1</v>
      </c>
      <c r="M11" s="404">
        <v>1</v>
      </c>
      <c r="N11" s="433"/>
      <c r="O11" s="725"/>
    </row>
    <row r="12" spans="1:24" ht="22.5" customHeight="1">
      <c r="A12" s="426">
        <v>3</v>
      </c>
      <c r="B12" s="427" t="s">
        <v>197</v>
      </c>
      <c r="C12" s="428" t="s">
        <v>194</v>
      </c>
      <c r="D12" s="429">
        <f>'Approved Item-Actual'!C18</f>
        <v>27569921</v>
      </c>
      <c r="E12" s="429">
        <f>'Approved Item-Actual'!D18</f>
        <v>26661230</v>
      </c>
      <c r="F12" s="409">
        <f t="shared" si="1"/>
        <v>0.96704049315193907</v>
      </c>
      <c r="G12" s="430">
        <v>4</v>
      </c>
      <c r="H12" s="431">
        <v>45474</v>
      </c>
      <c r="I12" s="431">
        <v>45596</v>
      </c>
      <c r="J12" s="431">
        <v>45895</v>
      </c>
      <c r="K12" s="432"/>
      <c r="L12" s="404">
        <v>1</v>
      </c>
      <c r="M12" s="404">
        <v>1</v>
      </c>
      <c r="N12" s="434"/>
      <c r="O12" s="725"/>
    </row>
    <row r="13" spans="1:24" ht="22.5" customHeight="1">
      <c r="A13" s="426">
        <v>4</v>
      </c>
      <c r="B13" s="427" t="s">
        <v>198</v>
      </c>
      <c r="C13" s="428" t="s">
        <v>199</v>
      </c>
      <c r="D13" s="429">
        <f>'Approved Item-Actual'!C19</f>
        <v>6841856</v>
      </c>
      <c r="E13" s="429">
        <f>'Approved Item-Actual'!D19</f>
        <v>3712137</v>
      </c>
      <c r="F13" s="409">
        <f t="shared" si="1"/>
        <v>0.54256286598256376</v>
      </c>
      <c r="G13" s="430">
        <v>8</v>
      </c>
      <c r="H13" s="431">
        <v>45402</v>
      </c>
      <c r="I13" s="431">
        <v>45641</v>
      </c>
      <c r="J13" s="431">
        <v>45916</v>
      </c>
      <c r="K13" s="432"/>
      <c r="L13" s="404">
        <v>1</v>
      </c>
      <c r="M13" s="404">
        <v>0.56999999999999995</v>
      </c>
      <c r="N13" s="434"/>
      <c r="O13" s="725"/>
    </row>
    <row r="14" spans="1:24" ht="22.5" customHeight="1">
      <c r="A14" s="426">
        <v>5</v>
      </c>
      <c r="B14" s="427" t="s">
        <v>200</v>
      </c>
      <c r="C14" s="428" t="s">
        <v>199</v>
      </c>
      <c r="D14" s="429">
        <f>'Approved Item-Actual'!C20</f>
        <v>57158144</v>
      </c>
      <c r="E14" s="429">
        <f>'Approved Item-Actual'!D20</f>
        <v>44216742</v>
      </c>
      <c r="F14" s="409">
        <f t="shared" si="1"/>
        <v>0.77358603526384617</v>
      </c>
      <c r="G14" s="430">
        <v>8</v>
      </c>
      <c r="H14" s="431">
        <v>45402</v>
      </c>
      <c r="I14" s="431">
        <v>45641</v>
      </c>
      <c r="J14" s="431">
        <v>45916</v>
      </c>
      <c r="K14" s="432"/>
      <c r="L14" s="404">
        <v>0.98</v>
      </c>
      <c r="M14" s="404">
        <v>0.91</v>
      </c>
      <c r="N14" s="434"/>
      <c r="O14" s="725"/>
    </row>
    <row r="15" spans="1:24" ht="22.5" customHeight="1">
      <c r="A15" s="426">
        <v>6</v>
      </c>
      <c r="B15" s="427" t="s">
        <v>201</v>
      </c>
      <c r="C15" s="428" t="s">
        <v>192</v>
      </c>
      <c r="D15" s="435">
        <f>SUM('Approved Item-Actual'!C22,'Approved Item-Actual'!C24,'Approved Item-Actual'!C30,'Approved Item-Actual'!C31,'Approved Item-Actual'!C40,'Approved Item-Actual'!C45,'Approved Item-Actual'!C48,'Approved Item-Actual'!C57,'Approved Item-Actual'!C58,'Approved Item-Actual'!C66,'Approved Item-Actual'!C63)</f>
        <v>298237905</v>
      </c>
      <c r="E15" s="435">
        <f>SUM('Approved Item-Actual'!D22,'Approved Item-Actual'!D24,'Approved Item-Actual'!D30,'Approved Item-Actual'!D31,'Approved Item-Actual'!D40,'Approved Item-Actual'!D63,'Approved Item-Actual'!D45,'Approved Item-Actual'!D48,'Approved Item-Actual'!D57,'Approved Item-Actual'!D58,'Approved Item-Actual'!D66,'Approved Item-Actual'!D63)</f>
        <v>183286617.5</v>
      </c>
      <c r="F15" s="409">
        <f t="shared" si="1"/>
        <v>0.61456513215514974</v>
      </c>
      <c r="G15" s="430">
        <v>12</v>
      </c>
      <c r="H15" s="431">
        <v>45488</v>
      </c>
      <c r="I15" s="431">
        <v>45852</v>
      </c>
      <c r="J15" s="431">
        <v>45930</v>
      </c>
      <c r="K15" s="432"/>
      <c r="L15" s="404">
        <v>0.82</v>
      </c>
      <c r="M15" s="404">
        <v>0.7</v>
      </c>
      <c r="N15" s="434"/>
      <c r="O15" s="725"/>
    </row>
    <row r="16" spans="1:24" ht="22.5" customHeight="1">
      <c r="A16" s="426">
        <v>7</v>
      </c>
      <c r="B16" s="427" t="s">
        <v>202</v>
      </c>
      <c r="C16" s="428" t="s">
        <v>192</v>
      </c>
      <c r="D16" s="436">
        <f>SUM('Approved Item-Actual'!C17,'Approved Item-Actual'!C23,'Approved Item-Actual'!C33,'Approved Item-Actual'!C53,'Approved Item-Actual'!C61)</f>
        <v>131534857</v>
      </c>
      <c r="E16" s="436">
        <f>SUM('Approved Item-Actual'!D17,'Approved Item-Actual'!D23,'Approved Item-Actual'!D33,'Approved Item-Actual'!D53,'Approved Item-Actual'!D55,'Approved Item-Actual'!D61)</f>
        <v>90813182.099999994</v>
      </c>
      <c r="F16" s="409">
        <f t="shared" si="1"/>
        <v>0.69041153175085745</v>
      </c>
      <c r="G16" s="430">
        <v>12</v>
      </c>
      <c r="H16" s="431">
        <v>45498</v>
      </c>
      <c r="I16" s="431">
        <v>45862</v>
      </c>
      <c r="J16" s="431">
        <v>45930</v>
      </c>
      <c r="K16" s="432"/>
      <c r="L16" s="404">
        <v>0.82</v>
      </c>
      <c r="M16" s="404">
        <v>0.7</v>
      </c>
      <c r="N16" s="434"/>
      <c r="O16" s="725"/>
    </row>
    <row r="17" spans="1:15" ht="22.5" customHeight="1">
      <c r="A17" s="426">
        <v>8</v>
      </c>
      <c r="B17" s="427" t="s">
        <v>203</v>
      </c>
      <c r="C17" s="428" t="s">
        <v>204</v>
      </c>
      <c r="D17" s="436">
        <f>SUM('Approved Item-Actual'!C25,'Approved Item-Actual'!C26,'Approved Item-Actual'!C62,'Approved Item-Actual'!C70)</f>
        <v>90048330</v>
      </c>
      <c r="E17" s="436">
        <f>SUM('Approved Item-Actual'!D25,'Approved Item-Actual'!D26,'Approved Item-Actual'!D62,'Approved Item-Actual'!D70)</f>
        <v>42491446</v>
      </c>
      <c r="F17" s="409">
        <f t="shared" si="1"/>
        <v>0.47187378155708165</v>
      </c>
      <c r="G17" s="430">
        <v>4</v>
      </c>
      <c r="H17" s="431">
        <v>45519</v>
      </c>
      <c r="I17" s="431">
        <v>45642</v>
      </c>
      <c r="J17" s="431">
        <v>45915</v>
      </c>
      <c r="K17" s="432"/>
      <c r="L17" s="404">
        <v>0.9</v>
      </c>
      <c r="M17" s="404">
        <v>0.95</v>
      </c>
      <c r="N17" s="434"/>
      <c r="O17" s="725"/>
    </row>
    <row r="18" spans="1:15" ht="22.5" customHeight="1">
      <c r="A18" s="426">
        <v>9</v>
      </c>
      <c r="B18" s="427" t="s">
        <v>205</v>
      </c>
      <c r="C18" s="428" t="s">
        <v>206</v>
      </c>
      <c r="D18" s="436">
        <f>'Approved Item-Actual'!C27</f>
        <v>11000000</v>
      </c>
      <c r="E18" s="436">
        <f>'Approved Item-Actual'!D27</f>
        <v>7206637</v>
      </c>
      <c r="F18" s="409">
        <f t="shared" si="1"/>
        <v>0.65514881818181814</v>
      </c>
      <c r="G18" s="430">
        <v>4</v>
      </c>
      <c r="H18" s="431">
        <v>45523</v>
      </c>
      <c r="I18" s="431">
        <v>45645</v>
      </c>
      <c r="J18" s="431">
        <v>45915</v>
      </c>
      <c r="K18" s="432"/>
      <c r="L18" s="404">
        <v>1</v>
      </c>
      <c r="M18" s="404">
        <v>0.9</v>
      </c>
      <c r="N18" s="433"/>
      <c r="O18" s="725"/>
    </row>
    <row r="19" spans="1:15" ht="22.5" customHeight="1">
      <c r="A19" s="426">
        <v>10</v>
      </c>
      <c r="B19" s="427" t="s">
        <v>171</v>
      </c>
      <c r="C19" s="428" t="s">
        <v>206</v>
      </c>
      <c r="D19" s="436">
        <f>'Approved Item-Actual'!C28</f>
        <v>20000000</v>
      </c>
      <c r="E19" s="436">
        <f>'Approved Item-Actual'!D28</f>
        <v>17529297</v>
      </c>
      <c r="F19" s="409">
        <f t="shared" si="1"/>
        <v>0.87646484999999996</v>
      </c>
      <c r="G19" s="430">
        <v>6</v>
      </c>
      <c r="H19" s="431">
        <v>45523</v>
      </c>
      <c r="I19" s="431">
        <v>45645</v>
      </c>
      <c r="J19" s="431">
        <v>45923</v>
      </c>
      <c r="K19" s="432"/>
      <c r="L19" s="404">
        <v>1</v>
      </c>
      <c r="M19" s="404">
        <v>1</v>
      </c>
      <c r="N19" s="433"/>
      <c r="O19" s="725"/>
    </row>
    <row r="20" spans="1:15" ht="22.5" customHeight="1">
      <c r="A20" s="426">
        <v>11</v>
      </c>
      <c r="B20" s="427" t="s">
        <v>240</v>
      </c>
      <c r="C20" s="428" t="s">
        <v>207</v>
      </c>
      <c r="D20" s="436">
        <f>'Approved Item-Actual'!C74</f>
        <v>23835258</v>
      </c>
      <c r="E20" s="436">
        <f>'Approved Item-Actual'!D74</f>
        <v>22912798</v>
      </c>
      <c r="F20" s="409">
        <f t="shared" si="1"/>
        <v>0.96129850996368493</v>
      </c>
      <c r="G20" s="430">
        <v>4</v>
      </c>
      <c r="H20" s="431">
        <v>45627</v>
      </c>
      <c r="I20" s="431">
        <v>45747</v>
      </c>
      <c r="J20" s="431">
        <v>45924</v>
      </c>
      <c r="K20" s="432"/>
      <c r="L20" s="404">
        <v>0.95</v>
      </c>
      <c r="M20" s="404">
        <v>0.93</v>
      </c>
      <c r="N20" s="437"/>
      <c r="O20" s="725"/>
    </row>
    <row r="21" spans="1:15" ht="22.5" customHeight="1">
      <c r="A21" s="426">
        <v>12</v>
      </c>
      <c r="B21" s="427" t="s">
        <v>208</v>
      </c>
      <c r="C21" s="428" t="s">
        <v>209</v>
      </c>
      <c r="D21" s="436">
        <f>'Approved Item-Actual'!C39</f>
        <v>38171630</v>
      </c>
      <c r="E21" s="436">
        <f>'Approved Item-Actual'!D39</f>
        <v>9378967</v>
      </c>
      <c r="F21" s="409">
        <f t="shared" si="1"/>
        <v>0.24570517423542038</v>
      </c>
      <c r="G21" s="430">
        <v>4</v>
      </c>
      <c r="H21" s="431">
        <v>45616</v>
      </c>
      <c r="I21" s="431">
        <v>45736</v>
      </c>
      <c r="J21" s="431">
        <v>45945</v>
      </c>
      <c r="K21" s="432"/>
      <c r="L21" s="404">
        <v>0.85</v>
      </c>
      <c r="M21" s="404">
        <v>0.7</v>
      </c>
      <c r="N21" s="433"/>
      <c r="O21" s="725"/>
    </row>
    <row r="22" spans="1:15" ht="22.5" customHeight="1">
      <c r="A22" s="426">
        <v>13</v>
      </c>
      <c r="B22" s="427" t="s">
        <v>210</v>
      </c>
      <c r="C22" s="428" t="s">
        <v>211</v>
      </c>
      <c r="D22" s="436">
        <f>'Approved Item-Actual'!C41</f>
        <v>47509000</v>
      </c>
      <c r="E22" s="436">
        <f>'Approved Item-Actual'!D41</f>
        <v>7761441</v>
      </c>
      <c r="F22" s="409">
        <f t="shared" si="1"/>
        <v>0.16336780399503251</v>
      </c>
      <c r="G22" s="430">
        <v>6</v>
      </c>
      <c r="H22" s="431">
        <v>45632</v>
      </c>
      <c r="I22" s="431">
        <v>45783</v>
      </c>
      <c r="J22" s="431">
        <v>45955</v>
      </c>
      <c r="K22" s="432"/>
      <c r="L22" s="404">
        <v>0.55000000000000004</v>
      </c>
      <c r="M22" s="404">
        <v>0.36</v>
      </c>
      <c r="N22" s="433"/>
      <c r="O22" s="725"/>
    </row>
    <row r="23" spans="1:15" ht="22.5" customHeight="1">
      <c r="A23" s="426">
        <v>14</v>
      </c>
      <c r="B23" s="427" t="s">
        <v>212</v>
      </c>
      <c r="C23" s="428" t="s">
        <v>213</v>
      </c>
      <c r="D23" s="436">
        <f>'Approved Item-Actual'!C42</f>
        <v>9961998</v>
      </c>
      <c r="E23" s="436">
        <f>'Approved Item-Actual'!D42</f>
        <v>2490500</v>
      </c>
      <c r="F23" s="409">
        <f t="shared" si="1"/>
        <v>0.25000005019073485</v>
      </c>
      <c r="G23" s="430"/>
      <c r="H23" s="431"/>
      <c r="I23" s="431"/>
      <c r="J23" s="431"/>
      <c r="K23" s="432"/>
      <c r="L23" s="404">
        <v>0.2</v>
      </c>
      <c r="M23" s="404">
        <v>0.2</v>
      </c>
      <c r="N23" s="433"/>
      <c r="O23" s="725"/>
    </row>
    <row r="24" spans="1:15" ht="22.5" customHeight="1">
      <c r="A24" s="426">
        <v>15</v>
      </c>
      <c r="B24" s="427" t="s">
        <v>214</v>
      </c>
      <c r="C24" s="428" t="s">
        <v>215</v>
      </c>
      <c r="D24" s="438">
        <f>'Approved Item-Actual'!C36</f>
        <v>68331343</v>
      </c>
      <c r="E24" s="438">
        <f>'Approved Item-Actual'!D36</f>
        <v>31452514</v>
      </c>
      <c r="F24" s="409">
        <f t="shared" si="1"/>
        <v>0.46029409959057882</v>
      </c>
      <c r="G24" s="430">
        <v>5</v>
      </c>
      <c r="H24" s="431">
        <v>45542</v>
      </c>
      <c r="I24" s="439"/>
      <c r="J24" s="431">
        <v>45920</v>
      </c>
      <c r="K24" s="432"/>
      <c r="L24" s="440">
        <v>0.66</v>
      </c>
      <c r="M24" s="440">
        <v>0.6</v>
      </c>
      <c r="N24" s="434"/>
      <c r="O24" s="725"/>
    </row>
    <row r="25" spans="1:15" ht="22.5" customHeight="1">
      <c r="A25" s="426">
        <v>16</v>
      </c>
      <c r="B25" s="427" t="s">
        <v>216</v>
      </c>
      <c r="C25" s="428" t="s">
        <v>217</v>
      </c>
      <c r="D25" s="438">
        <f>'Approved Item-Actual'!C43</f>
        <v>153071595</v>
      </c>
      <c r="E25" s="438">
        <f>'Approved Item-Actual'!D43</f>
        <v>102919818</v>
      </c>
      <c r="F25" s="409">
        <f t="shared" si="1"/>
        <v>0.67236392225481156</v>
      </c>
      <c r="G25" s="430">
        <v>3</v>
      </c>
      <c r="H25" s="431">
        <v>45543</v>
      </c>
      <c r="I25" s="439"/>
      <c r="J25" s="431">
        <v>45868</v>
      </c>
      <c r="K25" s="432"/>
      <c r="L25" s="404">
        <v>0.88</v>
      </c>
      <c r="M25" s="404">
        <v>0.75</v>
      </c>
      <c r="N25" s="434"/>
      <c r="O25" s="725"/>
    </row>
    <row r="26" spans="1:15" ht="22.5" customHeight="1">
      <c r="A26" s="426">
        <v>17</v>
      </c>
      <c r="B26" s="427" t="s">
        <v>218</v>
      </c>
      <c r="C26" s="428" t="s">
        <v>219</v>
      </c>
      <c r="D26" s="438">
        <v>48260308</v>
      </c>
      <c r="E26" s="438">
        <f>D26*0.25</f>
        <v>12065077</v>
      </c>
      <c r="F26" s="409">
        <f t="shared" si="1"/>
        <v>0.25</v>
      </c>
      <c r="G26" s="430"/>
      <c r="H26" s="431">
        <v>45542</v>
      </c>
      <c r="I26" s="439"/>
      <c r="J26" s="431"/>
      <c r="K26" s="432"/>
      <c r="L26" s="404">
        <v>0.5</v>
      </c>
      <c r="M26" s="404">
        <v>0.45</v>
      </c>
      <c r="N26" s="434"/>
      <c r="O26" s="725"/>
    </row>
    <row r="27" spans="1:15" ht="22.5" customHeight="1">
      <c r="A27" s="426">
        <v>18</v>
      </c>
      <c r="B27" s="427" t="s">
        <v>220</v>
      </c>
      <c r="C27" s="428" t="s">
        <v>221</v>
      </c>
      <c r="D27" s="436">
        <f>'Approved Item-Actual'!C46</f>
        <v>210151423</v>
      </c>
      <c r="E27" s="436">
        <f>'Approved Item-Actual'!D46</f>
        <v>71697912</v>
      </c>
      <c r="F27" s="409">
        <f t="shared" si="1"/>
        <v>0.34117262199076331</v>
      </c>
      <c r="G27" s="430">
        <v>6</v>
      </c>
      <c r="H27" s="431">
        <v>45574</v>
      </c>
      <c r="I27" s="439"/>
      <c r="J27" s="431">
        <v>45928</v>
      </c>
      <c r="K27" s="432"/>
      <c r="L27" s="404">
        <v>0.6</v>
      </c>
      <c r="M27" s="404">
        <v>0.48</v>
      </c>
      <c r="N27" s="434"/>
      <c r="O27" s="725"/>
    </row>
    <row r="28" spans="1:15" ht="22.5" customHeight="1">
      <c r="A28" s="426">
        <v>19</v>
      </c>
      <c r="B28" s="427" t="s">
        <v>222</v>
      </c>
      <c r="C28" s="428" t="s">
        <v>192</v>
      </c>
      <c r="D28" s="438">
        <f>'Approved Item-Actual'!C29</f>
        <v>6500000</v>
      </c>
      <c r="E28" s="438">
        <f>'Approved Item-Actual'!D29</f>
        <v>4047317</v>
      </c>
      <c r="F28" s="409">
        <f t="shared" si="1"/>
        <v>0.62266415384615381</v>
      </c>
      <c r="G28" s="430">
        <v>2</v>
      </c>
      <c r="H28" s="431">
        <v>45597</v>
      </c>
      <c r="I28" s="439"/>
      <c r="J28" s="431">
        <v>45863</v>
      </c>
      <c r="K28" s="432"/>
      <c r="L28" s="404">
        <v>0.8</v>
      </c>
      <c r="M28" s="404">
        <v>0.8</v>
      </c>
      <c r="N28" s="434"/>
      <c r="O28" s="725"/>
    </row>
    <row r="29" spans="1:15" ht="22.5" customHeight="1">
      <c r="A29" s="426">
        <v>20</v>
      </c>
      <c r="B29" s="427" t="s">
        <v>223</v>
      </c>
      <c r="C29" s="428" t="s">
        <v>224</v>
      </c>
      <c r="D29" s="441">
        <f>'Approved Item-Actual'!C32</f>
        <v>5537660</v>
      </c>
      <c r="E29" s="441">
        <f>'Approved Item-Actual'!D32</f>
        <v>4688280</v>
      </c>
      <c r="F29" s="409">
        <f t="shared" si="1"/>
        <v>0.846617524369499</v>
      </c>
      <c r="G29" s="442">
        <v>3</v>
      </c>
      <c r="H29" s="431">
        <v>45687</v>
      </c>
      <c r="I29" s="443"/>
      <c r="J29" s="431">
        <v>45862</v>
      </c>
      <c r="K29" s="444"/>
      <c r="L29" s="404">
        <v>0.8</v>
      </c>
      <c r="M29" s="404">
        <v>0.8</v>
      </c>
      <c r="N29" s="445"/>
      <c r="O29" s="725"/>
    </row>
    <row r="30" spans="1:15" ht="22.5" customHeight="1">
      <c r="A30" s="426">
        <v>21</v>
      </c>
      <c r="B30" s="446" t="s">
        <v>225</v>
      </c>
      <c r="C30" s="447" t="s">
        <v>194</v>
      </c>
      <c r="D30" s="441">
        <v>2000000</v>
      </c>
      <c r="E30" s="441">
        <v>2000000</v>
      </c>
      <c r="F30" s="409">
        <f t="shared" si="1"/>
        <v>1</v>
      </c>
      <c r="G30" s="448">
        <v>2</v>
      </c>
      <c r="H30" s="449">
        <v>45763</v>
      </c>
      <c r="I30" s="449">
        <v>45824</v>
      </c>
      <c r="J30" s="449">
        <v>45858</v>
      </c>
      <c r="K30" s="450"/>
      <c r="L30" s="404">
        <v>1</v>
      </c>
      <c r="M30" s="404">
        <v>1</v>
      </c>
      <c r="N30" s="451"/>
      <c r="O30" s="725"/>
    </row>
    <row r="31" spans="1:15" ht="22.5" customHeight="1">
      <c r="A31" s="426">
        <v>22</v>
      </c>
      <c r="B31" s="407" t="s">
        <v>226</v>
      </c>
      <c r="C31" s="452" t="s">
        <v>227</v>
      </c>
      <c r="D31" s="441">
        <v>1419000</v>
      </c>
      <c r="E31" s="441">
        <v>1419000</v>
      </c>
      <c r="F31" s="453">
        <f t="shared" si="1"/>
        <v>1</v>
      </c>
      <c r="G31" s="448"/>
      <c r="H31" s="449">
        <v>45768</v>
      </c>
      <c r="I31" s="454"/>
      <c r="J31" s="449">
        <v>45782</v>
      </c>
      <c r="K31" s="450"/>
      <c r="L31" s="404">
        <v>1</v>
      </c>
      <c r="M31" s="404">
        <v>1</v>
      </c>
      <c r="N31" s="735"/>
      <c r="O31" s="725"/>
    </row>
    <row r="32" spans="1:15" ht="22.5" customHeight="1">
      <c r="A32" s="426">
        <v>23</v>
      </c>
      <c r="B32" s="726" t="s">
        <v>228</v>
      </c>
      <c r="C32" s="727" t="s">
        <v>229</v>
      </c>
      <c r="D32" s="728">
        <f>'Approved Item-Actual'!C34</f>
        <v>49036000</v>
      </c>
      <c r="E32" s="728">
        <f>'Approved Item-Actual'!D34</f>
        <v>17800000</v>
      </c>
      <c r="F32" s="729">
        <f t="shared" si="1"/>
        <v>0.36299861326372462</v>
      </c>
      <c r="G32" s="730"/>
      <c r="H32" s="731"/>
      <c r="I32" s="732"/>
      <c r="J32" s="731">
        <v>45914</v>
      </c>
      <c r="K32" s="733"/>
      <c r="L32" s="734">
        <v>0.2</v>
      </c>
      <c r="M32" s="734">
        <v>0.15</v>
      </c>
      <c r="N32" s="505"/>
      <c r="O32" s="725"/>
    </row>
    <row r="33" spans="1:15" ht="22.5" customHeight="1">
      <c r="A33" s="723">
        <v>24</v>
      </c>
      <c r="B33" s="455" t="s">
        <v>241</v>
      </c>
      <c r="C33" s="447" t="s">
        <v>243</v>
      </c>
      <c r="D33" s="456">
        <f>'Approved Item-Actual'!C44</f>
        <v>28315671</v>
      </c>
      <c r="E33" s="456">
        <f>'Approved Item-Actual'!D44</f>
        <v>10066031</v>
      </c>
      <c r="F33" s="453">
        <f t="shared" si="1"/>
        <v>0.35549328850444689</v>
      </c>
      <c r="G33" s="457"/>
      <c r="H33" s="449"/>
      <c r="I33" s="454"/>
      <c r="J33" s="449">
        <v>45914</v>
      </c>
      <c r="K33" s="450"/>
      <c r="L33" s="440">
        <v>0.7</v>
      </c>
      <c r="M33" s="440">
        <v>0.65</v>
      </c>
      <c r="N33" s="505"/>
      <c r="O33" s="725"/>
    </row>
    <row r="34" spans="1:15" ht="22.5" customHeight="1">
      <c r="A34" s="724">
        <v>25</v>
      </c>
      <c r="B34" s="407" t="str">
        <f>'Approved Item-Actual'!B75</f>
        <v>VRF In corridor ( M+L)</v>
      </c>
      <c r="C34" s="408" t="s">
        <v>262</v>
      </c>
      <c r="D34" s="538">
        <v>50500000</v>
      </c>
      <c r="E34" s="538">
        <v>18750000</v>
      </c>
      <c r="F34" s="409">
        <f t="shared" si="1"/>
        <v>0.37128712871287128</v>
      </c>
      <c r="G34" s="407"/>
      <c r="H34" s="407"/>
      <c r="I34" s="407"/>
      <c r="J34" s="411">
        <v>46006</v>
      </c>
      <c r="K34" s="407"/>
      <c r="L34" s="404">
        <v>0.6</v>
      </c>
      <c r="M34" s="404">
        <v>0.6</v>
      </c>
      <c r="N34" s="505"/>
      <c r="O34" s="725"/>
    </row>
    <row r="35" spans="1:15" ht="22.5" customHeight="1">
      <c r="A35" s="724">
        <v>26</v>
      </c>
      <c r="B35" s="407" t="s">
        <v>265</v>
      </c>
      <c r="C35" s="408" t="s">
        <v>231</v>
      </c>
      <c r="D35" s="538">
        <f>'Approved Item-Actual'!C77</f>
        <v>4894000</v>
      </c>
      <c r="E35" s="538">
        <f>'Approved Item-Actual'!D77</f>
        <v>4894000</v>
      </c>
      <c r="F35" s="409">
        <f t="shared" si="1"/>
        <v>1</v>
      </c>
      <c r="G35" s="407"/>
      <c r="H35" s="407"/>
      <c r="I35" s="407"/>
      <c r="J35" s="411">
        <v>45914</v>
      </c>
      <c r="K35" s="407"/>
      <c r="L35" s="404">
        <v>1</v>
      </c>
      <c r="M35" s="404">
        <v>1</v>
      </c>
      <c r="N35" s="505"/>
      <c r="O35" s="725"/>
    </row>
    <row r="36" spans="1:15" ht="22.5" customHeight="1">
      <c r="A36" s="724">
        <v>27</v>
      </c>
      <c r="B36" s="407" t="str">
        <f>'Approved Item-Actual'!B78</f>
        <v>Swimming Pool  ( M+L)</v>
      </c>
      <c r="C36" s="408" t="s">
        <v>283</v>
      </c>
      <c r="D36" s="538">
        <f>'Approved Item-Actual'!C78</f>
        <v>16200000</v>
      </c>
      <c r="E36" s="538">
        <f>'Approved Item-Actual'!D78</f>
        <v>11340000</v>
      </c>
      <c r="F36" s="409">
        <f t="shared" si="1"/>
        <v>0.7</v>
      </c>
      <c r="G36" s="407"/>
      <c r="H36" s="407"/>
      <c r="I36" s="407"/>
      <c r="J36" s="411"/>
      <c r="K36" s="407"/>
      <c r="L36" s="404">
        <v>0.45</v>
      </c>
      <c r="M36" s="404">
        <v>0.45</v>
      </c>
      <c r="N36" s="505"/>
      <c r="O36" s="725"/>
    </row>
    <row r="37" spans="1:15" ht="12.75" customHeight="1" thickBot="1">
      <c r="A37" s="992"/>
      <c r="B37" s="993"/>
      <c r="C37" s="993"/>
      <c r="D37" s="993"/>
      <c r="E37" s="993"/>
      <c r="F37" s="993"/>
      <c r="G37" s="993"/>
      <c r="H37" s="993"/>
      <c r="I37" s="993"/>
      <c r="J37" s="993"/>
      <c r="K37" s="993"/>
      <c r="L37" s="993"/>
      <c r="M37" s="993"/>
      <c r="N37" s="994"/>
      <c r="O37" s="725"/>
    </row>
    <row r="38" spans="1:15" ht="27" customHeight="1" thickBot="1">
      <c r="A38" s="458"/>
      <c r="B38" s="459"/>
      <c r="C38" s="459"/>
      <c r="D38" s="460">
        <f>SUM(D7:D36)</f>
        <v>1591647284</v>
      </c>
      <c r="E38" s="460">
        <f>SUM(E7:E36)</f>
        <v>932195249</v>
      </c>
      <c r="F38" s="461">
        <f t="shared" si="1"/>
        <v>0.58567953991495014</v>
      </c>
      <c r="G38" s="462">
        <f t="shared" ref="G38" si="2">SUM(G7:G32)</f>
        <v>117</v>
      </c>
      <c r="H38" s="463"/>
      <c r="I38" s="463"/>
      <c r="J38" s="463"/>
      <c r="K38" s="463"/>
      <c r="L38" s="464">
        <v>0.81</v>
      </c>
      <c r="M38" s="464">
        <v>0.76</v>
      </c>
      <c r="N38" s="465"/>
      <c r="O38" s="725"/>
    </row>
    <row r="39" spans="1:15" ht="27" customHeight="1" thickBot="1">
      <c r="A39" s="981" t="s">
        <v>230</v>
      </c>
      <c r="B39" s="982"/>
      <c r="C39" s="982"/>
      <c r="D39" s="982"/>
      <c r="E39" s="982"/>
      <c r="F39" s="982"/>
      <c r="G39" s="982"/>
      <c r="H39" s="982"/>
      <c r="I39" s="982"/>
      <c r="J39" s="982"/>
      <c r="K39" s="982"/>
      <c r="L39" s="982"/>
      <c r="M39" s="982"/>
      <c r="N39" s="984"/>
      <c r="O39" s="725"/>
    </row>
    <row r="40" spans="1:15" ht="27" customHeight="1">
      <c r="A40" s="466">
        <f>'Approved Item-Actual'!A228</f>
        <v>1</v>
      </c>
      <c r="B40" s="467" t="str">
        <f>'Approved Item-Actual'!B228</f>
        <v>Electrical Work</v>
      </c>
      <c r="C40" s="468" t="s">
        <v>192</v>
      </c>
      <c r="D40" s="469">
        <f>'Approved Item-Actual'!C228</f>
        <v>6220700</v>
      </c>
      <c r="E40" s="469">
        <f>'Approved Item-Actual'!D228</f>
        <v>2762019</v>
      </c>
      <c r="F40" s="409">
        <f t="shared" si="1"/>
        <v>0.44400453325188483</v>
      </c>
      <c r="G40" s="468"/>
      <c r="H40" s="468"/>
      <c r="I40" s="468"/>
      <c r="J40" s="449">
        <v>45838</v>
      </c>
      <c r="K40" s="468"/>
      <c r="L40" s="468"/>
      <c r="M40" s="470">
        <v>0.85</v>
      </c>
      <c r="N40" s="471"/>
      <c r="O40" s="725"/>
    </row>
    <row r="41" spans="1:15" ht="27" customHeight="1">
      <c r="A41" s="472">
        <f>'Approved Item-Actual'!A229</f>
        <v>2</v>
      </c>
      <c r="B41" s="473" t="str">
        <f>'Approved Item-Actual'!B229</f>
        <v>Plumbing work</v>
      </c>
      <c r="C41" s="474" t="s">
        <v>192</v>
      </c>
      <c r="D41" s="475">
        <f>'Approved Item-Actual'!C229</f>
        <v>9428921</v>
      </c>
      <c r="E41" s="475">
        <f>'Approved Item-Actual'!D229</f>
        <v>5928921</v>
      </c>
      <c r="F41" s="409">
        <f t="shared" si="1"/>
        <v>0.62880164124824034</v>
      </c>
      <c r="G41" s="474"/>
      <c r="H41" s="474"/>
      <c r="I41" s="474"/>
      <c r="J41" s="449">
        <v>45839</v>
      </c>
      <c r="K41" s="474"/>
      <c r="L41" s="474"/>
      <c r="M41" s="470">
        <v>0.85</v>
      </c>
      <c r="N41" s="471"/>
      <c r="O41" s="725"/>
    </row>
    <row r="42" spans="1:15" ht="27" customHeight="1">
      <c r="A42" s="472">
        <f>'Approved Item-Actual'!A230</f>
        <v>3</v>
      </c>
      <c r="B42" s="473" t="str">
        <f>'Approved Item-Actual'!B230</f>
        <v>Fire figthing works</v>
      </c>
      <c r="C42" s="474" t="s">
        <v>204</v>
      </c>
      <c r="D42" s="475">
        <f>'Approved Item-Actual'!C230</f>
        <v>2868500</v>
      </c>
      <c r="E42" s="475">
        <f>'Approved Item-Actual'!D230</f>
        <v>1241083</v>
      </c>
      <c r="F42" s="409">
        <f t="shared" si="1"/>
        <v>0.43265922956248909</v>
      </c>
      <c r="G42" s="474"/>
      <c r="H42" s="474"/>
      <c r="I42" s="474"/>
      <c r="J42" s="449">
        <v>45840</v>
      </c>
      <c r="K42" s="474"/>
      <c r="L42" s="474"/>
      <c r="M42" s="470">
        <v>0.85</v>
      </c>
      <c r="N42" s="471"/>
      <c r="O42" s="725"/>
    </row>
    <row r="43" spans="1:15" ht="27" customHeight="1">
      <c r="A43" s="472">
        <f>'Approved Item-Actual'!A231</f>
        <v>4</v>
      </c>
      <c r="B43" s="473" t="str">
        <f>'Approved Item-Actual'!B231</f>
        <v>Copper piping</v>
      </c>
      <c r="C43" s="474" t="s">
        <v>242</v>
      </c>
      <c r="D43" s="475">
        <f>'Approved Item-Actual'!C231</f>
        <v>1900000</v>
      </c>
      <c r="E43" s="475">
        <f>'Approved Item-Actual'!D231</f>
        <v>0</v>
      </c>
      <c r="F43" s="409">
        <f t="shared" si="1"/>
        <v>0</v>
      </c>
      <c r="G43" s="474"/>
      <c r="H43" s="474"/>
      <c r="I43" s="474"/>
      <c r="J43" s="449">
        <v>45841</v>
      </c>
      <c r="K43" s="474"/>
      <c r="L43" s="474"/>
      <c r="M43" s="476">
        <v>1</v>
      </c>
      <c r="N43" s="477"/>
      <c r="O43" s="725"/>
    </row>
    <row r="44" spans="1:15" ht="27" customHeight="1">
      <c r="A44" s="472">
        <f>'Approved Item-Actual'!A232</f>
        <v>5</v>
      </c>
      <c r="B44" s="473" t="str">
        <f>'Approved Item-Actual'!B232</f>
        <v>Insulation of pipes</v>
      </c>
      <c r="C44" s="474" t="s">
        <v>231</v>
      </c>
      <c r="D44" s="475">
        <f>'Approved Item-Actual'!C232</f>
        <v>3141525</v>
      </c>
      <c r="E44" s="475">
        <f>'Approved Item-Actual'!D232</f>
        <v>2054018</v>
      </c>
      <c r="F44" s="409">
        <f t="shared" si="1"/>
        <v>0.65382831586570211</v>
      </c>
      <c r="G44" s="474"/>
      <c r="H44" s="474"/>
      <c r="I44" s="474"/>
      <c r="J44" s="449">
        <v>45914</v>
      </c>
      <c r="K44" s="474"/>
      <c r="L44" s="474"/>
      <c r="M44" s="478">
        <v>0.75</v>
      </c>
      <c r="N44" s="477"/>
      <c r="O44" s="725"/>
    </row>
    <row r="45" spans="1:15" ht="27" customHeight="1">
      <c r="A45" s="479">
        <f>'Approved Item-Actual'!A233</f>
        <v>6</v>
      </c>
      <c r="B45" s="480" t="str">
        <f>'Approved Item-Actual'!B233</f>
        <v>Marble</v>
      </c>
      <c r="C45" s="481" t="s">
        <v>243</v>
      </c>
      <c r="D45" s="482">
        <f>'Approved Item-Actual'!C233</f>
        <v>12834922</v>
      </c>
      <c r="E45" s="482">
        <f>'Approved Item-Actual'!D233</f>
        <v>5133968.8000000007</v>
      </c>
      <c r="F45" s="453">
        <f t="shared" si="1"/>
        <v>0.40000000000000008</v>
      </c>
      <c r="G45" s="481"/>
      <c r="H45" s="481"/>
      <c r="I45" s="481"/>
      <c r="J45" s="449">
        <v>45914</v>
      </c>
      <c r="K45" s="481"/>
      <c r="L45" s="481"/>
      <c r="M45" s="483">
        <v>0.9</v>
      </c>
      <c r="N45" s="484"/>
      <c r="O45" s="725"/>
    </row>
    <row r="46" spans="1:15" ht="27" customHeight="1">
      <c r="A46" s="736"/>
      <c r="B46" s="480"/>
      <c r="C46" s="481"/>
      <c r="D46" s="482"/>
      <c r="E46" s="482"/>
      <c r="F46" s="453"/>
      <c r="G46" s="481"/>
      <c r="H46" s="481"/>
      <c r="I46" s="481"/>
      <c r="J46" s="449"/>
      <c r="K46" s="481"/>
      <c r="L46" s="481"/>
      <c r="M46" s="483"/>
      <c r="N46" s="737"/>
      <c r="O46" s="725"/>
    </row>
    <row r="47" spans="1:15" ht="27" customHeight="1">
      <c r="A47" s="736"/>
      <c r="B47" s="480"/>
      <c r="C47" s="481"/>
      <c r="D47" s="482"/>
      <c r="E47" s="482"/>
      <c r="F47" s="453"/>
      <c r="G47" s="481"/>
      <c r="H47" s="481"/>
      <c r="I47" s="481"/>
      <c r="J47" s="449"/>
      <c r="K47" s="481"/>
      <c r="L47" s="481"/>
      <c r="M47" s="483"/>
      <c r="N47" s="737"/>
      <c r="O47" s="725"/>
    </row>
    <row r="48" spans="1:15" ht="27" customHeight="1">
      <c r="A48" s="485">
        <f>'Approved Item-Actual'!A235</f>
        <v>8</v>
      </c>
      <c r="B48" s="473" t="str">
        <f>'Approved Item-Actual'!B240</f>
        <v>Gym Equipment</v>
      </c>
      <c r="C48" s="474" t="s">
        <v>263</v>
      </c>
      <c r="D48" s="475">
        <v>36000000</v>
      </c>
      <c r="E48" s="475">
        <v>18000000</v>
      </c>
      <c r="F48" s="409">
        <f t="shared" si="1"/>
        <v>0.5</v>
      </c>
      <c r="G48" s="474"/>
      <c r="H48" s="474"/>
      <c r="I48" s="474"/>
      <c r="J48" s="411"/>
      <c r="K48" s="474"/>
      <c r="L48" s="474"/>
      <c r="M48" s="476"/>
      <c r="N48" s="474"/>
      <c r="O48" s="725"/>
    </row>
    <row r="49" spans="1:15" ht="27" customHeight="1">
      <c r="A49" s="485"/>
      <c r="B49" s="473"/>
      <c r="C49" s="474"/>
      <c r="D49" s="475"/>
      <c r="E49" s="475"/>
      <c r="F49" s="409"/>
      <c r="G49" s="474"/>
      <c r="H49" s="474"/>
      <c r="I49" s="474"/>
      <c r="J49" s="411"/>
      <c r="K49" s="474"/>
      <c r="L49" s="474"/>
      <c r="M49" s="476"/>
      <c r="N49" s="474"/>
      <c r="O49" s="725"/>
    </row>
    <row r="50" spans="1:15" ht="27" customHeight="1">
      <c r="A50" s="485"/>
      <c r="B50" s="473"/>
      <c r="C50" s="474"/>
      <c r="D50" s="475"/>
      <c r="E50" s="475"/>
      <c r="F50" s="409"/>
      <c r="G50" s="474"/>
      <c r="H50" s="474"/>
      <c r="I50" s="474"/>
      <c r="J50" s="411"/>
      <c r="K50" s="474"/>
      <c r="L50" s="474"/>
      <c r="M50" s="476"/>
      <c r="N50" s="474"/>
      <c r="O50" s="725"/>
    </row>
    <row r="51" spans="1:15" ht="27" customHeight="1">
      <c r="A51" s="485"/>
      <c r="B51" s="473"/>
      <c r="C51" s="474"/>
      <c r="D51" s="475"/>
      <c r="E51" s="475"/>
      <c r="F51" s="409"/>
      <c r="G51" s="474"/>
      <c r="H51" s="474"/>
      <c r="I51" s="474"/>
      <c r="J51" s="411"/>
      <c r="K51" s="474"/>
      <c r="L51" s="474"/>
      <c r="M51" s="476"/>
      <c r="N51" s="474"/>
      <c r="O51" s="725"/>
    </row>
    <row r="52" spans="1:15" ht="27" customHeight="1">
      <c r="A52" s="485"/>
      <c r="B52" s="473"/>
      <c r="C52" s="474"/>
      <c r="D52" s="475"/>
      <c r="E52" s="475"/>
      <c r="F52" s="409"/>
      <c r="G52" s="474"/>
      <c r="H52" s="474"/>
      <c r="I52" s="474"/>
      <c r="J52" s="411"/>
      <c r="K52" s="474"/>
      <c r="L52" s="474"/>
      <c r="M52" s="476"/>
      <c r="N52" s="474"/>
      <c r="O52" s="725"/>
    </row>
    <row r="53" spans="1:15" ht="12" customHeight="1" thickBot="1">
      <c r="A53" s="989"/>
      <c r="B53" s="990"/>
      <c r="C53" s="990"/>
      <c r="D53" s="990"/>
      <c r="E53" s="990"/>
      <c r="F53" s="990"/>
      <c r="G53" s="990"/>
      <c r="H53" s="990"/>
      <c r="I53" s="990"/>
      <c r="J53" s="990"/>
      <c r="K53" s="990"/>
      <c r="L53" s="990"/>
      <c r="M53" s="990"/>
      <c r="N53" s="991"/>
      <c r="O53" s="725"/>
    </row>
    <row r="54" spans="1:15" ht="27.75" customHeight="1" thickBot="1">
      <c r="A54" s="486"/>
      <c r="B54" s="487"/>
      <c r="C54" s="487"/>
      <c r="D54" s="488">
        <f>SUM(D40:D48)</f>
        <v>72394568</v>
      </c>
      <c r="E54" s="488">
        <f>SUM(E40:E48)</f>
        <v>35120009.799999997</v>
      </c>
      <c r="F54" s="409">
        <f t="shared" si="1"/>
        <v>0.48511940564380462</v>
      </c>
      <c r="G54" s="400"/>
      <c r="H54" s="489"/>
      <c r="I54" s="490"/>
      <c r="J54" s="491"/>
      <c r="K54" s="490"/>
      <c r="L54" s="491"/>
      <c r="M54" s="492"/>
      <c r="N54" s="493"/>
      <c r="O54" s="725"/>
    </row>
    <row r="55" spans="1:15" ht="17.45" customHeight="1" thickBot="1">
      <c r="A55" s="964" t="s">
        <v>245</v>
      </c>
      <c r="B55" s="965"/>
      <c r="C55" s="965"/>
      <c r="D55" s="965"/>
      <c r="E55" s="965"/>
      <c r="F55" s="965"/>
      <c r="G55" s="965"/>
      <c r="H55" s="965"/>
      <c r="I55" s="965"/>
      <c r="J55" s="965"/>
      <c r="K55" s="965"/>
      <c r="L55" s="965"/>
      <c r="M55" s="965"/>
      <c r="N55" s="966"/>
      <c r="O55" s="725"/>
    </row>
    <row r="56" spans="1:15" ht="17.45" customHeight="1" thickBot="1">
      <c r="A56" s="964" t="s">
        <v>246</v>
      </c>
      <c r="B56" s="965"/>
      <c r="C56" s="965"/>
      <c r="D56" s="965"/>
      <c r="E56" s="965"/>
      <c r="F56" s="965"/>
      <c r="G56" s="965"/>
      <c r="H56" s="965"/>
      <c r="I56" s="965"/>
      <c r="J56" s="965"/>
      <c r="K56" s="965"/>
      <c r="L56" s="965"/>
      <c r="M56" s="965"/>
      <c r="N56" s="966"/>
      <c r="O56" s="725"/>
    </row>
    <row r="57" spans="1:15" ht="22.5" customHeight="1">
      <c r="A57" s="494">
        <v>3</v>
      </c>
      <c r="B57" s="495" t="s">
        <v>234</v>
      </c>
      <c r="C57" s="496" t="s">
        <v>194</v>
      </c>
      <c r="D57" s="985">
        <v>40291143</v>
      </c>
      <c r="E57" s="985">
        <f>'L1 Finishes'!H4</f>
        <v>35449591</v>
      </c>
      <c r="F57" s="987">
        <f t="shared" ref="F57" si="3">E57/D57</f>
        <v>0.87983582396756532</v>
      </c>
      <c r="G57" s="498">
        <v>4</v>
      </c>
      <c r="H57" s="499">
        <v>45545</v>
      </c>
      <c r="I57" s="499">
        <v>45667</v>
      </c>
      <c r="J57" s="499">
        <v>45792</v>
      </c>
      <c r="K57" s="500"/>
      <c r="L57" s="501">
        <v>1</v>
      </c>
      <c r="M57" s="502">
        <v>0.98</v>
      </c>
      <c r="N57" s="503"/>
      <c r="O57" s="725"/>
    </row>
    <row r="58" spans="1:15" ht="22.5" customHeight="1">
      <c r="A58" s="406">
        <v>4</v>
      </c>
      <c r="B58" s="407" t="s">
        <v>235</v>
      </c>
      <c r="C58" s="504" t="s">
        <v>194</v>
      </c>
      <c r="D58" s="986"/>
      <c r="E58" s="986"/>
      <c r="F58" s="988"/>
      <c r="G58" s="410">
        <v>4</v>
      </c>
      <c r="H58" s="411">
        <v>45708</v>
      </c>
      <c r="I58" s="411">
        <v>45828</v>
      </c>
      <c r="J58" s="411">
        <v>45858</v>
      </c>
      <c r="K58" s="505"/>
      <c r="L58" s="506">
        <v>0.9</v>
      </c>
      <c r="M58" s="507">
        <v>0.98</v>
      </c>
      <c r="N58" s="508"/>
      <c r="O58" s="725"/>
    </row>
    <row r="59" spans="1:15" ht="22.5" customHeight="1" thickBot="1">
      <c r="A59" s="406">
        <v>5</v>
      </c>
      <c r="B59" s="407" t="s">
        <v>236</v>
      </c>
      <c r="C59" s="504" t="s">
        <v>194</v>
      </c>
      <c r="D59" s="986"/>
      <c r="E59" s="986"/>
      <c r="F59" s="988"/>
      <c r="G59" s="410">
        <v>3</v>
      </c>
      <c r="H59" s="411">
        <v>45716</v>
      </c>
      <c r="I59" s="411">
        <v>45828</v>
      </c>
      <c r="J59" s="411">
        <v>45853</v>
      </c>
      <c r="K59" s="505"/>
      <c r="L59" s="506">
        <v>0.95</v>
      </c>
      <c r="M59" s="509">
        <v>0.98</v>
      </c>
      <c r="N59" s="508"/>
      <c r="O59" s="725"/>
    </row>
    <row r="60" spans="1:15" ht="18.75" customHeight="1" thickBot="1">
      <c r="A60" s="964" t="s">
        <v>247</v>
      </c>
      <c r="B60" s="965"/>
      <c r="C60" s="965"/>
      <c r="D60" s="965"/>
      <c r="E60" s="965"/>
      <c r="F60" s="965"/>
      <c r="G60" s="965"/>
      <c r="H60" s="965"/>
      <c r="I60" s="965"/>
      <c r="J60" s="965"/>
      <c r="K60" s="965"/>
      <c r="L60" s="965"/>
      <c r="M60" s="965"/>
      <c r="N60" s="966"/>
      <c r="O60" s="725"/>
    </row>
    <row r="61" spans="1:15" ht="22.5" customHeight="1">
      <c r="A61" s="510">
        <v>1</v>
      </c>
      <c r="B61" s="511" t="s">
        <v>232</v>
      </c>
      <c r="C61" s="512" t="s">
        <v>194</v>
      </c>
      <c r="D61" s="513">
        <f>'Approved Item-Actual'!C139</f>
        <v>0</v>
      </c>
      <c r="E61" s="514">
        <f>'Approved Item-Actual'!D139</f>
        <v>0</v>
      </c>
      <c r="F61" s="515" t="e">
        <f t="shared" ref="F61:F74" si="4">E61/D61</f>
        <v>#DIV/0!</v>
      </c>
      <c r="G61" s="516">
        <v>4</v>
      </c>
      <c r="H61" s="517">
        <v>45529</v>
      </c>
      <c r="I61" s="517">
        <v>45651</v>
      </c>
      <c r="J61" s="517">
        <v>45716</v>
      </c>
      <c r="K61" s="518"/>
      <c r="L61" s="519">
        <v>1</v>
      </c>
      <c r="M61" s="520">
        <v>1</v>
      </c>
      <c r="N61" s="521"/>
      <c r="O61" s="725"/>
    </row>
    <row r="62" spans="1:15" ht="22.5" customHeight="1">
      <c r="A62" s="522">
        <v>2</v>
      </c>
      <c r="B62" s="407" t="s">
        <v>233</v>
      </c>
      <c r="C62" s="408" t="s">
        <v>194</v>
      </c>
      <c r="D62" s="414">
        <f>'Approved Item-Actual'!C140</f>
        <v>0</v>
      </c>
      <c r="E62" s="523">
        <f>'Approved Item-Actual'!D140</f>
        <v>0</v>
      </c>
      <c r="F62" s="409" t="e">
        <f t="shared" si="4"/>
        <v>#DIV/0!</v>
      </c>
      <c r="G62" s="410">
        <v>8</v>
      </c>
      <c r="H62" s="411">
        <v>45566</v>
      </c>
      <c r="I62" s="411">
        <v>45808</v>
      </c>
      <c r="J62" s="411">
        <v>45808</v>
      </c>
      <c r="K62" s="505"/>
      <c r="L62" s="506">
        <v>0.9</v>
      </c>
      <c r="M62" s="507">
        <v>0.98</v>
      </c>
      <c r="N62" s="508"/>
      <c r="O62" s="725"/>
    </row>
    <row r="63" spans="1:15" ht="22.5" customHeight="1">
      <c r="A63" s="522">
        <v>3</v>
      </c>
      <c r="B63" s="407" t="s">
        <v>195</v>
      </c>
      <c r="C63" s="408" t="s">
        <v>231</v>
      </c>
      <c r="D63" s="414">
        <f>'Approved Item-Actual'!C141</f>
        <v>0</v>
      </c>
      <c r="E63" s="523">
        <f>'Approved Item-Actual'!D141</f>
        <v>0</v>
      </c>
      <c r="F63" s="409" t="e">
        <f t="shared" si="4"/>
        <v>#DIV/0!</v>
      </c>
      <c r="G63" s="410">
        <v>4</v>
      </c>
      <c r="H63" s="411">
        <v>45763</v>
      </c>
      <c r="I63" s="411">
        <v>45914</v>
      </c>
      <c r="J63" s="411"/>
      <c r="K63" s="505"/>
      <c r="L63" s="506">
        <v>0.7</v>
      </c>
      <c r="M63" s="524">
        <v>0.65</v>
      </c>
      <c r="N63" s="508" t="s">
        <v>244</v>
      </c>
      <c r="O63" s="725"/>
    </row>
    <row r="64" spans="1:15" ht="22.5" customHeight="1">
      <c r="A64" s="522">
        <v>4</v>
      </c>
      <c r="B64" s="407" t="s">
        <v>196</v>
      </c>
      <c r="C64" s="408" t="s">
        <v>231</v>
      </c>
      <c r="D64" s="414">
        <f>'Approved Item-Actual'!C142</f>
        <v>0</v>
      </c>
      <c r="E64" s="523">
        <f>'Approved Item-Actual'!D142</f>
        <v>0</v>
      </c>
      <c r="F64" s="409" t="e">
        <f t="shared" si="4"/>
        <v>#DIV/0!</v>
      </c>
      <c r="G64" s="410">
        <v>4</v>
      </c>
      <c r="H64" s="411">
        <v>45763</v>
      </c>
      <c r="I64" s="411">
        <v>45914</v>
      </c>
      <c r="J64" s="411"/>
      <c r="K64" s="505"/>
      <c r="L64" s="506">
        <v>0.7</v>
      </c>
      <c r="M64" s="524">
        <v>0.45</v>
      </c>
      <c r="N64" s="508" t="s">
        <v>244</v>
      </c>
      <c r="O64" s="725"/>
    </row>
    <row r="65" spans="1:15" ht="22.5" customHeight="1">
      <c r="A65" s="522">
        <v>5</v>
      </c>
      <c r="B65" s="525" t="str">
        <f>'Approved Item-Actual'!B143</f>
        <v>Kitchen Hoods  (M)</v>
      </c>
      <c r="C65" s="408" t="s">
        <v>231</v>
      </c>
      <c r="D65" s="414">
        <f>'Approved Item-Actual'!C143</f>
        <v>0</v>
      </c>
      <c r="E65" s="526">
        <f>'Approved Item-Actual'!D143</f>
        <v>0</v>
      </c>
      <c r="F65" s="409" t="e">
        <f t="shared" si="4"/>
        <v>#DIV/0!</v>
      </c>
      <c r="G65" s="410"/>
      <c r="H65" s="411">
        <v>45763</v>
      </c>
      <c r="I65" s="411">
        <v>46006</v>
      </c>
      <c r="J65" s="411"/>
      <c r="K65" s="505"/>
      <c r="L65" s="506">
        <v>0.05</v>
      </c>
      <c r="M65" s="527">
        <v>0.05</v>
      </c>
      <c r="N65" s="508"/>
      <c r="O65" s="725"/>
    </row>
    <row r="66" spans="1:15" ht="22.5" customHeight="1">
      <c r="A66" s="522">
        <v>6</v>
      </c>
      <c r="B66" s="525" t="str">
        <f>'Approved Item-Actual'!B144</f>
        <v>Travertine</v>
      </c>
      <c r="C66" s="408" t="s">
        <v>231</v>
      </c>
      <c r="D66" s="414" t="e">
        <f>'Approved Item-Actual'!C144+'Approved Item-Actual'!#REF!</f>
        <v>#REF!</v>
      </c>
      <c r="E66" s="528" t="e">
        <f>'Approved Item-Actual'!D144+'Approved Item-Actual'!#REF!</f>
        <v>#REF!</v>
      </c>
      <c r="F66" s="409" t="e">
        <f t="shared" si="4"/>
        <v>#REF!</v>
      </c>
      <c r="G66" s="410"/>
      <c r="H66" s="411">
        <v>45763</v>
      </c>
      <c r="I66" s="411">
        <v>46006</v>
      </c>
      <c r="J66" s="411"/>
      <c r="K66" s="505"/>
      <c r="L66" s="506">
        <v>0.1</v>
      </c>
      <c r="M66" s="527">
        <v>0.3</v>
      </c>
      <c r="N66" s="508"/>
      <c r="O66" s="725"/>
    </row>
    <row r="67" spans="1:15" ht="22.5" customHeight="1">
      <c r="A67" s="522">
        <v>7</v>
      </c>
      <c r="B67" s="407" t="e">
        <f>'Approved Item-Actual'!#REF!</f>
        <v>#REF!</v>
      </c>
      <c r="C67" s="408" t="s">
        <v>231</v>
      </c>
      <c r="D67" s="529" t="e">
        <f>'Approved Item-Actual'!#REF!</f>
        <v>#REF!</v>
      </c>
      <c r="E67" s="528" t="e">
        <f>'Approved Item-Actual'!#REF!</f>
        <v>#REF!</v>
      </c>
      <c r="F67" s="409" t="e">
        <f t="shared" si="4"/>
        <v>#REF!</v>
      </c>
      <c r="G67" s="410"/>
      <c r="H67" s="411">
        <v>45763</v>
      </c>
      <c r="I67" s="411">
        <v>46006</v>
      </c>
      <c r="J67" s="411"/>
      <c r="K67" s="505"/>
      <c r="L67" s="506">
        <v>0.35</v>
      </c>
      <c r="M67" s="527">
        <v>0.45</v>
      </c>
      <c r="N67" s="508"/>
      <c r="O67" s="725"/>
    </row>
    <row r="68" spans="1:15" ht="22.5" customHeight="1">
      <c r="A68" s="522">
        <v>8</v>
      </c>
      <c r="B68" s="407" t="str">
        <f>'Approved Item-Actual'!B145</f>
        <v>VRF In corridor ( M+L)</v>
      </c>
      <c r="C68" s="408" t="s">
        <v>194</v>
      </c>
      <c r="D68" s="529">
        <f>'Approved Item-Actual'!C145</f>
        <v>0</v>
      </c>
      <c r="E68" s="528">
        <f>'Approved Item-Actual'!D145</f>
        <v>0</v>
      </c>
      <c r="F68" s="409" t="e">
        <f t="shared" si="4"/>
        <v>#DIV/0!</v>
      </c>
      <c r="G68" s="410"/>
      <c r="H68" s="411"/>
      <c r="I68" s="411">
        <v>45900</v>
      </c>
      <c r="J68" s="411"/>
      <c r="K68" s="505"/>
      <c r="L68" s="506">
        <v>0.8</v>
      </c>
      <c r="M68" s="527">
        <v>0.9</v>
      </c>
      <c r="N68" s="508" t="s">
        <v>248</v>
      </c>
      <c r="O68" s="725"/>
    </row>
    <row r="69" spans="1:15" ht="22.5" customHeight="1">
      <c r="A69" s="522">
        <v>9</v>
      </c>
      <c r="B69" s="407" t="str">
        <f>'Approved Item-Actual'!B146</f>
        <v>Kitchen Hob (M)</v>
      </c>
      <c r="C69" s="408" t="s">
        <v>194</v>
      </c>
      <c r="D69" s="529">
        <f>'Approved Item-Actual'!C146</f>
        <v>0</v>
      </c>
      <c r="E69" s="528">
        <f>'Approved Item-Actual'!D146</f>
        <v>0</v>
      </c>
      <c r="F69" s="409" t="e">
        <f t="shared" si="4"/>
        <v>#DIV/0!</v>
      </c>
      <c r="G69" s="410"/>
      <c r="H69" s="411"/>
      <c r="I69" s="411">
        <v>46006</v>
      </c>
      <c r="J69" s="411"/>
      <c r="K69" s="505"/>
      <c r="L69" s="506">
        <v>0.3</v>
      </c>
      <c r="M69" s="527">
        <v>0.33</v>
      </c>
      <c r="N69" s="508" t="s">
        <v>248</v>
      </c>
      <c r="O69" s="725"/>
    </row>
    <row r="70" spans="1:15" ht="21.6" customHeight="1">
      <c r="A70" s="522">
        <v>10</v>
      </c>
      <c r="B70" s="407" t="str">
        <f>'Approved Item-Actual'!B147</f>
        <v>External lights</v>
      </c>
      <c r="C70" s="408" t="s">
        <v>229</v>
      </c>
      <c r="D70" s="529">
        <f>'Approved Item-Actual'!C147</f>
        <v>3731700</v>
      </c>
      <c r="E70" s="528">
        <f>'Approved Item-Actual'!D147</f>
        <v>3144200</v>
      </c>
      <c r="F70" s="409">
        <f t="shared" si="4"/>
        <v>0.8425650507811453</v>
      </c>
      <c r="G70" s="410"/>
      <c r="H70" s="411"/>
      <c r="I70" s="411">
        <v>46007</v>
      </c>
      <c r="J70" s="411"/>
      <c r="K70" s="505"/>
      <c r="L70" s="506"/>
      <c r="M70" s="530"/>
      <c r="N70" s="508"/>
      <c r="O70" s="725"/>
    </row>
    <row r="71" spans="1:15" ht="21.6" customHeight="1">
      <c r="A71" s="531">
        <v>11</v>
      </c>
      <c r="B71" s="455" t="str">
        <f>'Approved Item-Actual'!B148</f>
        <v>Paddle Tennis Court  ( M+L)</v>
      </c>
      <c r="C71" s="452" t="s">
        <v>213</v>
      </c>
      <c r="D71" s="532">
        <f>'Approved Item-Actual'!C148</f>
        <v>0</v>
      </c>
      <c r="E71" s="533">
        <f>'Approved Item-Actual'!D148</f>
        <v>0</v>
      </c>
      <c r="F71" s="453" t="e">
        <f t="shared" si="4"/>
        <v>#DIV/0!</v>
      </c>
      <c r="G71" s="534"/>
      <c r="H71" s="456"/>
      <c r="I71" s="456"/>
      <c r="J71" s="456"/>
      <c r="K71" s="456"/>
      <c r="L71" s="456"/>
      <c r="M71" s="535">
        <v>0.1</v>
      </c>
      <c r="N71" s="536"/>
      <c r="O71" s="725"/>
    </row>
    <row r="72" spans="1:15" ht="21.6" customHeight="1">
      <c r="A72" s="410">
        <v>26</v>
      </c>
      <c r="B72" s="407" t="s">
        <v>265</v>
      </c>
      <c r="C72" s="408"/>
      <c r="D72" s="529"/>
      <c r="E72" s="526">
        <v>2731700</v>
      </c>
      <c r="F72" s="409"/>
      <c r="G72" s="537"/>
      <c r="H72" s="538"/>
      <c r="I72" s="411">
        <v>45914</v>
      </c>
      <c r="J72" s="538"/>
      <c r="K72" s="538"/>
      <c r="L72" s="538"/>
      <c r="M72" s="539"/>
      <c r="N72" s="407"/>
      <c r="O72" s="725"/>
    </row>
    <row r="73" spans="1:15" ht="9.75" customHeight="1" thickBot="1">
      <c r="A73" s="961"/>
      <c r="B73" s="962"/>
      <c r="C73" s="962"/>
      <c r="D73" s="962"/>
      <c r="E73" s="962"/>
      <c r="F73" s="962"/>
      <c r="G73" s="962"/>
      <c r="H73" s="962"/>
      <c r="I73" s="962"/>
      <c r="J73" s="962"/>
      <c r="K73" s="962"/>
      <c r="L73" s="962"/>
      <c r="M73" s="962"/>
      <c r="N73" s="963"/>
      <c r="O73" s="725"/>
    </row>
    <row r="74" spans="1:15" ht="22.5" customHeight="1" thickBot="1">
      <c r="A74" s="540"/>
      <c r="B74" s="970" t="s">
        <v>69</v>
      </c>
      <c r="C74" s="971"/>
      <c r="D74" s="541" t="e">
        <f>SUM(D61:D73)</f>
        <v>#REF!</v>
      </c>
      <c r="E74" s="541" t="e">
        <f>SUM(E61:E72)</f>
        <v>#REF!</v>
      </c>
      <c r="F74" s="542" t="e">
        <f t="shared" si="4"/>
        <v>#REF!</v>
      </c>
      <c r="G74" s="543"/>
      <c r="H74" s="544"/>
      <c r="I74" s="545"/>
      <c r="J74" s="544"/>
      <c r="K74" s="546"/>
      <c r="L74" s="547"/>
      <c r="M74" s="542">
        <v>0.57999999999999996</v>
      </c>
      <c r="N74" s="548"/>
      <c r="O74" s="725"/>
    </row>
    <row r="75" spans="1:15" ht="22.5" customHeight="1" thickBot="1">
      <c r="A75" s="972" t="s">
        <v>237</v>
      </c>
      <c r="B75" s="973"/>
      <c r="C75" s="973"/>
      <c r="D75" s="973"/>
      <c r="E75" s="973"/>
      <c r="F75" s="973"/>
      <c r="G75" s="973"/>
      <c r="H75" s="973"/>
      <c r="I75" s="973"/>
      <c r="J75" s="973"/>
      <c r="K75" s="973"/>
      <c r="L75" s="973"/>
      <c r="M75" s="973"/>
      <c r="N75" s="974"/>
      <c r="O75" s="725"/>
    </row>
    <row r="76" spans="1:15" ht="18.75" customHeight="1" thickBot="1">
      <c r="A76" s="967" t="s">
        <v>246</v>
      </c>
      <c r="B76" s="968"/>
      <c r="C76" s="968"/>
      <c r="D76" s="968"/>
      <c r="E76" s="968"/>
      <c r="F76" s="968"/>
      <c r="G76" s="968"/>
      <c r="H76" s="968"/>
      <c r="I76" s="968"/>
      <c r="J76" s="968"/>
      <c r="K76" s="968"/>
      <c r="L76" s="968"/>
      <c r="M76" s="968"/>
      <c r="N76" s="969"/>
      <c r="O76" s="725">
        <v>0</v>
      </c>
    </row>
    <row r="77" spans="1:15" ht="22.5" customHeight="1">
      <c r="A77" s="549">
        <v>1</v>
      </c>
      <c r="B77" s="398" t="s">
        <v>236</v>
      </c>
      <c r="C77" s="550" t="s">
        <v>194</v>
      </c>
      <c r="D77" s="975">
        <v>48334459</v>
      </c>
      <c r="E77" s="977">
        <f>'L2 Finishes'!H4</f>
        <v>44160604</v>
      </c>
      <c r="F77" s="979">
        <f>E77/D77</f>
        <v>0.91364639045613405</v>
      </c>
      <c r="G77" s="498">
        <v>2</v>
      </c>
      <c r="H77" s="499">
        <v>45763</v>
      </c>
      <c r="I77" s="499">
        <v>45802</v>
      </c>
      <c r="J77" s="499">
        <v>45867</v>
      </c>
      <c r="K77" s="500"/>
      <c r="L77" s="551"/>
      <c r="M77" s="552">
        <v>1</v>
      </c>
      <c r="N77" s="553"/>
      <c r="O77" s="725"/>
    </row>
    <row r="78" spans="1:15" ht="21.6" customHeight="1">
      <c r="A78" s="522">
        <v>2</v>
      </c>
      <c r="B78" s="427" t="s">
        <v>234</v>
      </c>
      <c r="C78" s="554" t="s">
        <v>194</v>
      </c>
      <c r="D78" s="975"/>
      <c r="E78" s="977"/>
      <c r="F78" s="979"/>
      <c r="G78" s="410">
        <v>3</v>
      </c>
      <c r="H78" s="411">
        <v>45763</v>
      </c>
      <c r="I78" s="411">
        <v>45858</v>
      </c>
      <c r="J78" s="499">
        <v>45868</v>
      </c>
      <c r="K78" s="505"/>
      <c r="L78" s="555"/>
      <c r="M78" s="556">
        <v>1</v>
      </c>
      <c r="N78" s="434"/>
      <c r="O78" s="725"/>
    </row>
    <row r="79" spans="1:15" ht="21.6" customHeight="1" thickBot="1">
      <c r="A79" s="531">
        <v>3</v>
      </c>
      <c r="B79" s="446" t="s">
        <v>238</v>
      </c>
      <c r="C79" s="554" t="s">
        <v>194</v>
      </c>
      <c r="D79" s="976"/>
      <c r="E79" s="978"/>
      <c r="F79" s="980"/>
      <c r="G79" s="457">
        <v>3</v>
      </c>
      <c r="H79" s="411">
        <v>45763</v>
      </c>
      <c r="I79" s="411">
        <v>45858</v>
      </c>
      <c r="J79" s="499">
        <v>45868</v>
      </c>
      <c r="K79" s="454"/>
      <c r="L79" s="557"/>
      <c r="M79" s="558">
        <v>0.85</v>
      </c>
      <c r="N79" s="434"/>
    </row>
    <row r="80" spans="1:15" ht="13.5" customHeight="1" thickBot="1">
      <c r="A80" s="964" t="s">
        <v>249</v>
      </c>
      <c r="B80" s="965"/>
      <c r="C80" s="965"/>
      <c r="D80" s="965"/>
      <c r="E80" s="965"/>
      <c r="F80" s="965"/>
      <c r="G80" s="965"/>
      <c r="H80" s="965"/>
      <c r="I80" s="965"/>
      <c r="J80" s="965"/>
      <c r="K80" s="965"/>
      <c r="L80" s="965"/>
      <c r="M80" s="965"/>
      <c r="N80" s="966"/>
    </row>
    <row r="81" spans="1:14" ht="21.6" customHeight="1">
      <c r="A81" s="549">
        <v>1</v>
      </c>
      <c r="B81" s="495" t="s">
        <v>239</v>
      </c>
      <c r="C81" s="496" t="s">
        <v>194</v>
      </c>
      <c r="D81" s="497">
        <f>'Approved Item-Actual'!C219</f>
        <v>0</v>
      </c>
      <c r="E81" s="497">
        <f>'Approved Item-Actual'!D219</f>
        <v>0</v>
      </c>
      <c r="F81" s="559" t="e">
        <f>E81/D81</f>
        <v>#DIV/0!</v>
      </c>
      <c r="G81" s="498">
        <v>2</v>
      </c>
      <c r="H81" s="499">
        <v>45763</v>
      </c>
      <c r="I81" s="499">
        <v>45823</v>
      </c>
      <c r="J81" s="560"/>
      <c r="K81" s="500"/>
      <c r="L81" s="551">
        <v>0.99</v>
      </c>
      <c r="M81" s="552">
        <v>0.98</v>
      </c>
      <c r="N81" s="503"/>
    </row>
    <row r="82" spans="1:14" ht="21.6" customHeight="1">
      <c r="A82" s="522">
        <v>2</v>
      </c>
      <c r="B82" s="407" t="s">
        <v>52</v>
      </c>
      <c r="C82" s="504" t="s">
        <v>252</v>
      </c>
      <c r="D82" s="414">
        <f>'Approved Item-Actual'!C220</f>
        <v>2420155</v>
      </c>
      <c r="E82" s="414">
        <f>'Approved Item-Actual'!D220</f>
        <v>2420155</v>
      </c>
      <c r="F82" s="559">
        <f t="shared" ref="F82:F84" si="5">E82/D82</f>
        <v>1</v>
      </c>
      <c r="G82" s="410"/>
      <c r="H82" s="411"/>
      <c r="I82" s="411"/>
      <c r="J82" s="561"/>
      <c r="K82" s="505"/>
      <c r="L82" s="555">
        <v>0</v>
      </c>
      <c r="M82" s="555">
        <v>0</v>
      </c>
      <c r="N82" s="562"/>
    </row>
    <row r="83" spans="1:14" ht="21.6" customHeight="1">
      <c r="A83" s="522">
        <v>3</v>
      </c>
      <c r="B83" s="407" t="str">
        <f>'Approved Item-Actual'!B221</f>
        <v>AC louvers.</v>
      </c>
      <c r="C83" s="504" t="s">
        <v>229</v>
      </c>
      <c r="D83" s="414">
        <f>'Approved Item-Actual'!C221</f>
        <v>10102400</v>
      </c>
      <c r="E83" s="414">
        <f>'Approved Item-Actual'!D221</f>
        <v>0</v>
      </c>
      <c r="F83" s="559">
        <f t="shared" si="5"/>
        <v>0</v>
      </c>
      <c r="G83" s="410"/>
      <c r="H83" s="411"/>
      <c r="I83" s="411">
        <v>46007</v>
      </c>
      <c r="J83" s="561"/>
      <c r="K83" s="505"/>
      <c r="L83" s="555">
        <v>0</v>
      </c>
      <c r="M83" s="555">
        <v>0</v>
      </c>
      <c r="N83" s="562"/>
    </row>
    <row r="84" spans="1:14" ht="21.6" customHeight="1">
      <c r="A84" s="522">
        <v>4</v>
      </c>
      <c r="B84" s="407" t="str">
        <f>'Approved Item-Actual'!B222</f>
        <v>Roof Top</v>
      </c>
      <c r="C84" s="504" t="s">
        <v>250</v>
      </c>
      <c r="D84" s="414">
        <f>'Approved Item-Actual'!C222</f>
        <v>20820099.299999997</v>
      </c>
      <c r="E84" s="414">
        <f>'Approved Item-Actual'!D222</f>
        <v>0</v>
      </c>
      <c r="F84" s="559">
        <f t="shared" si="5"/>
        <v>0</v>
      </c>
      <c r="G84" s="410"/>
      <c r="H84" s="411"/>
      <c r="I84" s="411">
        <v>46007</v>
      </c>
      <c r="J84" s="561"/>
      <c r="K84" s="505"/>
      <c r="L84" s="555">
        <v>0</v>
      </c>
      <c r="M84" s="555">
        <v>0</v>
      </c>
      <c r="N84" s="562"/>
    </row>
    <row r="85" spans="1:14" ht="21.6" customHeight="1" thickBot="1">
      <c r="A85" s="563">
        <v>26</v>
      </c>
      <c r="B85" s="564" t="s">
        <v>265</v>
      </c>
      <c r="C85" s="565"/>
      <c r="D85" s="565"/>
      <c r="E85" s="566">
        <v>2731700</v>
      </c>
      <c r="F85" s="567"/>
      <c r="G85" s="567"/>
      <c r="H85" s="567"/>
      <c r="I85" s="411">
        <v>45914</v>
      </c>
      <c r="J85" s="565"/>
      <c r="K85" s="565"/>
      <c r="L85" s="565"/>
      <c r="M85" s="568"/>
      <c r="N85" s="569"/>
    </row>
    <row r="86" spans="1:14" ht="30" customHeight="1" thickBot="1">
      <c r="A86" s="570"/>
      <c r="B86" s="571"/>
      <c r="C86" s="572"/>
      <c r="D86" s="573">
        <f>SUM(D81:D84)</f>
        <v>33342654.299999997</v>
      </c>
      <c r="E86" s="573">
        <f>SUM(E81:E85)</f>
        <v>5151855</v>
      </c>
      <c r="F86" s="574">
        <f>E86/D86</f>
        <v>0.15451244383984153</v>
      </c>
      <c r="G86" s="575"/>
      <c r="H86" s="576"/>
      <c r="I86" s="577"/>
      <c r="J86" s="578"/>
      <c r="K86" s="579"/>
      <c r="L86" s="580">
        <v>0.1</v>
      </c>
      <c r="M86" s="580">
        <v>0.15</v>
      </c>
      <c r="N86" s="548"/>
    </row>
    <row r="87" spans="1:14" ht="21" customHeight="1">
      <c r="A87" s="581"/>
      <c r="B87" s="582"/>
      <c r="C87" s="582"/>
      <c r="D87" s="582"/>
      <c r="E87" s="582"/>
      <c r="F87" s="582"/>
      <c r="G87" s="582"/>
      <c r="H87" s="582"/>
      <c r="I87" s="582"/>
      <c r="J87" s="582"/>
      <c r="K87" s="582"/>
      <c r="L87" s="582"/>
      <c r="M87" s="582"/>
      <c r="N87" s="582"/>
    </row>
    <row r="88" spans="1:14" ht="21" customHeight="1" thickBot="1">
      <c r="A88" s="583"/>
      <c r="B88" s="584"/>
      <c r="C88" s="582"/>
      <c r="D88" s="582"/>
      <c r="E88" s="582"/>
      <c r="F88" s="582"/>
      <c r="G88" s="582"/>
      <c r="H88" s="582"/>
      <c r="I88" s="582"/>
      <c r="J88" s="582"/>
      <c r="K88" s="582"/>
      <c r="L88" s="582"/>
      <c r="M88" s="582"/>
      <c r="N88" s="582"/>
    </row>
    <row r="89" spans="1:14" ht="15.75" thickBot="1">
      <c r="A89" s="585"/>
      <c r="B89" s="586" t="s">
        <v>120</v>
      </c>
      <c r="C89" s="587"/>
      <c r="D89" s="588" t="e">
        <f>D86+D74+D54+D38</f>
        <v>#REF!</v>
      </c>
      <c r="E89" s="589" t="e">
        <f>E86+E74+E38+E54</f>
        <v>#REF!</v>
      </c>
      <c r="F89" s="590" t="e">
        <f>E89/D89</f>
        <v>#REF!</v>
      </c>
      <c r="G89" s="587"/>
      <c r="H89" s="587"/>
      <c r="I89" s="587"/>
      <c r="J89" s="587"/>
      <c r="K89" s="587"/>
      <c r="L89" s="587"/>
      <c r="M89" s="590">
        <v>0.43</v>
      </c>
      <c r="N89" s="591"/>
    </row>
  </sheetData>
  <mergeCells count="34">
    <mergeCell ref="A1:M1"/>
    <mergeCell ref="A4:N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A6:N6"/>
    <mergeCell ref="A39:N39"/>
    <mergeCell ref="A55:N55"/>
    <mergeCell ref="D57:D59"/>
    <mergeCell ref="E57:E59"/>
    <mergeCell ref="F57:F59"/>
    <mergeCell ref="A53:N53"/>
    <mergeCell ref="A37:N37"/>
    <mergeCell ref="A73:N73"/>
    <mergeCell ref="A60:N60"/>
    <mergeCell ref="A56:N56"/>
    <mergeCell ref="A80:N80"/>
    <mergeCell ref="A76:N76"/>
    <mergeCell ref="B74:C74"/>
    <mergeCell ref="A75:N75"/>
    <mergeCell ref="D77:D79"/>
    <mergeCell ref="E77:E79"/>
    <mergeCell ref="F77:F79"/>
  </mergeCells>
  <phoneticPr fontId="25" type="noConversion"/>
  <pageMargins left="0.7" right="0.7" top="0.75" bottom="0.75" header="0.3" footer="0.3"/>
  <pageSetup paperSize="121" scale="68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Summary All Towers</vt:lpstr>
      <vt:lpstr>Summary I Tower</vt:lpstr>
      <vt:lpstr>Summary L1 Tower</vt:lpstr>
      <vt:lpstr>Summary L2 Tower</vt:lpstr>
      <vt:lpstr>I Finishes</vt:lpstr>
      <vt:lpstr>L1 Finishes</vt:lpstr>
      <vt:lpstr>L2 Finishes</vt:lpstr>
      <vt:lpstr>Ground Floor</vt:lpstr>
      <vt:lpstr>Court Yard</vt:lpstr>
      <vt:lpstr>Approved Item-Actual</vt:lpstr>
      <vt:lpstr>Table 1</vt:lpstr>
      <vt:lpstr>'Court Yard'!Print_Area</vt:lpstr>
      <vt:lpstr>'Ground Floor'!Print_Area</vt:lpstr>
      <vt:lpstr>'I Finishes'!Print_Area</vt:lpstr>
      <vt:lpstr>'L1 Finishes'!Print_Area</vt:lpstr>
      <vt:lpstr>'L2 Finishes'!Print_Area</vt:lpstr>
      <vt:lpstr>'Summary All Towers'!Print_Area</vt:lpstr>
      <vt:lpstr>'Summary I Tower'!Print_Area</vt:lpstr>
      <vt:lpstr>'Summary L1 Tower'!Print_Area</vt:lpstr>
      <vt:lpstr>'Summary L2 Tower'!Print_Area</vt:lpstr>
      <vt:lpstr>'Table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Muneeb Shehzad Butt</dc:creator>
  <cp:lastModifiedBy>Muneeb Shehzad Butt</cp:lastModifiedBy>
  <cp:lastPrinted>2025-12-01T16:51:38Z</cp:lastPrinted>
  <dcterms:created xsi:type="dcterms:W3CDTF">2024-02-02T16:20:46Z</dcterms:created>
  <dcterms:modified xsi:type="dcterms:W3CDTF">2025-12-19T06:32:02Z</dcterms:modified>
</cp:coreProperties>
</file>